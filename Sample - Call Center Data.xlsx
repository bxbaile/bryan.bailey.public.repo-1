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21a15df551ca98/Desktop/Jobs/"/>
    </mc:Choice>
  </mc:AlternateContent>
  <xr:revisionPtr revIDLastSave="929" documentId="8_{9C4B24E6-C0D5-40D6-8B9B-494E7EC13F0D}" xr6:coauthVersionLast="47" xr6:coauthVersionMax="47" xr10:uidLastSave="{F75F6DA8-3FF5-412A-B9DA-EDD0B78AF55C}"/>
  <bookViews>
    <workbookView xWindow="-110" yWindow="-110" windowWidth="19420" windowHeight="10420" tabRatio="736" activeTab="4" xr2:uid="{90DC1D9A-E13A-4CA8-9162-0A73324CE66C}"/>
  </bookViews>
  <sheets>
    <sheet name="Calls Answered" sheetId="3" r:id="rId1"/>
    <sheet name="Call Speed" sheetId="5" r:id="rId2"/>
    <sheet name="Sheet1" sheetId="6" r:id="rId3"/>
    <sheet name="Sample Formulas" sheetId="1" r:id="rId4"/>
    <sheet name="Sample Values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78" i="3" l="1"/>
  <c r="CG79" i="3"/>
  <c r="CG80" i="3"/>
  <c r="CG81" i="3"/>
  <c r="CG82" i="3"/>
  <c r="CG83" i="3"/>
  <c r="CG84" i="3"/>
  <c r="CG85" i="3"/>
  <c r="CG86" i="3"/>
  <c r="CG87" i="3"/>
  <c r="CG88" i="3"/>
  <c r="CG89" i="3"/>
  <c r="CG90" i="3"/>
  <c r="CG91" i="3"/>
  <c r="CG92" i="3"/>
  <c r="CG93" i="3"/>
  <c r="CG94" i="3"/>
  <c r="CG95" i="3"/>
  <c r="CG96" i="3"/>
  <c r="CG97" i="3"/>
  <c r="CG98" i="3"/>
  <c r="CG99" i="3"/>
  <c r="CG100" i="3"/>
  <c r="CG101" i="3"/>
  <c r="CG77" i="3"/>
  <c r="CG48" i="3"/>
  <c r="CG49" i="3"/>
  <c r="CG50" i="3"/>
  <c r="CG51" i="3"/>
  <c r="CG52" i="3"/>
  <c r="CG53" i="3"/>
  <c r="CG54" i="3"/>
  <c r="CG55" i="3"/>
  <c r="CG56" i="3"/>
  <c r="CG57" i="3"/>
  <c r="CG58" i="3"/>
  <c r="CG59" i="3"/>
  <c r="CG60" i="3"/>
  <c r="CG61" i="3"/>
  <c r="CG62" i="3"/>
  <c r="CG63" i="3"/>
  <c r="CG64" i="3"/>
  <c r="CG65" i="3"/>
  <c r="CG66" i="3"/>
  <c r="CG67" i="3"/>
  <c r="CG68" i="3"/>
  <c r="CG69" i="3"/>
  <c r="CG70" i="3"/>
  <c r="CG71" i="3"/>
  <c r="CG72" i="3"/>
  <c r="CG73" i="3"/>
  <c r="CG74" i="3"/>
  <c r="CG75" i="3"/>
  <c r="CG76" i="3"/>
  <c r="CG47" i="3"/>
  <c r="CG17" i="3"/>
  <c r="CG18" i="3"/>
  <c r="CG19" i="3"/>
  <c r="CG20" i="3"/>
  <c r="CG21" i="3"/>
  <c r="CG22" i="3"/>
  <c r="CG23" i="3"/>
  <c r="CG24" i="3"/>
  <c r="CG25" i="3"/>
  <c r="CG26" i="3"/>
  <c r="CG27" i="3"/>
  <c r="CG28" i="3"/>
  <c r="CG29" i="3"/>
  <c r="CG30" i="3"/>
  <c r="CG31" i="3"/>
  <c r="CG32" i="3"/>
  <c r="CG33" i="3"/>
  <c r="CG34" i="3"/>
  <c r="CG35" i="3"/>
  <c r="CG36" i="3"/>
  <c r="CG37" i="3"/>
  <c r="CG38" i="3"/>
  <c r="CG39" i="3"/>
  <c r="CG40" i="3"/>
  <c r="CG41" i="3"/>
  <c r="CG42" i="3"/>
  <c r="CG43" i="3"/>
  <c r="CG44" i="3"/>
  <c r="CG45" i="3"/>
  <c r="CG46" i="3"/>
  <c r="CG16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3" i="1"/>
  <c r="J4" i="1"/>
  <c r="J5" i="1"/>
  <c r="J6" i="1"/>
  <c r="J7" i="1"/>
  <c r="J8" i="1"/>
  <c r="J9" i="1"/>
  <c r="J2" i="1"/>
  <c r="U3" i="1"/>
  <c r="S3" i="1" s="1"/>
  <c r="U4" i="1"/>
  <c r="S4" i="1" s="1"/>
  <c r="U5" i="1"/>
  <c r="S5" i="1" s="1"/>
  <c r="U6" i="1"/>
  <c r="S6" i="1" s="1"/>
  <c r="U7" i="1"/>
  <c r="S7" i="1" s="1"/>
  <c r="U8" i="1"/>
  <c r="S8" i="1" s="1"/>
  <c r="U9" i="1"/>
  <c r="S9" i="1" s="1"/>
  <c r="U10" i="1"/>
  <c r="S10" i="1" s="1"/>
  <c r="U11" i="1"/>
  <c r="S11" i="1" s="1"/>
  <c r="U12" i="1"/>
  <c r="S12" i="1" s="1"/>
  <c r="U13" i="1"/>
  <c r="S13" i="1" s="1"/>
  <c r="U14" i="1"/>
  <c r="S14" i="1" s="1"/>
  <c r="U15" i="1"/>
  <c r="S15" i="1" s="1"/>
  <c r="U16" i="1"/>
  <c r="S16" i="1" s="1"/>
  <c r="U17" i="1"/>
  <c r="S17" i="1" s="1"/>
  <c r="U18" i="1"/>
  <c r="S18" i="1" s="1"/>
  <c r="U19" i="1"/>
  <c r="S19" i="1" s="1"/>
  <c r="U20" i="1"/>
  <c r="S20" i="1" s="1"/>
  <c r="U21" i="1"/>
  <c r="S21" i="1" s="1"/>
  <c r="U22" i="1"/>
  <c r="S22" i="1" s="1"/>
  <c r="U23" i="1"/>
  <c r="S23" i="1" s="1"/>
  <c r="U24" i="1"/>
  <c r="S24" i="1" s="1"/>
  <c r="U25" i="1"/>
  <c r="S25" i="1" s="1"/>
  <c r="U26" i="1"/>
  <c r="S26" i="1" s="1"/>
  <c r="U27" i="1"/>
  <c r="S27" i="1" s="1"/>
  <c r="U28" i="1"/>
  <c r="S28" i="1" s="1"/>
  <c r="U29" i="1"/>
  <c r="S29" i="1" s="1"/>
  <c r="U30" i="1"/>
  <c r="S30" i="1" s="1"/>
  <c r="U31" i="1"/>
  <c r="S31" i="1" s="1"/>
  <c r="U32" i="1"/>
  <c r="S32" i="1" s="1"/>
  <c r="U33" i="1"/>
  <c r="S33" i="1" s="1"/>
  <c r="U34" i="1"/>
  <c r="S34" i="1" s="1"/>
  <c r="U35" i="1"/>
  <c r="S35" i="1" s="1"/>
  <c r="U36" i="1"/>
  <c r="S36" i="1" s="1"/>
  <c r="U37" i="1"/>
  <c r="S37" i="1" s="1"/>
  <c r="U38" i="1"/>
  <c r="S38" i="1" s="1"/>
  <c r="U39" i="1"/>
  <c r="S39" i="1" s="1"/>
  <c r="U40" i="1"/>
  <c r="S40" i="1" s="1"/>
  <c r="U41" i="1"/>
  <c r="S41" i="1" s="1"/>
  <c r="U42" i="1"/>
  <c r="S42" i="1" s="1"/>
  <c r="U43" i="1"/>
  <c r="S43" i="1" s="1"/>
  <c r="U44" i="1"/>
  <c r="S44" i="1" s="1"/>
  <c r="U45" i="1"/>
  <c r="S45" i="1" s="1"/>
  <c r="U46" i="1"/>
  <c r="S46" i="1" s="1"/>
  <c r="U47" i="1"/>
  <c r="S47" i="1" s="1"/>
  <c r="U48" i="1"/>
  <c r="S48" i="1" s="1"/>
  <c r="U49" i="1"/>
  <c r="S49" i="1" s="1"/>
  <c r="U50" i="1"/>
  <c r="S50" i="1" s="1"/>
  <c r="U51" i="1"/>
  <c r="S51" i="1" s="1"/>
  <c r="U52" i="1"/>
  <c r="S52" i="1" s="1"/>
  <c r="U53" i="1"/>
  <c r="S53" i="1" s="1"/>
  <c r="U54" i="1"/>
  <c r="S54" i="1" s="1"/>
  <c r="U55" i="1"/>
  <c r="S55" i="1" s="1"/>
  <c r="U56" i="1"/>
  <c r="S56" i="1" s="1"/>
  <c r="U57" i="1"/>
  <c r="S57" i="1" s="1"/>
  <c r="U58" i="1"/>
  <c r="S58" i="1" s="1"/>
  <c r="U59" i="1"/>
  <c r="S59" i="1" s="1"/>
  <c r="U60" i="1"/>
  <c r="S60" i="1" s="1"/>
  <c r="U61" i="1"/>
  <c r="S61" i="1" s="1"/>
  <c r="U62" i="1"/>
  <c r="S62" i="1" s="1"/>
  <c r="U63" i="1"/>
  <c r="S63" i="1" s="1"/>
  <c r="U64" i="1"/>
  <c r="S64" i="1" s="1"/>
  <c r="U65" i="1"/>
  <c r="S65" i="1" s="1"/>
  <c r="U66" i="1"/>
  <c r="S66" i="1" s="1"/>
  <c r="U67" i="1"/>
  <c r="S67" i="1" s="1"/>
  <c r="U68" i="1"/>
  <c r="S68" i="1" s="1"/>
  <c r="U69" i="1"/>
  <c r="S69" i="1" s="1"/>
  <c r="U70" i="1"/>
  <c r="S70" i="1" s="1"/>
  <c r="U71" i="1"/>
  <c r="S71" i="1" s="1"/>
  <c r="U72" i="1"/>
  <c r="S72" i="1" s="1"/>
  <c r="U73" i="1"/>
  <c r="S73" i="1" s="1"/>
  <c r="U74" i="1"/>
  <c r="S74" i="1" s="1"/>
  <c r="U75" i="1"/>
  <c r="S75" i="1" s="1"/>
  <c r="U76" i="1"/>
  <c r="S76" i="1" s="1"/>
  <c r="U77" i="1"/>
  <c r="S77" i="1" s="1"/>
  <c r="U78" i="1"/>
  <c r="S78" i="1" s="1"/>
  <c r="U79" i="1"/>
  <c r="S79" i="1" s="1"/>
  <c r="U80" i="1"/>
  <c r="S80" i="1" s="1"/>
  <c r="U81" i="1"/>
  <c r="S81" i="1" s="1"/>
  <c r="U82" i="1"/>
  <c r="S82" i="1" s="1"/>
  <c r="U83" i="1"/>
  <c r="S83" i="1" s="1"/>
  <c r="U84" i="1"/>
  <c r="S84" i="1" s="1"/>
  <c r="U85" i="1"/>
  <c r="S85" i="1" s="1"/>
  <c r="U86" i="1"/>
  <c r="S86" i="1" s="1"/>
  <c r="U87" i="1"/>
  <c r="S87" i="1" s="1"/>
  <c r="U88" i="1"/>
  <c r="S88" i="1" s="1"/>
  <c r="U89" i="1"/>
  <c r="S89" i="1" s="1"/>
  <c r="U90" i="1"/>
  <c r="S90" i="1" s="1"/>
  <c r="U91" i="1"/>
  <c r="S91" i="1" s="1"/>
  <c r="U92" i="1"/>
  <c r="S92" i="1" s="1"/>
  <c r="U93" i="1"/>
  <c r="S93" i="1" s="1"/>
  <c r="U94" i="1"/>
  <c r="S94" i="1" s="1"/>
  <c r="U95" i="1"/>
  <c r="S95" i="1" s="1"/>
  <c r="U96" i="1"/>
  <c r="S96" i="1" s="1"/>
  <c r="U97" i="1"/>
  <c r="S97" i="1" s="1"/>
  <c r="U98" i="1"/>
  <c r="S98" i="1" s="1"/>
  <c r="U99" i="1"/>
  <c r="S99" i="1" s="1"/>
  <c r="U100" i="1"/>
  <c r="S100" i="1" s="1"/>
  <c r="U101" i="1"/>
  <c r="S101" i="1" s="1"/>
  <c r="U102" i="1"/>
  <c r="S102" i="1" s="1"/>
  <c r="U103" i="1"/>
  <c r="S103" i="1" s="1"/>
  <c r="U104" i="1"/>
  <c r="S104" i="1" s="1"/>
  <c r="U105" i="1"/>
  <c r="S105" i="1" s="1"/>
  <c r="U106" i="1"/>
  <c r="S106" i="1" s="1"/>
  <c r="U107" i="1"/>
  <c r="S107" i="1" s="1"/>
  <c r="U108" i="1"/>
  <c r="S108" i="1" s="1"/>
  <c r="U109" i="1"/>
  <c r="S109" i="1" s="1"/>
  <c r="U110" i="1"/>
  <c r="S110" i="1" s="1"/>
  <c r="U111" i="1"/>
  <c r="S111" i="1" s="1"/>
  <c r="U112" i="1"/>
  <c r="S112" i="1" s="1"/>
  <c r="U113" i="1"/>
  <c r="S113" i="1" s="1"/>
  <c r="U114" i="1"/>
  <c r="S114" i="1" s="1"/>
  <c r="U115" i="1"/>
  <c r="S115" i="1" s="1"/>
  <c r="U116" i="1"/>
  <c r="S116" i="1" s="1"/>
  <c r="U117" i="1"/>
  <c r="S117" i="1" s="1"/>
  <c r="U118" i="1"/>
  <c r="S118" i="1" s="1"/>
  <c r="U119" i="1"/>
  <c r="S119" i="1" s="1"/>
  <c r="U120" i="1"/>
  <c r="S120" i="1" s="1"/>
  <c r="U121" i="1"/>
  <c r="S121" i="1" s="1"/>
  <c r="U122" i="1"/>
  <c r="S122" i="1" s="1"/>
  <c r="U123" i="1"/>
  <c r="S123" i="1" s="1"/>
  <c r="U124" i="1"/>
  <c r="S124" i="1" s="1"/>
  <c r="U125" i="1"/>
  <c r="S125" i="1" s="1"/>
  <c r="U126" i="1"/>
  <c r="S126" i="1" s="1"/>
  <c r="U127" i="1"/>
  <c r="S127" i="1" s="1"/>
  <c r="U128" i="1"/>
  <c r="S128" i="1" s="1"/>
  <c r="U129" i="1"/>
  <c r="S129" i="1" s="1"/>
  <c r="U130" i="1"/>
  <c r="S130" i="1" s="1"/>
  <c r="U131" i="1"/>
  <c r="S131" i="1" s="1"/>
  <c r="U132" i="1"/>
  <c r="S132" i="1" s="1"/>
  <c r="U133" i="1"/>
  <c r="S133" i="1" s="1"/>
  <c r="U134" i="1"/>
  <c r="S134" i="1" s="1"/>
  <c r="U135" i="1"/>
  <c r="S135" i="1" s="1"/>
  <c r="U136" i="1"/>
  <c r="S136" i="1" s="1"/>
  <c r="U137" i="1"/>
  <c r="S137" i="1" s="1"/>
  <c r="U138" i="1"/>
  <c r="S138" i="1" s="1"/>
  <c r="U139" i="1"/>
  <c r="S139" i="1" s="1"/>
  <c r="U140" i="1"/>
  <c r="S140" i="1" s="1"/>
  <c r="U141" i="1"/>
  <c r="S141" i="1" s="1"/>
  <c r="U142" i="1"/>
  <c r="S142" i="1" s="1"/>
  <c r="U143" i="1"/>
  <c r="S143" i="1" s="1"/>
  <c r="U144" i="1"/>
  <c r="S144" i="1" s="1"/>
  <c r="U145" i="1"/>
  <c r="S145" i="1" s="1"/>
  <c r="U146" i="1"/>
  <c r="S146" i="1" s="1"/>
  <c r="U147" i="1"/>
  <c r="S147" i="1" s="1"/>
  <c r="U148" i="1"/>
  <c r="S148" i="1" s="1"/>
  <c r="U149" i="1"/>
  <c r="S149" i="1" s="1"/>
  <c r="U150" i="1"/>
  <c r="S150" i="1" s="1"/>
  <c r="U151" i="1"/>
  <c r="S151" i="1" s="1"/>
  <c r="U152" i="1"/>
  <c r="S152" i="1" s="1"/>
  <c r="U153" i="1"/>
  <c r="S153" i="1" s="1"/>
  <c r="U154" i="1"/>
  <c r="S154" i="1" s="1"/>
  <c r="U155" i="1"/>
  <c r="S155" i="1" s="1"/>
  <c r="U156" i="1"/>
  <c r="S156" i="1" s="1"/>
  <c r="U157" i="1"/>
  <c r="S157" i="1" s="1"/>
  <c r="U158" i="1"/>
  <c r="S158" i="1" s="1"/>
  <c r="U159" i="1"/>
  <c r="S159" i="1" s="1"/>
  <c r="U160" i="1"/>
  <c r="S160" i="1" s="1"/>
  <c r="U161" i="1"/>
  <c r="S161" i="1" s="1"/>
  <c r="U162" i="1"/>
  <c r="S162" i="1" s="1"/>
  <c r="U163" i="1"/>
  <c r="S163" i="1" s="1"/>
  <c r="U164" i="1"/>
  <c r="S164" i="1" s="1"/>
  <c r="U165" i="1"/>
  <c r="S165" i="1" s="1"/>
  <c r="U166" i="1"/>
  <c r="S166" i="1" s="1"/>
  <c r="U167" i="1"/>
  <c r="S167" i="1" s="1"/>
  <c r="U168" i="1"/>
  <c r="S168" i="1" s="1"/>
  <c r="U169" i="1"/>
  <c r="S169" i="1" s="1"/>
  <c r="U170" i="1"/>
  <c r="S170" i="1" s="1"/>
  <c r="U171" i="1"/>
  <c r="S171" i="1" s="1"/>
  <c r="U172" i="1"/>
  <c r="S172" i="1" s="1"/>
  <c r="U173" i="1"/>
  <c r="S173" i="1" s="1"/>
  <c r="U174" i="1"/>
  <c r="S174" i="1" s="1"/>
  <c r="U175" i="1"/>
  <c r="S175" i="1" s="1"/>
  <c r="U176" i="1"/>
  <c r="S176" i="1" s="1"/>
  <c r="U177" i="1"/>
  <c r="S177" i="1" s="1"/>
  <c r="U178" i="1"/>
  <c r="S178" i="1" s="1"/>
  <c r="U179" i="1"/>
  <c r="S179" i="1" s="1"/>
  <c r="U180" i="1"/>
  <c r="S180" i="1" s="1"/>
  <c r="U181" i="1"/>
  <c r="S181" i="1" s="1"/>
  <c r="U182" i="1"/>
  <c r="S182" i="1" s="1"/>
  <c r="U183" i="1"/>
  <c r="S183" i="1" s="1"/>
  <c r="U184" i="1"/>
  <c r="S184" i="1" s="1"/>
  <c r="U185" i="1"/>
  <c r="S185" i="1" s="1"/>
  <c r="U186" i="1"/>
  <c r="S186" i="1" s="1"/>
  <c r="U187" i="1"/>
  <c r="S187" i="1" s="1"/>
  <c r="U188" i="1"/>
  <c r="S188" i="1" s="1"/>
  <c r="U189" i="1"/>
  <c r="S189" i="1" s="1"/>
  <c r="U190" i="1"/>
  <c r="S190" i="1" s="1"/>
  <c r="U191" i="1"/>
  <c r="S191" i="1" s="1"/>
  <c r="U192" i="1"/>
  <c r="S192" i="1" s="1"/>
  <c r="U193" i="1"/>
  <c r="S193" i="1" s="1"/>
  <c r="U194" i="1"/>
  <c r="S194" i="1" s="1"/>
  <c r="U195" i="1"/>
  <c r="S195" i="1" s="1"/>
  <c r="U196" i="1"/>
  <c r="S196" i="1" s="1"/>
  <c r="U197" i="1"/>
  <c r="S197" i="1" s="1"/>
  <c r="U198" i="1"/>
  <c r="S198" i="1" s="1"/>
  <c r="U199" i="1"/>
  <c r="S199" i="1" s="1"/>
  <c r="U200" i="1"/>
  <c r="S200" i="1" s="1"/>
  <c r="U201" i="1"/>
  <c r="S201" i="1" s="1"/>
  <c r="U202" i="1"/>
  <c r="S202" i="1" s="1"/>
  <c r="U203" i="1"/>
  <c r="S203" i="1" s="1"/>
  <c r="U204" i="1"/>
  <c r="S204" i="1" s="1"/>
  <c r="U205" i="1"/>
  <c r="S205" i="1" s="1"/>
  <c r="U206" i="1"/>
  <c r="S206" i="1" s="1"/>
  <c r="U207" i="1"/>
  <c r="S207" i="1" s="1"/>
  <c r="U208" i="1"/>
  <c r="S208" i="1" s="1"/>
  <c r="U209" i="1"/>
  <c r="S209" i="1" s="1"/>
  <c r="U210" i="1"/>
  <c r="S210" i="1" s="1"/>
  <c r="U211" i="1"/>
  <c r="S211" i="1" s="1"/>
  <c r="U212" i="1"/>
  <c r="S212" i="1" s="1"/>
  <c r="U213" i="1"/>
  <c r="S213" i="1" s="1"/>
  <c r="U214" i="1"/>
  <c r="S214" i="1" s="1"/>
  <c r="U215" i="1"/>
  <c r="S215" i="1" s="1"/>
  <c r="U216" i="1"/>
  <c r="S216" i="1" s="1"/>
  <c r="U217" i="1"/>
  <c r="S217" i="1" s="1"/>
  <c r="U218" i="1"/>
  <c r="S218" i="1" s="1"/>
  <c r="U219" i="1"/>
  <c r="S219" i="1" s="1"/>
  <c r="U220" i="1"/>
  <c r="S220" i="1" s="1"/>
  <c r="U221" i="1"/>
  <c r="S221" i="1" s="1"/>
  <c r="U222" i="1"/>
  <c r="S222" i="1" s="1"/>
  <c r="U223" i="1"/>
  <c r="S223" i="1" s="1"/>
  <c r="U224" i="1"/>
  <c r="S224" i="1" s="1"/>
  <c r="U225" i="1"/>
  <c r="S225" i="1" s="1"/>
  <c r="U226" i="1"/>
  <c r="S226" i="1" s="1"/>
  <c r="U227" i="1"/>
  <c r="S227" i="1" s="1"/>
  <c r="U228" i="1"/>
  <c r="S228" i="1" s="1"/>
  <c r="U229" i="1"/>
  <c r="S229" i="1" s="1"/>
  <c r="U230" i="1"/>
  <c r="S230" i="1" s="1"/>
  <c r="U231" i="1"/>
  <c r="S231" i="1" s="1"/>
  <c r="U232" i="1"/>
  <c r="S232" i="1" s="1"/>
  <c r="U233" i="1"/>
  <c r="S233" i="1" s="1"/>
  <c r="U234" i="1"/>
  <c r="S234" i="1" s="1"/>
  <c r="U235" i="1"/>
  <c r="S235" i="1" s="1"/>
  <c r="U236" i="1"/>
  <c r="S236" i="1" s="1"/>
  <c r="U237" i="1"/>
  <c r="S237" i="1" s="1"/>
  <c r="U238" i="1"/>
  <c r="S238" i="1" s="1"/>
  <c r="U239" i="1"/>
  <c r="S239" i="1" s="1"/>
  <c r="U240" i="1"/>
  <c r="S240" i="1" s="1"/>
  <c r="U241" i="1"/>
  <c r="S241" i="1" s="1"/>
  <c r="U242" i="1"/>
  <c r="S242" i="1" s="1"/>
  <c r="U243" i="1"/>
  <c r="S243" i="1" s="1"/>
  <c r="U244" i="1"/>
  <c r="S244" i="1" s="1"/>
  <c r="U245" i="1"/>
  <c r="S245" i="1" s="1"/>
  <c r="U246" i="1"/>
  <c r="S246" i="1" s="1"/>
  <c r="U247" i="1"/>
  <c r="S247" i="1" s="1"/>
  <c r="U248" i="1"/>
  <c r="S248" i="1" s="1"/>
  <c r="U249" i="1"/>
  <c r="S249" i="1" s="1"/>
  <c r="U250" i="1"/>
  <c r="S250" i="1" s="1"/>
  <c r="U251" i="1"/>
  <c r="S251" i="1" s="1"/>
  <c r="U252" i="1"/>
  <c r="S252" i="1" s="1"/>
  <c r="U253" i="1"/>
  <c r="S253" i="1" s="1"/>
  <c r="U254" i="1"/>
  <c r="S254" i="1" s="1"/>
  <c r="U255" i="1"/>
  <c r="S255" i="1" s="1"/>
  <c r="U256" i="1"/>
  <c r="S256" i="1" s="1"/>
  <c r="U257" i="1"/>
  <c r="S257" i="1" s="1"/>
  <c r="U258" i="1"/>
  <c r="S258" i="1" s="1"/>
  <c r="U259" i="1"/>
  <c r="S259" i="1" s="1"/>
  <c r="U260" i="1"/>
  <c r="S260" i="1" s="1"/>
  <c r="U261" i="1"/>
  <c r="S261" i="1" s="1"/>
  <c r="U262" i="1"/>
  <c r="S262" i="1" s="1"/>
  <c r="U263" i="1"/>
  <c r="S263" i="1" s="1"/>
  <c r="U264" i="1"/>
  <c r="S264" i="1" s="1"/>
  <c r="U265" i="1"/>
  <c r="S265" i="1" s="1"/>
  <c r="U266" i="1"/>
  <c r="S266" i="1" s="1"/>
  <c r="U267" i="1"/>
  <c r="S267" i="1" s="1"/>
  <c r="U268" i="1"/>
  <c r="S268" i="1" s="1"/>
  <c r="U269" i="1"/>
  <c r="S269" i="1" s="1"/>
  <c r="U270" i="1"/>
  <c r="S270" i="1" s="1"/>
  <c r="U271" i="1"/>
  <c r="S271" i="1" s="1"/>
  <c r="U272" i="1"/>
  <c r="S272" i="1" s="1"/>
  <c r="U273" i="1"/>
  <c r="S273" i="1" s="1"/>
  <c r="U274" i="1"/>
  <c r="S274" i="1" s="1"/>
  <c r="U275" i="1"/>
  <c r="S275" i="1" s="1"/>
  <c r="U276" i="1"/>
  <c r="S276" i="1" s="1"/>
  <c r="U277" i="1"/>
  <c r="S277" i="1" s="1"/>
  <c r="U278" i="1"/>
  <c r="S278" i="1" s="1"/>
  <c r="U279" i="1"/>
  <c r="S279" i="1" s="1"/>
  <c r="U280" i="1"/>
  <c r="S280" i="1" s="1"/>
  <c r="U281" i="1"/>
  <c r="S281" i="1" s="1"/>
  <c r="U282" i="1"/>
  <c r="S282" i="1" s="1"/>
  <c r="U283" i="1"/>
  <c r="S283" i="1" s="1"/>
  <c r="U284" i="1"/>
  <c r="S284" i="1" s="1"/>
  <c r="U285" i="1"/>
  <c r="S285" i="1" s="1"/>
  <c r="U286" i="1"/>
  <c r="S286" i="1" s="1"/>
  <c r="U287" i="1"/>
  <c r="S287" i="1" s="1"/>
  <c r="U288" i="1"/>
  <c r="S288" i="1" s="1"/>
  <c r="U289" i="1"/>
  <c r="S289" i="1" s="1"/>
  <c r="U290" i="1"/>
  <c r="S290" i="1" s="1"/>
  <c r="U291" i="1"/>
  <c r="S291" i="1" s="1"/>
  <c r="U292" i="1"/>
  <c r="S292" i="1" s="1"/>
  <c r="U293" i="1"/>
  <c r="S293" i="1" s="1"/>
  <c r="U294" i="1"/>
  <c r="S294" i="1" s="1"/>
  <c r="U295" i="1"/>
  <c r="S295" i="1" s="1"/>
  <c r="U296" i="1"/>
  <c r="S296" i="1" s="1"/>
  <c r="U297" i="1"/>
  <c r="S297" i="1" s="1"/>
  <c r="U298" i="1"/>
  <c r="S298" i="1" s="1"/>
  <c r="U299" i="1"/>
  <c r="S299" i="1" s="1"/>
  <c r="U300" i="1"/>
  <c r="S300" i="1" s="1"/>
  <c r="U301" i="1"/>
  <c r="S301" i="1" s="1"/>
  <c r="U302" i="1"/>
  <c r="S302" i="1" s="1"/>
  <c r="U303" i="1"/>
  <c r="S303" i="1" s="1"/>
  <c r="U304" i="1"/>
  <c r="S304" i="1" s="1"/>
  <c r="U305" i="1"/>
  <c r="S305" i="1" s="1"/>
  <c r="U306" i="1"/>
  <c r="S306" i="1" s="1"/>
  <c r="U307" i="1"/>
  <c r="S307" i="1" s="1"/>
  <c r="U308" i="1"/>
  <c r="S308" i="1" s="1"/>
  <c r="U309" i="1"/>
  <c r="S309" i="1" s="1"/>
  <c r="U310" i="1"/>
  <c r="S310" i="1" s="1"/>
  <c r="U311" i="1"/>
  <c r="S311" i="1" s="1"/>
  <c r="U312" i="1"/>
  <c r="S312" i="1" s="1"/>
  <c r="U313" i="1"/>
  <c r="S313" i="1" s="1"/>
  <c r="U314" i="1"/>
  <c r="S314" i="1" s="1"/>
  <c r="U315" i="1"/>
  <c r="S315" i="1" s="1"/>
  <c r="U316" i="1"/>
  <c r="S316" i="1" s="1"/>
  <c r="U317" i="1"/>
  <c r="S317" i="1" s="1"/>
  <c r="U318" i="1"/>
  <c r="S318" i="1" s="1"/>
  <c r="U319" i="1"/>
  <c r="S319" i="1" s="1"/>
  <c r="U320" i="1"/>
  <c r="S320" i="1" s="1"/>
  <c r="U321" i="1"/>
  <c r="S321" i="1" s="1"/>
  <c r="U322" i="1"/>
  <c r="S322" i="1" s="1"/>
  <c r="U323" i="1"/>
  <c r="S323" i="1" s="1"/>
  <c r="U324" i="1"/>
  <c r="S324" i="1" s="1"/>
  <c r="U325" i="1"/>
  <c r="S325" i="1" s="1"/>
  <c r="U326" i="1"/>
  <c r="S326" i="1" s="1"/>
  <c r="U327" i="1"/>
  <c r="S327" i="1" s="1"/>
  <c r="U328" i="1"/>
  <c r="S328" i="1" s="1"/>
  <c r="U329" i="1"/>
  <c r="S329" i="1" s="1"/>
  <c r="U330" i="1"/>
  <c r="S330" i="1" s="1"/>
  <c r="U331" i="1"/>
  <c r="S331" i="1" s="1"/>
  <c r="U332" i="1"/>
  <c r="S332" i="1" s="1"/>
  <c r="U333" i="1"/>
  <c r="S333" i="1" s="1"/>
  <c r="U334" i="1"/>
  <c r="S334" i="1" s="1"/>
  <c r="U335" i="1"/>
  <c r="S335" i="1" s="1"/>
  <c r="U336" i="1"/>
  <c r="S336" i="1" s="1"/>
  <c r="U337" i="1"/>
  <c r="S337" i="1" s="1"/>
  <c r="U338" i="1"/>
  <c r="S338" i="1" s="1"/>
  <c r="U339" i="1"/>
  <c r="S339" i="1" s="1"/>
  <c r="U340" i="1"/>
  <c r="S340" i="1" s="1"/>
  <c r="U341" i="1"/>
  <c r="S341" i="1" s="1"/>
  <c r="U342" i="1"/>
  <c r="S342" i="1" s="1"/>
  <c r="U343" i="1"/>
  <c r="S343" i="1" s="1"/>
  <c r="U344" i="1"/>
  <c r="S344" i="1" s="1"/>
  <c r="U345" i="1"/>
  <c r="S345" i="1" s="1"/>
  <c r="U346" i="1"/>
  <c r="S346" i="1" s="1"/>
  <c r="U347" i="1"/>
  <c r="S347" i="1" s="1"/>
  <c r="U348" i="1"/>
  <c r="S348" i="1" s="1"/>
  <c r="U349" i="1"/>
  <c r="S349" i="1" s="1"/>
  <c r="U350" i="1"/>
  <c r="S350" i="1" s="1"/>
  <c r="U351" i="1"/>
  <c r="S351" i="1" s="1"/>
  <c r="U352" i="1"/>
  <c r="S352" i="1" s="1"/>
  <c r="U353" i="1"/>
  <c r="S353" i="1" s="1"/>
  <c r="U354" i="1"/>
  <c r="S354" i="1" s="1"/>
  <c r="U355" i="1"/>
  <c r="S355" i="1" s="1"/>
  <c r="U356" i="1"/>
  <c r="S356" i="1" s="1"/>
  <c r="U357" i="1"/>
  <c r="S357" i="1" s="1"/>
  <c r="U358" i="1"/>
  <c r="S358" i="1" s="1"/>
  <c r="U359" i="1"/>
  <c r="S359" i="1" s="1"/>
  <c r="U360" i="1"/>
  <c r="S360" i="1" s="1"/>
  <c r="U361" i="1"/>
  <c r="S361" i="1" s="1"/>
  <c r="U362" i="1"/>
  <c r="S362" i="1" s="1"/>
  <c r="U363" i="1"/>
  <c r="S363" i="1" s="1"/>
  <c r="U364" i="1"/>
  <c r="S364" i="1" s="1"/>
  <c r="U365" i="1"/>
  <c r="S365" i="1" s="1"/>
  <c r="U366" i="1"/>
  <c r="S366" i="1" s="1"/>
  <c r="U367" i="1"/>
  <c r="S367" i="1" s="1"/>
  <c r="U368" i="1"/>
  <c r="S368" i="1" s="1"/>
  <c r="U369" i="1"/>
  <c r="S369" i="1" s="1"/>
  <c r="U370" i="1"/>
  <c r="S370" i="1" s="1"/>
  <c r="U371" i="1"/>
  <c r="S371" i="1" s="1"/>
  <c r="U372" i="1"/>
  <c r="S372" i="1" s="1"/>
  <c r="U373" i="1"/>
  <c r="S373" i="1" s="1"/>
  <c r="U374" i="1"/>
  <c r="S374" i="1" s="1"/>
  <c r="U375" i="1"/>
  <c r="S375" i="1" s="1"/>
  <c r="U376" i="1"/>
  <c r="S376" i="1" s="1"/>
  <c r="U377" i="1"/>
  <c r="S377" i="1" s="1"/>
  <c r="U378" i="1"/>
  <c r="S378" i="1" s="1"/>
  <c r="U379" i="1"/>
  <c r="S379" i="1" s="1"/>
  <c r="U380" i="1"/>
  <c r="S380" i="1" s="1"/>
  <c r="U381" i="1"/>
  <c r="S381" i="1" s="1"/>
  <c r="U382" i="1"/>
  <c r="S382" i="1" s="1"/>
  <c r="U383" i="1"/>
  <c r="S383" i="1" s="1"/>
  <c r="U384" i="1"/>
  <c r="S384" i="1" s="1"/>
  <c r="U385" i="1"/>
  <c r="S385" i="1" s="1"/>
  <c r="U386" i="1"/>
  <c r="S386" i="1" s="1"/>
  <c r="U387" i="1"/>
  <c r="S387" i="1" s="1"/>
  <c r="U388" i="1"/>
  <c r="S388" i="1" s="1"/>
  <c r="U389" i="1"/>
  <c r="S389" i="1" s="1"/>
  <c r="U390" i="1"/>
  <c r="S390" i="1" s="1"/>
  <c r="U391" i="1"/>
  <c r="S391" i="1" s="1"/>
  <c r="U392" i="1"/>
  <c r="S392" i="1" s="1"/>
  <c r="U393" i="1"/>
  <c r="S393" i="1" s="1"/>
  <c r="U394" i="1"/>
  <c r="S394" i="1" s="1"/>
  <c r="U395" i="1"/>
  <c r="S395" i="1" s="1"/>
  <c r="U396" i="1"/>
  <c r="S396" i="1" s="1"/>
  <c r="U397" i="1"/>
  <c r="S397" i="1" s="1"/>
  <c r="U398" i="1"/>
  <c r="S398" i="1" s="1"/>
  <c r="U399" i="1"/>
  <c r="S399" i="1" s="1"/>
  <c r="U400" i="1"/>
  <c r="S400" i="1" s="1"/>
  <c r="U401" i="1"/>
  <c r="S401" i="1" s="1"/>
  <c r="U402" i="1"/>
  <c r="S402" i="1" s="1"/>
  <c r="U403" i="1"/>
  <c r="S403" i="1" s="1"/>
  <c r="U404" i="1"/>
  <c r="S404" i="1" s="1"/>
  <c r="U405" i="1"/>
  <c r="S405" i="1" s="1"/>
  <c r="U406" i="1"/>
  <c r="S406" i="1" s="1"/>
  <c r="U407" i="1"/>
  <c r="S407" i="1" s="1"/>
  <c r="U408" i="1"/>
  <c r="S408" i="1" s="1"/>
  <c r="U409" i="1"/>
  <c r="S409" i="1" s="1"/>
  <c r="U410" i="1"/>
  <c r="S410" i="1" s="1"/>
  <c r="U411" i="1"/>
  <c r="S411" i="1" s="1"/>
  <c r="U412" i="1"/>
  <c r="S412" i="1" s="1"/>
  <c r="U413" i="1"/>
  <c r="S413" i="1" s="1"/>
  <c r="U414" i="1"/>
  <c r="S414" i="1" s="1"/>
  <c r="U415" i="1"/>
  <c r="S415" i="1" s="1"/>
  <c r="U416" i="1"/>
  <c r="S416" i="1" s="1"/>
  <c r="U417" i="1"/>
  <c r="S417" i="1" s="1"/>
  <c r="U418" i="1"/>
  <c r="S418" i="1" s="1"/>
  <c r="U419" i="1"/>
  <c r="S419" i="1" s="1"/>
  <c r="U420" i="1"/>
  <c r="S420" i="1" s="1"/>
  <c r="U421" i="1"/>
  <c r="S421" i="1" s="1"/>
  <c r="U422" i="1"/>
  <c r="S422" i="1" s="1"/>
  <c r="U423" i="1"/>
  <c r="S423" i="1" s="1"/>
  <c r="U424" i="1"/>
  <c r="S424" i="1" s="1"/>
  <c r="U425" i="1"/>
  <c r="S425" i="1" s="1"/>
  <c r="U426" i="1"/>
  <c r="S426" i="1" s="1"/>
  <c r="U427" i="1"/>
  <c r="S427" i="1" s="1"/>
  <c r="U428" i="1"/>
  <c r="S428" i="1" s="1"/>
  <c r="U429" i="1"/>
  <c r="S429" i="1" s="1"/>
  <c r="U430" i="1"/>
  <c r="S430" i="1" s="1"/>
  <c r="U431" i="1"/>
  <c r="S431" i="1" s="1"/>
  <c r="U432" i="1"/>
  <c r="S432" i="1" s="1"/>
  <c r="U433" i="1"/>
  <c r="S433" i="1" s="1"/>
  <c r="U434" i="1"/>
  <c r="S434" i="1" s="1"/>
  <c r="U435" i="1"/>
  <c r="S435" i="1" s="1"/>
  <c r="U436" i="1"/>
  <c r="S436" i="1" s="1"/>
  <c r="U437" i="1"/>
  <c r="S437" i="1" s="1"/>
  <c r="U438" i="1"/>
  <c r="S438" i="1" s="1"/>
  <c r="U439" i="1"/>
  <c r="S439" i="1" s="1"/>
  <c r="U440" i="1"/>
  <c r="S440" i="1" s="1"/>
  <c r="U441" i="1"/>
  <c r="S441" i="1" s="1"/>
  <c r="U442" i="1"/>
  <c r="S442" i="1" s="1"/>
  <c r="U443" i="1"/>
  <c r="S443" i="1" s="1"/>
  <c r="U444" i="1"/>
  <c r="S444" i="1" s="1"/>
  <c r="U445" i="1"/>
  <c r="S445" i="1" s="1"/>
  <c r="U446" i="1"/>
  <c r="S446" i="1" s="1"/>
  <c r="U447" i="1"/>
  <c r="S447" i="1" s="1"/>
  <c r="U448" i="1"/>
  <c r="S448" i="1" s="1"/>
  <c r="U449" i="1"/>
  <c r="S449" i="1" s="1"/>
  <c r="U450" i="1"/>
  <c r="S450" i="1" s="1"/>
  <c r="U451" i="1"/>
  <c r="S451" i="1" s="1"/>
  <c r="U452" i="1"/>
  <c r="S452" i="1" s="1"/>
  <c r="U453" i="1"/>
  <c r="S453" i="1" s="1"/>
  <c r="U454" i="1"/>
  <c r="S454" i="1" s="1"/>
  <c r="U455" i="1"/>
  <c r="S455" i="1" s="1"/>
  <c r="U456" i="1"/>
  <c r="S456" i="1" s="1"/>
  <c r="U457" i="1"/>
  <c r="S457" i="1" s="1"/>
  <c r="U458" i="1"/>
  <c r="S458" i="1" s="1"/>
  <c r="U459" i="1"/>
  <c r="S459" i="1" s="1"/>
  <c r="U460" i="1"/>
  <c r="S460" i="1" s="1"/>
  <c r="U461" i="1"/>
  <c r="S461" i="1" s="1"/>
  <c r="U462" i="1"/>
  <c r="S462" i="1" s="1"/>
  <c r="U463" i="1"/>
  <c r="S463" i="1" s="1"/>
  <c r="U464" i="1"/>
  <c r="S464" i="1" s="1"/>
  <c r="U465" i="1"/>
  <c r="S465" i="1" s="1"/>
  <c r="U466" i="1"/>
  <c r="S466" i="1" s="1"/>
  <c r="U467" i="1"/>
  <c r="S467" i="1" s="1"/>
  <c r="U468" i="1"/>
  <c r="S468" i="1" s="1"/>
  <c r="U469" i="1"/>
  <c r="S469" i="1" s="1"/>
  <c r="U470" i="1"/>
  <c r="S470" i="1" s="1"/>
  <c r="U471" i="1"/>
  <c r="S471" i="1" s="1"/>
  <c r="U472" i="1"/>
  <c r="S472" i="1" s="1"/>
  <c r="U473" i="1"/>
  <c r="S473" i="1" s="1"/>
  <c r="U474" i="1"/>
  <c r="S474" i="1" s="1"/>
  <c r="U475" i="1"/>
  <c r="S475" i="1" s="1"/>
  <c r="U476" i="1"/>
  <c r="S476" i="1" s="1"/>
  <c r="U477" i="1"/>
  <c r="S477" i="1" s="1"/>
  <c r="U478" i="1"/>
  <c r="S478" i="1" s="1"/>
  <c r="U479" i="1"/>
  <c r="S479" i="1" s="1"/>
  <c r="U480" i="1"/>
  <c r="S480" i="1" s="1"/>
  <c r="U481" i="1"/>
  <c r="S481" i="1" s="1"/>
  <c r="U482" i="1"/>
  <c r="S482" i="1" s="1"/>
  <c r="U483" i="1"/>
  <c r="S483" i="1" s="1"/>
  <c r="U484" i="1"/>
  <c r="S484" i="1" s="1"/>
  <c r="U485" i="1"/>
  <c r="S485" i="1" s="1"/>
  <c r="U486" i="1"/>
  <c r="S486" i="1" s="1"/>
  <c r="U487" i="1"/>
  <c r="S487" i="1" s="1"/>
  <c r="U488" i="1"/>
  <c r="S488" i="1" s="1"/>
  <c r="U489" i="1"/>
  <c r="S489" i="1" s="1"/>
  <c r="U490" i="1"/>
  <c r="S490" i="1" s="1"/>
  <c r="U491" i="1"/>
  <c r="S491" i="1" s="1"/>
  <c r="U492" i="1"/>
  <c r="S492" i="1" s="1"/>
  <c r="U493" i="1"/>
  <c r="S493" i="1" s="1"/>
  <c r="U494" i="1"/>
  <c r="S494" i="1" s="1"/>
  <c r="U495" i="1"/>
  <c r="S495" i="1" s="1"/>
  <c r="U496" i="1"/>
  <c r="S496" i="1" s="1"/>
  <c r="U497" i="1"/>
  <c r="S497" i="1" s="1"/>
  <c r="U498" i="1"/>
  <c r="S498" i="1" s="1"/>
  <c r="U499" i="1"/>
  <c r="S499" i="1" s="1"/>
  <c r="U500" i="1"/>
  <c r="S500" i="1" s="1"/>
  <c r="U501" i="1"/>
  <c r="S501" i="1" s="1"/>
  <c r="U502" i="1"/>
  <c r="S502" i="1" s="1"/>
  <c r="U503" i="1"/>
  <c r="S503" i="1" s="1"/>
  <c r="U504" i="1"/>
  <c r="S504" i="1" s="1"/>
  <c r="U505" i="1"/>
  <c r="S505" i="1" s="1"/>
  <c r="U506" i="1"/>
  <c r="S506" i="1" s="1"/>
  <c r="U507" i="1"/>
  <c r="S507" i="1" s="1"/>
  <c r="U508" i="1"/>
  <c r="S508" i="1" s="1"/>
  <c r="U509" i="1"/>
  <c r="S509" i="1" s="1"/>
  <c r="U510" i="1"/>
  <c r="S510" i="1" s="1"/>
  <c r="U511" i="1"/>
  <c r="S511" i="1" s="1"/>
  <c r="U512" i="1"/>
  <c r="S512" i="1" s="1"/>
  <c r="U513" i="1"/>
  <c r="S513" i="1" s="1"/>
  <c r="U514" i="1"/>
  <c r="S514" i="1" s="1"/>
  <c r="U515" i="1"/>
  <c r="S515" i="1" s="1"/>
  <c r="U516" i="1"/>
  <c r="S516" i="1" s="1"/>
  <c r="U517" i="1"/>
  <c r="S517" i="1" s="1"/>
  <c r="U518" i="1"/>
  <c r="S518" i="1" s="1"/>
  <c r="U519" i="1"/>
  <c r="S519" i="1" s="1"/>
  <c r="U520" i="1"/>
  <c r="S520" i="1" s="1"/>
  <c r="U521" i="1"/>
  <c r="S521" i="1" s="1"/>
  <c r="U522" i="1"/>
  <c r="S522" i="1" s="1"/>
  <c r="U523" i="1"/>
  <c r="S523" i="1" s="1"/>
  <c r="U524" i="1"/>
  <c r="S524" i="1" s="1"/>
  <c r="U525" i="1"/>
  <c r="S525" i="1" s="1"/>
  <c r="U526" i="1"/>
  <c r="S526" i="1" s="1"/>
  <c r="U527" i="1"/>
  <c r="S527" i="1" s="1"/>
  <c r="U528" i="1"/>
  <c r="S528" i="1" s="1"/>
  <c r="U529" i="1"/>
  <c r="S529" i="1" s="1"/>
  <c r="U530" i="1"/>
  <c r="S530" i="1" s="1"/>
  <c r="U531" i="1"/>
  <c r="S531" i="1" s="1"/>
  <c r="U532" i="1"/>
  <c r="S532" i="1" s="1"/>
  <c r="U533" i="1"/>
  <c r="S533" i="1" s="1"/>
  <c r="U534" i="1"/>
  <c r="S534" i="1" s="1"/>
  <c r="U535" i="1"/>
  <c r="S535" i="1" s="1"/>
  <c r="U536" i="1"/>
  <c r="S536" i="1" s="1"/>
  <c r="U537" i="1"/>
  <c r="S537" i="1" s="1"/>
  <c r="U538" i="1"/>
  <c r="S538" i="1" s="1"/>
  <c r="U539" i="1"/>
  <c r="S539" i="1" s="1"/>
  <c r="U540" i="1"/>
  <c r="S540" i="1" s="1"/>
  <c r="U541" i="1"/>
  <c r="S541" i="1" s="1"/>
  <c r="U542" i="1"/>
  <c r="S542" i="1" s="1"/>
  <c r="U543" i="1"/>
  <c r="S543" i="1" s="1"/>
  <c r="U544" i="1"/>
  <c r="S544" i="1" s="1"/>
  <c r="U545" i="1"/>
  <c r="S545" i="1" s="1"/>
  <c r="U546" i="1"/>
  <c r="S546" i="1" s="1"/>
  <c r="U547" i="1"/>
  <c r="S547" i="1" s="1"/>
  <c r="U548" i="1"/>
  <c r="S548" i="1" s="1"/>
  <c r="U549" i="1"/>
  <c r="S549" i="1" s="1"/>
  <c r="U550" i="1"/>
  <c r="S550" i="1" s="1"/>
  <c r="U551" i="1"/>
  <c r="S551" i="1" s="1"/>
  <c r="U552" i="1"/>
  <c r="S552" i="1" s="1"/>
  <c r="U553" i="1"/>
  <c r="S553" i="1" s="1"/>
  <c r="U554" i="1"/>
  <c r="S554" i="1" s="1"/>
  <c r="U555" i="1"/>
  <c r="S555" i="1" s="1"/>
  <c r="U556" i="1"/>
  <c r="S556" i="1" s="1"/>
  <c r="U557" i="1"/>
  <c r="S557" i="1" s="1"/>
  <c r="U558" i="1"/>
  <c r="S558" i="1" s="1"/>
  <c r="U559" i="1"/>
  <c r="S559" i="1" s="1"/>
  <c r="U560" i="1"/>
  <c r="S560" i="1" s="1"/>
  <c r="U561" i="1"/>
  <c r="S561" i="1" s="1"/>
  <c r="U562" i="1"/>
  <c r="S562" i="1" s="1"/>
  <c r="U563" i="1"/>
  <c r="S563" i="1" s="1"/>
  <c r="U564" i="1"/>
  <c r="S564" i="1" s="1"/>
  <c r="U565" i="1"/>
  <c r="S565" i="1" s="1"/>
  <c r="U566" i="1"/>
  <c r="S566" i="1" s="1"/>
  <c r="U567" i="1"/>
  <c r="S567" i="1" s="1"/>
  <c r="U568" i="1"/>
  <c r="S568" i="1" s="1"/>
  <c r="U569" i="1"/>
  <c r="S569" i="1" s="1"/>
  <c r="U570" i="1"/>
  <c r="S570" i="1" s="1"/>
  <c r="U571" i="1"/>
  <c r="S571" i="1" s="1"/>
  <c r="U572" i="1"/>
  <c r="S572" i="1" s="1"/>
  <c r="U573" i="1"/>
  <c r="S573" i="1" s="1"/>
  <c r="U574" i="1"/>
  <c r="S574" i="1" s="1"/>
  <c r="U575" i="1"/>
  <c r="S575" i="1" s="1"/>
  <c r="U576" i="1"/>
  <c r="S576" i="1" s="1"/>
  <c r="U577" i="1"/>
  <c r="S577" i="1" s="1"/>
  <c r="U578" i="1"/>
  <c r="S578" i="1" s="1"/>
  <c r="U579" i="1"/>
  <c r="S579" i="1" s="1"/>
  <c r="U580" i="1"/>
  <c r="S580" i="1" s="1"/>
  <c r="U581" i="1"/>
  <c r="S581" i="1" s="1"/>
  <c r="U582" i="1"/>
  <c r="S582" i="1" s="1"/>
  <c r="U583" i="1"/>
  <c r="S583" i="1" s="1"/>
  <c r="U584" i="1"/>
  <c r="S584" i="1" s="1"/>
  <c r="U585" i="1"/>
  <c r="S585" i="1" s="1"/>
  <c r="U586" i="1"/>
  <c r="S586" i="1" s="1"/>
  <c r="U587" i="1"/>
  <c r="S587" i="1" s="1"/>
  <c r="U588" i="1"/>
  <c r="S588" i="1" s="1"/>
  <c r="U589" i="1"/>
  <c r="S589" i="1" s="1"/>
  <c r="U590" i="1"/>
  <c r="S590" i="1" s="1"/>
  <c r="U591" i="1"/>
  <c r="S591" i="1" s="1"/>
  <c r="U592" i="1"/>
  <c r="S592" i="1" s="1"/>
  <c r="U593" i="1"/>
  <c r="S593" i="1" s="1"/>
  <c r="U594" i="1"/>
  <c r="S594" i="1" s="1"/>
  <c r="U595" i="1"/>
  <c r="S595" i="1" s="1"/>
  <c r="U596" i="1"/>
  <c r="S596" i="1" s="1"/>
  <c r="U597" i="1"/>
  <c r="S597" i="1" s="1"/>
  <c r="U598" i="1"/>
  <c r="S598" i="1" s="1"/>
  <c r="U599" i="1"/>
  <c r="S599" i="1" s="1"/>
  <c r="U600" i="1"/>
  <c r="S600" i="1" s="1"/>
  <c r="U601" i="1"/>
  <c r="S601" i="1" s="1"/>
  <c r="U602" i="1"/>
  <c r="S602" i="1" s="1"/>
  <c r="U603" i="1"/>
  <c r="S603" i="1" s="1"/>
  <c r="U604" i="1"/>
  <c r="S604" i="1" s="1"/>
  <c r="U605" i="1"/>
  <c r="S605" i="1" s="1"/>
  <c r="U606" i="1"/>
  <c r="S606" i="1" s="1"/>
  <c r="U607" i="1"/>
  <c r="S607" i="1" s="1"/>
  <c r="U608" i="1"/>
  <c r="S608" i="1" s="1"/>
  <c r="U609" i="1"/>
  <c r="S609" i="1" s="1"/>
  <c r="U610" i="1"/>
  <c r="S610" i="1" s="1"/>
  <c r="U611" i="1"/>
  <c r="S611" i="1" s="1"/>
  <c r="U612" i="1"/>
  <c r="S612" i="1" s="1"/>
  <c r="U613" i="1"/>
  <c r="S613" i="1" s="1"/>
  <c r="U614" i="1"/>
  <c r="S614" i="1" s="1"/>
  <c r="U615" i="1"/>
  <c r="S615" i="1" s="1"/>
  <c r="U616" i="1"/>
  <c r="S616" i="1" s="1"/>
  <c r="U617" i="1"/>
  <c r="S617" i="1" s="1"/>
  <c r="U618" i="1"/>
  <c r="S618" i="1" s="1"/>
  <c r="U619" i="1"/>
  <c r="S619" i="1" s="1"/>
  <c r="U620" i="1"/>
  <c r="S620" i="1" s="1"/>
  <c r="U621" i="1"/>
  <c r="S621" i="1" s="1"/>
  <c r="U622" i="1"/>
  <c r="S622" i="1" s="1"/>
  <c r="U623" i="1"/>
  <c r="S623" i="1" s="1"/>
  <c r="U624" i="1"/>
  <c r="S624" i="1" s="1"/>
  <c r="U625" i="1"/>
  <c r="S625" i="1" s="1"/>
  <c r="U626" i="1"/>
  <c r="S626" i="1" s="1"/>
  <c r="U627" i="1"/>
  <c r="S627" i="1" s="1"/>
  <c r="U628" i="1"/>
  <c r="S628" i="1" s="1"/>
  <c r="U629" i="1"/>
  <c r="S629" i="1" s="1"/>
  <c r="U630" i="1"/>
  <c r="S630" i="1" s="1"/>
  <c r="U631" i="1"/>
  <c r="S631" i="1" s="1"/>
  <c r="U632" i="1"/>
  <c r="S632" i="1" s="1"/>
  <c r="U633" i="1"/>
  <c r="S633" i="1" s="1"/>
  <c r="U634" i="1"/>
  <c r="S634" i="1" s="1"/>
  <c r="U635" i="1"/>
  <c r="S635" i="1" s="1"/>
  <c r="U636" i="1"/>
  <c r="S636" i="1" s="1"/>
  <c r="U637" i="1"/>
  <c r="S637" i="1" s="1"/>
  <c r="U638" i="1"/>
  <c r="S638" i="1" s="1"/>
  <c r="U639" i="1"/>
  <c r="S639" i="1" s="1"/>
  <c r="U640" i="1"/>
  <c r="S640" i="1" s="1"/>
  <c r="U641" i="1"/>
  <c r="S641" i="1" s="1"/>
  <c r="U642" i="1"/>
  <c r="S642" i="1" s="1"/>
  <c r="U643" i="1"/>
  <c r="S643" i="1" s="1"/>
  <c r="U644" i="1"/>
  <c r="S644" i="1" s="1"/>
  <c r="U645" i="1"/>
  <c r="S645" i="1" s="1"/>
  <c r="U646" i="1"/>
  <c r="S646" i="1" s="1"/>
  <c r="U647" i="1"/>
  <c r="S647" i="1" s="1"/>
  <c r="U648" i="1"/>
  <c r="S648" i="1" s="1"/>
  <c r="U649" i="1"/>
  <c r="S649" i="1" s="1"/>
  <c r="U650" i="1"/>
  <c r="S650" i="1" s="1"/>
  <c r="U651" i="1"/>
  <c r="S651" i="1" s="1"/>
  <c r="U652" i="1"/>
  <c r="S652" i="1" s="1"/>
  <c r="U653" i="1"/>
  <c r="S653" i="1" s="1"/>
  <c r="U654" i="1"/>
  <c r="S654" i="1" s="1"/>
  <c r="U655" i="1"/>
  <c r="S655" i="1" s="1"/>
  <c r="U656" i="1"/>
  <c r="S656" i="1" s="1"/>
  <c r="U657" i="1"/>
  <c r="S657" i="1" s="1"/>
  <c r="U658" i="1"/>
  <c r="S658" i="1" s="1"/>
  <c r="U659" i="1"/>
  <c r="S659" i="1" s="1"/>
  <c r="U660" i="1"/>
  <c r="S660" i="1" s="1"/>
  <c r="U661" i="1"/>
  <c r="S661" i="1" s="1"/>
  <c r="U662" i="1"/>
  <c r="S662" i="1" s="1"/>
  <c r="U663" i="1"/>
  <c r="S663" i="1" s="1"/>
  <c r="U664" i="1"/>
  <c r="S664" i="1" s="1"/>
  <c r="U665" i="1"/>
  <c r="S665" i="1" s="1"/>
  <c r="U666" i="1"/>
  <c r="S666" i="1" s="1"/>
  <c r="U667" i="1"/>
  <c r="S667" i="1" s="1"/>
  <c r="U668" i="1"/>
  <c r="S668" i="1" s="1"/>
  <c r="U669" i="1"/>
  <c r="S669" i="1" s="1"/>
  <c r="U670" i="1"/>
  <c r="S670" i="1" s="1"/>
  <c r="U671" i="1"/>
  <c r="S671" i="1" s="1"/>
  <c r="U672" i="1"/>
  <c r="S672" i="1" s="1"/>
  <c r="U673" i="1"/>
  <c r="S673" i="1" s="1"/>
  <c r="U674" i="1"/>
  <c r="S674" i="1" s="1"/>
  <c r="U675" i="1"/>
  <c r="S675" i="1" s="1"/>
  <c r="U676" i="1"/>
  <c r="S676" i="1" s="1"/>
  <c r="U677" i="1"/>
  <c r="S677" i="1" s="1"/>
  <c r="U678" i="1"/>
  <c r="S678" i="1" s="1"/>
  <c r="U679" i="1"/>
  <c r="S679" i="1" s="1"/>
  <c r="U680" i="1"/>
  <c r="S680" i="1" s="1"/>
  <c r="U681" i="1"/>
  <c r="S681" i="1" s="1"/>
  <c r="U682" i="1"/>
  <c r="S682" i="1" s="1"/>
  <c r="U683" i="1"/>
  <c r="S683" i="1" s="1"/>
  <c r="U684" i="1"/>
  <c r="S684" i="1" s="1"/>
  <c r="U685" i="1"/>
  <c r="S685" i="1" s="1"/>
  <c r="U686" i="1"/>
  <c r="S686" i="1" s="1"/>
  <c r="U687" i="1"/>
  <c r="S687" i="1" s="1"/>
  <c r="U688" i="1"/>
  <c r="S688" i="1" s="1"/>
  <c r="U689" i="1"/>
  <c r="S689" i="1" s="1"/>
  <c r="U690" i="1"/>
  <c r="S690" i="1" s="1"/>
  <c r="U691" i="1"/>
  <c r="S691" i="1" s="1"/>
  <c r="U692" i="1"/>
  <c r="S692" i="1" s="1"/>
  <c r="U693" i="1"/>
  <c r="S693" i="1" s="1"/>
  <c r="U694" i="1"/>
  <c r="S694" i="1" s="1"/>
  <c r="U695" i="1"/>
  <c r="S695" i="1" s="1"/>
  <c r="U696" i="1"/>
  <c r="S696" i="1" s="1"/>
  <c r="U697" i="1"/>
  <c r="S697" i="1" s="1"/>
  <c r="U698" i="1"/>
  <c r="S698" i="1" s="1"/>
  <c r="U699" i="1"/>
  <c r="S699" i="1" s="1"/>
  <c r="U700" i="1"/>
  <c r="S700" i="1" s="1"/>
  <c r="U701" i="1"/>
  <c r="S701" i="1" s="1"/>
  <c r="U702" i="1"/>
  <c r="S702" i="1" s="1"/>
  <c r="U703" i="1"/>
  <c r="S703" i="1" s="1"/>
  <c r="U704" i="1"/>
  <c r="S704" i="1" s="1"/>
  <c r="U705" i="1"/>
  <c r="S705" i="1" s="1"/>
  <c r="U706" i="1"/>
  <c r="S706" i="1" s="1"/>
  <c r="U707" i="1"/>
  <c r="S707" i="1" s="1"/>
  <c r="U708" i="1"/>
  <c r="S708" i="1" s="1"/>
  <c r="U709" i="1"/>
  <c r="S709" i="1" s="1"/>
  <c r="U710" i="1"/>
  <c r="S710" i="1" s="1"/>
  <c r="U711" i="1"/>
  <c r="S711" i="1" s="1"/>
  <c r="U712" i="1"/>
  <c r="S712" i="1" s="1"/>
  <c r="U713" i="1"/>
  <c r="S713" i="1" s="1"/>
  <c r="U714" i="1"/>
  <c r="S714" i="1" s="1"/>
  <c r="U715" i="1"/>
  <c r="S715" i="1" s="1"/>
  <c r="U716" i="1"/>
  <c r="S716" i="1" s="1"/>
  <c r="U717" i="1"/>
  <c r="S717" i="1" s="1"/>
  <c r="U718" i="1"/>
  <c r="S718" i="1" s="1"/>
  <c r="U719" i="1"/>
  <c r="S719" i="1" s="1"/>
  <c r="U720" i="1"/>
  <c r="S720" i="1" s="1"/>
  <c r="U721" i="1"/>
  <c r="S721" i="1" s="1"/>
  <c r="U722" i="1"/>
  <c r="S722" i="1" s="1"/>
  <c r="U723" i="1"/>
  <c r="S723" i="1" s="1"/>
  <c r="U724" i="1"/>
  <c r="S724" i="1" s="1"/>
  <c r="U725" i="1"/>
  <c r="S725" i="1" s="1"/>
  <c r="U726" i="1"/>
  <c r="S726" i="1" s="1"/>
  <c r="U727" i="1"/>
  <c r="S727" i="1" s="1"/>
  <c r="U728" i="1"/>
  <c r="S728" i="1" s="1"/>
  <c r="U729" i="1"/>
  <c r="S729" i="1" s="1"/>
  <c r="U730" i="1"/>
  <c r="S730" i="1" s="1"/>
  <c r="U731" i="1"/>
  <c r="S731" i="1" s="1"/>
  <c r="U732" i="1"/>
  <c r="S732" i="1" s="1"/>
  <c r="U733" i="1"/>
  <c r="S733" i="1" s="1"/>
  <c r="U734" i="1"/>
  <c r="S734" i="1" s="1"/>
  <c r="U735" i="1"/>
  <c r="S735" i="1" s="1"/>
  <c r="U736" i="1"/>
  <c r="S736" i="1" s="1"/>
  <c r="U737" i="1"/>
  <c r="S737" i="1" s="1"/>
  <c r="U738" i="1"/>
  <c r="S738" i="1" s="1"/>
  <c r="U739" i="1"/>
  <c r="S739" i="1" s="1"/>
  <c r="U740" i="1"/>
  <c r="S740" i="1" s="1"/>
  <c r="U741" i="1"/>
  <c r="S741" i="1" s="1"/>
  <c r="U742" i="1"/>
  <c r="S742" i="1" s="1"/>
  <c r="U743" i="1"/>
  <c r="S743" i="1" s="1"/>
  <c r="U744" i="1"/>
  <c r="S744" i="1" s="1"/>
  <c r="U745" i="1"/>
  <c r="S745" i="1" s="1"/>
  <c r="U746" i="1"/>
  <c r="S746" i="1" s="1"/>
  <c r="U747" i="1"/>
  <c r="S747" i="1" s="1"/>
  <c r="U748" i="1"/>
  <c r="S748" i="1" s="1"/>
  <c r="U749" i="1"/>
  <c r="S749" i="1" s="1"/>
  <c r="U750" i="1"/>
  <c r="S750" i="1" s="1"/>
  <c r="U751" i="1"/>
  <c r="S751" i="1" s="1"/>
  <c r="U752" i="1"/>
  <c r="S752" i="1" s="1"/>
  <c r="U753" i="1"/>
  <c r="S753" i="1" s="1"/>
  <c r="U754" i="1"/>
  <c r="S754" i="1" s="1"/>
  <c r="U755" i="1"/>
  <c r="S755" i="1" s="1"/>
  <c r="U756" i="1"/>
  <c r="S756" i="1" s="1"/>
  <c r="U757" i="1"/>
  <c r="S757" i="1" s="1"/>
  <c r="U758" i="1"/>
  <c r="S758" i="1" s="1"/>
  <c r="U759" i="1"/>
  <c r="S759" i="1" s="1"/>
  <c r="U760" i="1"/>
  <c r="S760" i="1" s="1"/>
  <c r="U761" i="1"/>
  <c r="S761" i="1" s="1"/>
  <c r="U762" i="1"/>
  <c r="S762" i="1" s="1"/>
  <c r="U763" i="1"/>
  <c r="S763" i="1" s="1"/>
  <c r="U764" i="1"/>
  <c r="S764" i="1" s="1"/>
  <c r="U765" i="1"/>
  <c r="S765" i="1" s="1"/>
  <c r="U766" i="1"/>
  <c r="S766" i="1" s="1"/>
  <c r="U767" i="1"/>
  <c r="S767" i="1" s="1"/>
  <c r="U768" i="1"/>
  <c r="S768" i="1" s="1"/>
  <c r="U769" i="1"/>
  <c r="S769" i="1" s="1"/>
  <c r="U770" i="1"/>
  <c r="S770" i="1" s="1"/>
  <c r="U771" i="1"/>
  <c r="S771" i="1" s="1"/>
  <c r="U772" i="1"/>
  <c r="S772" i="1" s="1"/>
  <c r="U773" i="1"/>
  <c r="S773" i="1" s="1"/>
  <c r="U774" i="1"/>
  <c r="S774" i="1" s="1"/>
  <c r="U775" i="1"/>
  <c r="S775" i="1" s="1"/>
  <c r="U776" i="1"/>
  <c r="S776" i="1" s="1"/>
  <c r="U777" i="1"/>
  <c r="S777" i="1" s="1"/>
  <c r="U778" i="1"/>
  <c r="S778" i="1" s="1"/>
  <c r="U779" i="1"/>
  <c r="S779" i="1" s="1"/>
  <c r="U780" i="1"/>
  <c r="S780" i="1" s="1"/>
  <c r="U781" i="1"/>
  <c r="S781" i="1" s="1"/>
  <c r="U782" i="1"/>
  <c r="S782" i="1" s="1"/>
  <c r="U783" i="1"/>
  <c r="S783" i="1" s="1"/>
  <c r="U784" i="1"/>
  <c r="S784" i="1" s="1"/>
  <c r="U785" i="1"/>
  <c r="S785" i="1" s="1"/>
  <c r="U786" i="1"/>
  <c r="S786" i="1" s="1"/>
  <c r="U787" i="1"/>
  <c r="S787" i="1" s="1"/>
  <c r="U788" i="1"/>
  <c r="S788" i="1" s="1"/>
  <c r="U789" i="1"/>
  <c r="S789" i="1" s="1"/>
  <c r="U790" i="1"/>
  <c r="S790" i="1" s="1"/>
  <c r="U791" i="1"/>
  <c r="S791" i="1" s="1"/>
  <c r="U792" i="1"/>
  <c r="S792" i="1" s="1"/>
  <c r="U793" i="1"/>
  <c r="S793" i="1" s="1"/>
  <c r="U794" i="1"/>
  <c r="S794" i="1" s="1"/>
  <c r="U795" i="1"/>
  <c r="S795" i="1" s="1"/>
  <c r="U796" i="1"/>
  <c r="S796" i="1" s="1"/>
  <c r="U797" i="1"/>
  <c r="S797" i="1" s="1"/>
  <c r="U798" i="1"/>
  <c r="S798" i="1" s="1"/>
  <c r="U799" i="1"/>
  <c r="S799" i="1" s="1"/>
  <c r="U800" i="1"/>
  <c r="S800" i="1" s="1"/>
  <c r="U801" i="1"/>
  <c r="S801" i="1" s="1"/>
  <c r="U802" i="1"/>
  <c r="S802" i="1" s="1"/>
  <c r="U803" i="1"/>
  <c r="S803" i="1" s="1"/>
  <c r="U804" i="1"/>
  <c r="S804" i="1" s="1"/>
  <c r="U805" i="1"/>
  <c r="S805" i="1" s="1"/>
  <c r="U806" i="1"/>
  <c r="S806" i="1" s="1"/>
  <c r="U807" i="1"/>
  <c r="S807" i="1" s="1"/>
  <c r="U808" i="1"/>
  <c r="S808" i="1" s="1"/>
  <c r="U809" i="1"/>
  <c r="S809" i="1" s="1"/>
  <c r="U810" i="1"/>
  <c r="S810" i="1" s="1"/>
  <c r="U811" i="1"/>
  <c r="S811" i="1" s="1"/>
  <c r="U812" i="1"/>
  <c r="S812" i="1" s="1"/>
  <c r="U813" i="1"/>
  <c r="S813" i="1" s="1"/>
  <c r="U814" i="1"/>
  <c r="S814" i="1" s="1"/>
  <c r="U815" i="1"/>
  <c r="S815" i="1" s="1"/>
  <c r="U816" i="1"/>
  <c r="S816" i="1" s="1"/>
  <c r="U817" i="1"/>
  <c r="S817" i="1" s="1"/>
  <c r="U818" i="1"/>
  <c r="S818" i="1" s="1"/>
  <c r="U819" i="1"/>
  <c r="S819" i="1" s="1"/>
  <c r="U820" i="1"/>
  <c r="S820" i="1" s="1"/>
  <c r="U821" i="1"/>
  <c r="S821" i="1" s="1"/>
  <c r="U822" i="1"/>
  <c r="S822" i="1" s="1"/>
  <c r="U823" i="1"/>
  <c r="S823" i="1" s="1"/>
  <c r="U824" i="1"/>
  <c r="S824" i="1" s="1"/>
  <c r="U825" i="1"/>
  <c r="S825" i="1" s="1"/>
  <c r="U826" i="1"/>
  <c r="S826" i="1" s="1"/>
  <c r="U827" i="1"/>
  <c r="S827" i="1" s="1"/>
  <c r="U828" i="1"/>
  <c r="S828" i="1" s="1"/>
  <c r="U829" i="1"/>
  <c r="S829" i="1" s="1"/>
  <c r="U830" i="1"/>
  <c r="S830" i="1" s="1"/>
  <c r="U831" i="1"/>
  <c r="S831" i="1" s="1"/>
  <c r="U832" i="1"/>
  <c r="S832" i="1" s="1"/>
  <c r="U833" i="1"/>
  <c r="S833" i="1" s="1"/>
  <c r="U834" i="1"/>
  <c r="S834" i="1" s="1"/>
  <c r="U835" i="1"/>
  <c r="S835" i="1" s="1"/>
  <c r="U836" i="1"/>
  <c r="S836" i="1" s="1"/>
  <c r="U837" i="1"/>
  <c r="S837" i="1" s="1"/>
  <c r="U838" i="1"/>
  <c r="S838" i="1" s="1"/>
  <c r="U839" i="1"/>
  <c r="S839" i="1" s="1"/>
  <c r="U840" i="1"/>
  <c r="S840" i="1" s="1"/>
  <c r="U841" i="1"/>
  <c r="S841" i="1" s="1"/>
  <c r="U842" i="1"/>
  <c r="S842" i="1" s="1"/>
  <c r="U843" i="1"/>
  <c r="S843" i="1" s="1"/>
  <c r="U844" i="1"/>
  <c r="S844" i="1" s="1"/>
  <c r="U845" i="1"/>
  <c r="S845" i="1" s="1"/>
  <c r="U846" i="1"/>
  <c r="S846" i="1" s="1"/>
  <c r="U847" i="1"/>
  <c r="S847" i="1" s="1"/>
  <c r="U848" i="1"/>
  <c r="S848" i="1" s="1"/>
  <c r="U849" i="1"/>
  <c r="S849" i="1" s="1"/>
  <c r="U850" i="1"/>
  <c r="S850" i="1" s="1"/>
  <c r="U851" i="1"/>
  <c r="S851" i="1" s="1"/>
  <c r="U852" i="1"/>
  <c r="S852" i="1" s="1"/>
  <c r="U853" i="1"/>
  <c r="S853" i="1" s="1"/>
  <c r="U854" i="1"/>
  <c r="S854" i="1" s="1"/>
  <c r="U855" i="1"/>
  <c r="S855" i="1" s="1"/>
  <c r="U856" i="1"/>
  <c r="S856" i="1" s="1"/>
  <c r="U857" i="1"/>
  <c r="S857" i="1" s="1"/>
  <c r="U858" i="1"/>
  <c r="S858" i="1" s="1"/>
  <c r="U859" i="1"/>
  <c r="S859" i="1" s="1"/>
  <c r="U860" i="1"/>
  <c r="S860" i="1" s="1"/>
  <c r="U861" i="1"/>
  <c r="S861" i="1" s="1"/>
  <c r="U862" i="1"/>
  <c r="S862" i="1" s="1"/>
  <c r="U863" i="1"/>
  <c r="S863" i="1" s="1"/>
  <c r="U864" i="1"/>
  <c r="S864" i="1" s="1"/>
  <c r="U865" i="1"/>
  <c r="S865" i="1" s="1"/>
  <c r="U866" i="1"/>
  <c r="S866" i="1" s="1"/>
  <c r="U867" i="1"/>
  <c r="S867" i="1" s="1"/>
  <c r="U868" i="1"/>
  <c r="S868" i="1" s="1"/>
  <c r="U869" i="1"/>
  <c r="S869" i="1" s="1"/>
  <c r="U870" i="1"/>
  <c r="S870" i="1" s="1"/>
  <c r="U871" i="1"/>
  <c r="S871" i="1" s="1"/>
  <c r="U872" i="1"/>
  <c r="S872" i="1" s="1"/>
  <c r="U873" i="1"/>
  <c r="S873" i="1" s="1"/>
  <c r="U874" i="1"/>
  <c r="S874" i="1" s="1"/>
  <c r="U875" i="1"/>
  <c r="S875" i="1" s="1"/>
  <c r="U876" i="1"/>
  <c r="S876" i="1" s="1"/>
  <c r="U877" i="1"/>
  <c r="S877" i="1" s="1"/>
  <c r="U878" i="1"/>
  <c r="S878" i="1" s="1"/>
  <c r="U879" i="1"/>
  <c r="S879" i="1" s="1"/>
  <c r="U880" i="1"/>
  <c r="S880" i="1" s="1"/>
  <c r="U881" i="1"/>
  <c r="S881" i="1" s="1"/>
  <c r="U882" i="1"/>
  <c r="S882" i="1" s="1"/>
  <c r="U883" i="1"/>
  <c r="S883" i="1" s="1"/>
  <c r="U884" i="1"/>
  <c r="S884" i="1" s="1"/>
  <c r="U885" i="1"/>
  <c r="S885" i="1" s="1"/>
  <c r="U886" i="1"/>
  <c r="S886" i="1" s="1"/>
  <c r="U887" i="1"/>
  <c r="S887" i="1" s="1"/>
  <c r="U888" i="1"/>
  <c r="S888" i="1" s="1"/>
  <c r="U889" i="1"/>
  <c r="S889" i="1" s="1"/>
  <c r="U890" i="1"/>
  <c r="S890" i="1" s="1"/>
  <c r="U891" i="1"/>
  <c r="S891" i="1" s="1"/>
  <c r="U892" i="1"/>
  <c r="S892" i="1" s="1"/>
  <c r="U893" i="1"/>
  <c r="S893" i="1" s="1"/>
  <c r="U894" i="1"/>
  <c r="S894" i="1" s="1"/>
  <c r="U895" i="1"/>
  <c r="S895" i="1" s="1"/>
  <c r="U896" i="1"/>
  <c r="S896" i="1" s="1"/>
  <c r="U897" i="1"/>
  <c r="S897" i="1" s="1"/>
  <c r="U898" i="1"/>
  <c r="S898" i="1" s="1"/>
  <c r="U899" i="1"/>
  <c r="S899" i="1" s="1"/>
  <c r="U900" i="1"/>
  <c r="S900" i="1" s="1"/>
  <c r="U901" i="1"/>
  <c r="S901" i="1" s="1"/>
  <c r="U902" i="1"/>
  <c r="S902" i="1" s="1"/>
  <c r="U903" i="1"/>
  <c r="S903" i="1" s="1"/>
  <c r="U904" i="1"/>
  <c r="S904" i="1" s="1"/>
  <c r="U905" i="1"/>
  <c r="S905" i="1" s="1"/>
  <c r="U906" i="1"/>
  <c r="S906" i="1" s="1"/>
  <c r="U907" i="1"/>
  <c r="S907" i="1" s="1"/>
  <c r="U908" i="1"/>
  <c r="S908" i="1" s="1"/>
  <c r="U909" i="1"/>
  <c r="S909" i="1" s="1"/>
  <c r="U910" i="1"/>
  <c r="S910" i="1" s="1"/>
  <c r="U911" i="1"/>
  <c r="S911" i="1" s="1"/>
  <c r="U912" i="1"/>
  <c r="S912" i="1" s="1"/>
  <c r="U913" i="1"/>
  <c r="S913" i="1" s="1"/>
  <c r="U914" i="1"/>
  <c r="S914" i="1" s="1"/>
  <c r="U915" i="1"/>
  <c r="S915" i="1" s="1"/>
  <c r="U916" i="1"/>
  <c r="S916" i="1" s="1"/>
  <c r="U917" i="1"/>
  <c r="S917" i="1" s="1"/>
  <c r="U918" i="1"/>
  <c r="S918" i="1" s="1"/>
  <c r="U919" i="1"/>
  <c r="S919" i="1" s="1"/>
  <c r="U920" i="1"/>
  <c r="S920" i="1" s="1"/>
  <c r="U921" i="1"/>
  <c r="S921" i="1" s="1"/>
  <c r="U922" i="1"/>
  <c r="S922" i="1" s="1"/>
  <c r="U923" i="1"/>
  <c r="S923" i="1" s="1"/>
  <c r="U924" i="1"/>
  <c r="S924" i="1" s="1"/>
  <c r="U925" i="1"/>
  <c r="S925" i="1" s="1"/>
  <c r="U926" i="1"/>
  <c r="S926" i="1" s="1"/>
  <c r="U927" i="1"/>
  <c r="S927" i="1" s="1"/>
  <c r="U928" i="1"/>
  <c r="S928" i="1" s="1"/>
  <c r="U929" i="1"/>
  <c r="S929" i="1" s="1"/>
  <c r="U930" i="1"/>
  <c r="S930" i="1" s="1"/>
  <c r="U931" i="1"/>
  <c r="S931" i="1" s="1"/>
  <c r="U932" i="1"/>
  <c r="S932" i="1" s="1"/>
  <c r="U933" i="1"/>
  <c r="S933" i="1" s="1"/>
  <c r="U934" i="1"/>
  <c r="S934" i="1" s="1"/>
  <c r="U935" i="1"/>
  <c r="S935" i="1" s="1"/>
  <c r="U936" i="1"/>
  <c r="S936" i="1" s="1"/>
  <c r="U937" i="1"/>
  <c r="S937" i="1" s="1"/>
  <c r="U938" i="1"/>
  <c r="S938" i="1" s="1"/>
  <c r="U939" i="1"/>
  <c r="S939" i="1" s="1"/>
  <c r="U940" i="1"/>
  <c r="S940" i="1" s="1"/>
  <c r="U941" i="1"/>
  <c r="S941" i="1" s="1"/>
  <c r="U942" i="1"/>
  <c r="S942" i="1" s="1"/>
  <c r="U943" i="1"/>
  <c r="S943" i="1" s="1"/>
  <c r="U944" i="1"/>
  <c r="S944" i="1" s="1"/>
  <c r="U945" i="1"/>
  <c r="S945" i="1" s="1"/>
  <c r="U946" i="1"/>
  <c r="S946" i="1" s="1"/>
  <c r="U947" i="1"/>
  <c r="S947" i="1" s="1"/>
  <c r="U948" i="1"/>
  <c r="S948" i="1" s="1"/>
  <c r="U949" i="1"/>
  <c r="S949" i="1" s="1"/>
  <c r="U950" i="1"/>
  <c r="S950" i="1" s="1"/>
  <c r="U951" i="1"/>
  <c r="S951" i="1" s="1"/>
  <c r="U952" i="1"/>
  <c r="S952" i="1" s="1"/>
  <c r="U953" i="1"/>
  <c r="S953" i="1" s="1"/>
  <c r="U954" i="1"/>
  <c r="S954" i="1" s="1"/>
  <c r="U955" i="1"/>
  <c r="S955" i="1" s="1"/>
  <c r="U956" i="1"/>
  <c r="S956" i="1" s="1"/>
  <c r="U957" i="1"/>
  <c r="S957" i="1" s="1"/>
  <c r="U958" i="1"/>
  <c r="S958" i="1" s="1"/>
  <c r="U959" i="1"/>
  <c r="S959" i="1" s="1"/>
  <c r="U960" i="1"/>
  <c r="S960" i="1" s="1"/>
  <c r="U961" i="1"/>
  <c r="S961" i="1" s="1"/>
  <c r="U962" i="1"/>
  <c r="S962" i="1" s="1"/>
  <c r="U963" i="1"/>
  <c r="S963" i="1" s="1"/>
  <c r="U964" i="1"/>
  <c r="S964" i="1" s="1"/>
  <c r="U965" i="1"/>
  <c r="S965" i="1" s="1"/>
  <c r="U966" i="1"/>
  <c r="S966" i="1" s="1"/>
  <c r="U967" i="1"/>
  <c r="S967" i="1" s="1"/>
  <c r="U968" i="1"/>
  <c r="S968" i="1" s="1"/>
  <c r="U969" i="1"/>
  <c r="S969" i="1" s="1"/>
  <c r="U970" i="1"/>
  <c r="S970" i="1" s="1"/>
  <c r="U971" i="1"/>
  <c r="S971" i="1" s="1"/>
  <c r="U972" i="1"/>
  <c r="S972" i="1" s="1"/>
  <c r="U973" i="1"/>
  <c r="S973" i="1" s="1"/>
  <c r="U974" i="1"/>
  <c r="S974" i="1" s="1"/>
  <c r="U975" i="1"/>
  <c r="S975" i="1" s="1"/>
  <c r="U976" i="1"/>
  <c r="S976" i="1" s="1"/>
  <c r="U977" i="1"/>
  <c r="S977" i="1" s="1"/>
  <c r="U978" i="1"/>
  <c r="S978" i="1" s="1"/>
  <c r="U979" i="1"/>
  <c r="S979" i="1" s="1"/>
  <c r="U980" i="1"/>
  <c r="S980" i="1" s="1"/>
  <c r="U981" i="1"/>
  <c r="S981" i="1" s="1"/>
  <c r="U982" i="1"/>
  <c r="S982" i="1" s="1"/>
  <c r="U983" i="1"/>
  <c r="S983" i="1" s="1"/>
  <c r="U984" i="1"/>
  <c r="S984" i="1" s="1"/>
  <c r="U985" i="1"/>
  <c r="S985" i="1" s="1"/>
  <c r="U986" i="1"/>
  <c r="S986" i="1" s="1"/>
  <c r="U987" i="1"/>
  <c r="S987" i="1" s="1"/>
  <c r="U988" i="1"/>
  <c r="S988" i="1" s="1"/>
  <c r="U989" i="1"/>
  <c r="S989" i="1" s="1"/>
  <c r="U990" i="1"/>
  <c r="S990" i="1" s="1"/>
  <c r="U991" i="1"/>
  <c r="S991" i="1" s="1"/>
  <c r="U992" i="1"/>
  <c r="S992" i="1" s="1"/>
  <c r="U993" i="1"/>
  <c r="S993" i="1" s="1"/>
  <c r="U994" i="1"/>
  <c r="S994" i="1" s="1"/>
  <c r="U995" i="1"/>
  <c r="S995" i="1" s="1"/>
  <c r="U996" i="1"/>
  <c r="S996" i="1" s="1"/>
  <c r="U997" i="1"/>
  <c r="S997" i="1" s="1"/>
  <c r="U998" i="1"/>
  <c r="S998" i="1" s="1"/>
  <c r="U999" i="1"/>
  <c r="S999" i="1" s="1"/>
  <c r="U1000" i="1"/>
  <c r="S1000" i="1" s="1"/>
  <c r="U1001" i="1"/>
  <c r="S1001" i="1" s="1"/>
  <c r="U1002" i="1"/>
  <c r="S1002" i="1" s="1"/>
  <c r="U1003" i="1"/>
  <c r="S1003" i="1" s="1"/>
  <c r="U1004" i="1"/>
  <c r="S1004" i="1" s="1"/>
  <c r="U1005" i="1"/>
  <c r="S1005" i="1" s="1"/>
  <c r="U1006" i="1"/>
  <c r="S1006" i="1" s="1"/>
  <c r="U1007" i="1"/>
  <c r="S1007" i="1" s="1"/>
  <c r="U1008" i="1"/>
  <c r="S1008" i="1" s="1"/>
  <c r="U1009" i="1"/>
  <c r="S1009" i="1" s="1"/>
  <c r="U1010" i="1"/>
  <c r="S1010" i="1" s="1"/>
  <c r="U1011" i="1"/>
  <c r="S1011" i="1" s="1"/>
  <c r="U1012" i="1"/>
  <c r="S1012" i="1" s="1"/>
  <c r="U1013" i="1"/>
  <c r="S1013" i="1" s="1"/>
  <c r="U1014" i="1"/>
  <c r="S1014" i="1" s="1"/>
  <c r="U1015" i="1"/>
  <c r="S1015" i="1" s="1"/>
  <c r="U1016" i="1"/>
  <c r="S1016" i="1" s="1"/>
  <c r="U1017" i="1"/>
  <c r="S1017" i="1" s="1"/>
  <c r="U1018" i="1"/>
  <c r="S1018" i="1" s="1"/>
  <c r="U1019" i="1"/>
  <c r="S1019" i="1" s="1"/>
  <c r="U1020" i="1"/>
  <c r="S1020" i="1" s="1"/>
  <c r="U1021" i="1"/>
  <c r="S1021" i="1" s="1"/>
  <c r="U1022" i="1"/>
  <c r="S1022" i="1" s="1"/>
  <c r="U1023" i="1"/>
  <c r="S1023" i="1" s="1"/>
  <c r="U1024" i="1"/>
  <c r="S1024" i="1" s="1"/>
  <c r="U1025" i="1"/>
  <c r="S1025" i="1" s="1"/>
  <c r="U1026" i="1"/>
  <c r="S1026" i="1" s="1"/>
  <c r="U1027" i="1"/>
  <c r="S1027" i="1" s="1"/>
  <c r="U1028" i="1"/>
  <c r="S1028" i="1" s="1"/>
  <c r="U1029" i="1"/>
  <c r="S1029" i="1" s="1"/>
  <c r="U1030" i="1"/>
  <c r="S1030" i="1" s="1"/>
  <c r="U1031" i="1"/>
  <c r="S1031" i="1" s="1"/>
  <c r="U1032" i="1"/>
  <c r="S1032" i="1" s="1"/>
  <c r="U1033" i="1"/>
  <c r="S1033" i="1" s="1"/>
  <c r="U1034" i="1"/>
  <c r="S1034" i="1" s="1"/>
  <c r="U1035" i="1"/>
  <c r="S1035" i="1" s="1"/>
  <c r="U1036" i="1"/>
  <c r="S1036" i="1" s="1"/>
  <c r="U1037" i="1"/>
  <c r="S1037" i="1" s="1"/>
  <c r="U1038" i="1"/>
  <c r="S1038" i="1" s="1"/>
  <c r="U1039" i="1"/>
  <c r="S1039" i="1" s="1"/>
  <c r="U1040" i="1"/>
  <c r="S1040" i="1" s="1"/>
  <c r="U1041" i="1"/>
  <c r="S1041" i="1" s="1"/>
  <c r="U1042" i="1"/>
  <c r="S1042" i="1" s="1"/>
  <c r="U1043" i="1"/>
  <c r="S1043" i="1" s="1"/>
  <c r="U1044" i="1"/>
  <c r="S1044" i="1" s="1"/>
  <c r="U1045" i="1"/>
  <c r="S1045" i="1" s="1"/>
  <c r="U1046" i="1"/>
  <c r="S1046" i="1" s="1"/>
  <c r="U1047" i="1"/>
  <c r="S1047" i="1" s="1"/>
  <c r="U1048" i="1"/>
  <c r="S1048" i="1" s="1"/>
  <c r="U1049" i="1"/>
  <c r="S1049" i="1" s="1"/>
  <c r="U1050" i="1"/>
  <c r="S1050" i="1" s="1"/>
  <c r="U1051" i="1"/>
  <c r="S1051" i="1" s="1"/>
  <c r="U1052" i="1"/>
  <c r="S1052" i="1" s="1"/>
  <c r="U1053" i="1"/>
  <c r="S1053" i="1" s="1"/>
  <c r="U1054" i="1"/>
  <c r="S1054" i="1" s="1"/>
  <c r="U1055" i="1"/>
  <c r="S1055" i="1" s="1"/>
  <c r="U1056" i="1"/>
  <c r="S1056" i="1" s="1"/>
  <c r="U1057" i="1"/>
  <c r="S1057" i="1" s="1"/>
  <c r="U1058" i="1"/>
  <c r="S1058" i="1" s="1"/>
  <c r="U1059" i="1"/>
  <c r="S1059" i="1" s="1"/>
  <c r="U1060" i="1"/>
  <c r="S1060" i="1" s="1"/>
  <c r="U1061" i="1"/>
  <c r="S1061" i="1" s="1"/>
  <c r="U1062" i="1"/>
  <c r="S1062" i="1" s="1"/>
  <c r="U1063" i="1"/>
  <c r="S1063" i="1" s="1"/>
  <c r="U1064" i="1"/>
  <c r="S1064" i="1" s="1"/>
  <c r="U1065" i="1"/>
  <c r="S1065" i="1" s="1"/>
  <c r="U1066" i="1"/>
  <c r="S1066" i="1" s="1"/>
  <c r="U1067" i="1"/>
  <c r="S1067" i="1" s="1"/>
  <c r="U1068" i="1"/>
  <c r="S1068" i="1" s="1"/>
  <c r="U1069" i="1"/>
  <c r="S1069" i="1" s="1"/>
  <c r="U1070" i="1"/>
  <c r="S1070" i="1" s="1"/>
  <c r="U1071" i="1"/>
  <c r="S1071" i="1" s="1"/>
  <c r="U1072" i="1"/>
  <c r="S1072" i="1" s="1"/>
  <c r="U1073" i="1"/>
  <c r="S1073" i="1" s="1"/>
  <c r="U1074" i="1"/>
  <c r="S1074" i="1" s="1"/>
  <c r="U1075" i="1"/>
  <c r="S1075" i="1" s="1"/>
  <c r="U1076" i="1"/>
  <c r="S1076" i="1" s="1"/>
  <c r="U1077" i="1"/>
  <c r="S1077" i="1" s="1"/>
  <c r="U1078" i="1"/>
  <c r="S1078" i="1" s="1"/>
  <c r="U1079" i="1"/>
  <c r="S1079" i="1" s="1"/>
  <c r="U1080" i="1"/>
  <c r="S1080" i="1" s="1"/>
  <c r="U1081" i="1"/>
  <c r="S1081" i="1" s="1"/>
  <c r="U1082" i="1"/>
  <c r="S1082" i="1" s="1"/>
  <c r="U1083" i="1"/>
  <c r="S1083" i="1" s="1"/>
  <c r="U1084" i="1"/>
  <c r="S1084" i="1" s="1"/>
  <c r="U1085" i="1"/>
  <c r="S1085" i="1" s="1"/>
  <c r="U1086" i="1"/>
  <c r="S1086" i="1" s="1"/>
  <c r="U1087" i="1"/>
  <c r="S1087" i="1" s="1"/>
  <c r="U1088" i="1"/>
  <c r="S1088" i="1" s="1"/>
  <c r="U1089" i="1"/>
  <c r="S1089" i="1" s="1"/>
  <c r="U1090" i="1"/>
  <c r="S1090" i="1" s="1"/>
  <c r="U1091" i="1"/>
  <c r="S1091" i="1" s="1"/>
  <c r="U1092" i="1"/>
  <c r="S1092" i="1" s="1"/>
  <c r="U1093" i="1"/>
  <c r="S1093" i="1" s="1"/>
  <c r="U1094" i="1"/>
  <c r="S1094" i="1" s="1"/>
  <c r="U1095" i="1"/>
  <c r="S1095" i="1" s="1"/>
  <c r="U1096" i="1"/>
  <c r="S1096" i="1" s="1"/>
  <c r="U1097" i="1"/>
  <c r="S1097" i="1" s="1"/>
  <c r="U1098" i="1"/>
  <c r="S1098" i="1" s="1"/>
  <c r="U1099" i="1"/>
  <c r="S1099" i="1" s="1"/>
  <c r="U1100" i="1"/>
  <c r="S1100" i="1" s="1"/>
  <c r="U1101" i="1"/>
  <c r="S1101" i="1" s="1"/>
  <c r="U1102" i="1"/>
  <c r="S1102" i="1" s="1"/>
  <c r="U1103" i="1"/>
  <c r="S1103" i="1" s="1"/>
  <c r="U1104" i="1"/>
  <c r="S1104" i="1" s="1"/>
  <c r="U1105" i="1"/>
  <c r="S1105" i="1" s="1"/>
  <c r="U1106" i="1"/>
  <c r="S1106" i="1" s="1"/>
  <c r="U1107" i="1"/>
  <c r="S1107" i="1" s="1"/>
  <c r="U1108" i="1"/>
  <c r="S1108" i="1" s="1"/>
  <c r="U1109" i="1"/>
  <c r="S1109" i="1" s="1"/>
  <c r="U1110" i="1"/>
  <c r="S1110" i="1" s="1"/>
  <c r="U1111" i="1"/>
  <c r="S1111" i="1" s="1"/>
  <c r="U1112" i="1"/>
  <c r="S1112" i="1" s="1"/>
  <c r="U1113" i="1"/>
  <c r="S1113" i="1" s="1"/>
  <c r="U1114" i="1"/>
  <c r="S1114" i="1" s="1"/>
  <c r="U1115" i="1"/>
  <c r="S1115" i="1" s="1"/>
  <c r="U1116" i="1"/>
  <c r="S1116" i="1" s="1"/>
  <c r="U1117" i="1"/>
  <c r="S1117" i="1" s="1"/>
  <c r="U1118" i="1"/>
  <c r="S1118" i="1" s="1"/>
  <c r="U1119" i="1"/>
  <c r="S1119" i="1" s="1"/>
  <c r="U1120" i="1"/>
  <c r="S1120" i="1" s="1"/>
  <c r="U1121" i="1"/>
  <c r="S1121" i="1" s="1"/>
  <c r="U1122" i="1"/>
  <c r="S1122" i="1" s="1"/>
  <c r="U1123" i="1"/>
  <c r="S1123" i="1" s="1"/>
  <c r="U1124" i="1"/>
  <c r="S1124" i="1" s="1"/>
  <c r="U1125" i="1"/>
  <c r="S1125" i="1" s="1"/>
  <c r="U1126" i="1"/>
  <c r="S1126" i="1" s="1"/>
  <c r="U1127" i="1"/>
  <c r="S1127" i="1" s="1"/>
  <c r="U1128" i="1"/>
  <c r="S1128" i="1" s="1"/>
  <c r="U1129" i="1"/>
  <c r="S1129" i="1" s="1"/>
  <c r="U1130" i="1"/>
  <c r="S1130" i="1" s="1"/>
  <c r="U1131" i="1"/>
  <c r="S1131" i="1" s="1"/>
  <c r="U1132" i="1"/>
  <c r="S1132" i="1" s="1"/>
  <c r="U1133" i="1"/>
  <c r="S1133" i="1" s="1"/>
  <c r="U1134" i="1"/>
  <c r="S1134" i="1" s="1"/>
  <c r="U1135" i="1"/>
  <c r="S1135" i="1" s="1"/>
  <c r="U1136" i="1"/>
  <c r="S1136" i="1" s="1"/>
  <c r="U1137" i="1"/>
  <c r="S1137" i="1" s="1"/>
  <c r="U1138" i="1"/>
  <c r="S1138" i="1" s="1"/>
  <c r="U1139" i="1"/>
  <c r="S1139" i="1" s="1"/>
  <c r="U1140" i="1"/>
  <c r="S1140" i="1" s="1"/>
  <c r="U1141" i="1"/>
  <c r="S1141" i="1" s="1"/>
  <c r="U1142" i="1"/>
  <c r="S1142" i="1" s="1"/>
  <c r="U1143" i="1"/>
  <c r="S1143" i="1" s="1"/>
  <c r="U1144" i="1"/>
  <c r="S1144" i="1" s="1"/>
  <c r="U1145" i="1"/>
  <c r="S1145" i="1" s="1"/>
  <c r="U1146" i="1"/>
  <c r="S1146" i="1" s="1"/>
  <c r="U1147" i="1"/>
  <c r="S1147" i="1" s="1"/>
  <c r="U1148" i="1"/>
  <c r="S1148" i="1" s="1"/>
  <c r="U1149" i="1"/>
  <c r="S1149" i="1" s="1"/>
  <c r="U1150" i="1"/>
  <c r="S1150" i="1" s="1"/>
  <c r="U1151" i="1"/>
  <c r="S1151" i="1" s="1"/>
  <c r="U1152" i="1"/>
  <c r="S1152" i="1" s="1"/>
  <c r="U1153" i="1"/>
  <c r="S1153" i="1" s="1"/>
  <c r="U1154" i="1"/>
  <c r="S1154" i="1" s="1"/>
  <c r="U1155" i="1"/>
  <c r="S1155" i="1" s="1"/>
  <c r="U1156" i="1"/>
  <c r="S1156" i="1" s="1"/>
  <c r="U1157" i="1"/>
  <c r="S1157" i="1" s="1"/>
  <c r="U1158" i="1"/>
  <c r="S1158" i="1" s="1"/>
  <c r="U1159" i="1"/>
  <c r="S1159" i="1" s="1"/>
  <c r="U1160" i="1"/>
  <c r="S1160" i="1" s="1"/>
  <c r="U1161" i="1"/>
  <c r="S1161" i="1" s="1"/>
  <c r="U1162" i="1"/>
  <c r="S1162" i="1" s="1"/>
  <c r="U1163" i="1"/>
  <c r="S1163" i="1" s="1"/>
  <c r="U1164" i="1"/>
  <c r="S1164" i="1" s="1"/>
  <c r="U1165" i="1"/>
  <c r="S1165" i="1" s="1"/>
  <c r="U1166" i="1"/>
  <c r="S1166" i="1" s="1"/>
  <c r="U1167" i="1"/>
  <c r="S1167" i="1" s="1"/>
  <c r="U1168" i="1"/>
  <c r="S1168" i="1" s="1"/>
  <c r="U1169" i="1"/>
  <c r="S1169" i="1" s="1"/>
  <c r="U1170" i="1"/>
  <c r="S1170" i="1" s="1"/>
  <c r="U1171" i="1"/>
  <c r="S1171" i="1" s="1"/>
  <c r="U1172" i="1"/>
  <c r="S1172" i="1" s="1"/>
  <c r="U1173" i="1"/>
  <c r="S1173" i="1" s="1"/>
  <c r="U1174" i="1"/>
  <c r="S1174" i="1" s="1"/>
  <c r="U1175" i="1"/>
  <c r="S1175" i="1" s="1"/>
  <c r="U1176" i="1"/>
  <c r="S1176" i="1" s="1"/>
  <c r="U1177" i="1"/>
  <c r="S1177" i="1" s="1"/>
  <c r="U1178" i="1"/>
  <c r="S1178" i="1" s="1"/>
  <c r="U1179" i="1"/>
  <c r="S1179" i="1" s="1"/>
  <c r="U1180" i="1"/>
  <c r="S1180" i="1" s="1"/>
  <c r="U1181" i="1"/>
  <c r="S1181" i="1" s="1"/>
  <c r="U1182" i="1"/>
  <c r="S1182" i="1" s="1"/>
  <c r="U1183" i="1"/>
  <c r="S1183" i="1" s="1"/>
  <c r="U1184" i="1"/>
  <c r="S1184" i="1" s="1"/>
  <c r="U1185" i="1"/>
  <c r="S1185" i="1" s="1"/>
  <c r="U1186" i="1"/>
  <c r="S1186" i="1" s="1"/>
  <c r="U1187" i="1"/>
  <c r="S1187" i="1" s="1"/>
  <c r="U1188" i="1"/>
  <c r="S1188" i="1" s="1"/>
  <c r="U1189" i="1"/>
  <c r="S1189" i="1" s="1"/>
  <c r="U1190" i="1"/>
  <c r="S1190" i="1" s="1"/>
  <c r="U1191" i="1"/>
  <c r="S1191" i="1" s="1"/>
  <c r="U1192" i="1"/>
  <c r="S1192" i="1" s="1"/>
  <c r="U1193" i="1"/>
  <c r="S1193" i="1" s="1"/>
  <c r="U1194" i="1"/>
  <c r="S1194" i="1" s="1"/>
  <c r="U1195" i="1"/>
  <c r="S1195" i="1" s="1"/>
  <c r="U1196" i="1"/>
  <c r="S1196" i="1" s="1"/>
  <c r="U1197" i="1"/>
  <c r="S1197" i="1" s="1"/>
  <c r="U1198" i="1"/>
  <c r="S1198" i="1" s="1"/>
  <c r="U1199" i="1"/>
  <c r="S1199" i="1" s="1"/>
  <c r="U1200" i="1"/>
  <c r="S1200" i="1" s="1"/>
  <c r="U1201" i="1"/>
  <c r="S1201" i="1" s="1"/>
  <c r="U1202" i="1"/>
  <c r="S1202" i="1" s="1"/>
  <c r="U1203" i="1"/>
  <c r="S1203" i="1" s="1"/>
  <c r="U1204" i="1"/>
  <c r="S1204" i="1" s="1"/>
  <c r="U1205" i="1"/>
  <c r="S1205" i="1" s="1"/>
  <c r="U1206" i="1"/>
  <c r="S1206" i="1" s="1"/>
  <c r="U1207" i="1"/>
  <c r="S1207" i="1" s="1"/>
  <c r="U1208" i="1"/>
  <c r="S1208" i="1" s="1"/>
  <c r="U1209" i="1"/>
  <c r="S1209" i="1" s="1"/>
  <c r="U1210" i="1"/>
  <c r="S1210" i="1" s="1"/>
  <c r="U1211" i="1"/>
  <c r="S1211" i="1" s="1"/>
  <c r="U1212" i="1"/>
  <c r="S1212" i="1" s="1"/>
  <c r="U1213" i="1"/>
  <c r="S1213" i="1" s="1"/>
  <c r="U1214" i="1"/>
  <c r="S1214" i="1" s="1"/>
  <c r="U1215" i="1"/>
  <c r="S1215" i="1" s="1"/>
  <c r="U1216" i="1"/>
  <c r="S1216" i="1" s="1"/>
  <c r="U1217" i="1"/>
  <c r="S1217" i="1" s="1"/>
  <c r="U1218" i="1"/>
  <c r="S1218" i="1" s="1"/>
  <c r="U1219" i="1"/>
  <c r="S1219" i="1" s="1"/>
  <c r="U1220" i="1"/>
  <c r="S1220" i="1" s="1"/>
  <c r="U1221" i="1"/>
  <c r="S1221" i="1" s="1"/>
  <c r="U1222" i="1"/>
  <c r="S1222" i="1" s="1"/>
  <c r="U1223" i="1"/>
  <c r="S1223" i="1" s="1"/>
  <c r="U1224" i="1"/>
  <c r="S1224" i="1" s="1"/>
  <c r="U1225" i="1"/>
  <c r="S1225" i="1" s="1"/>
  <c r="U1226" i="1"/>
  <c r="S1226" i="1" s="1"/>
  <c r="U1227" i="1"/>
  <c r="S1227" i="1" s="1"/>
  <c r="U1228" i="1"/>
  <c r="S1228" i="1" s="1"/>
  <c r="U1229" i="1"/>
  <c r="S1229" i="1" s="1"/>
  <c r="U1230" i="1"/>
  <c r="S1230" i="1" s="1"/>
  <c r="U1231" i="1"/>
  <c r="S1231" i="1" s="1"/>
  <c r="U1232" i="1"/>
  <c r="S1232" i="1" s="1"/>
  <c r="U1233" i="1"/>
  <c r="S1233" i="1" s="1"/>
  <c r="U1234" i="1"/>
  <c r="S1234" i="1" s="1"/>
  <c r="U1235" i="1"/>
  <c r="S1235" i="1" s="1"/>
  <c r="U1236" i="1"/>
  <c r="S1236" i="1" s="1"/>
  <c r="U1237" i="1"/>
  <c r="S1237" i="1" s="1"/>
  <c r="U1238" i="1"/>
  <c r="S1238" i="1" s="1"/>
  <c r="U1239" i="1"/>
  <c r="S1239" i="1" s="1"/>
  <c r="U1240" i="1"/>
  <c r="S1240" i="1" s="1"/>
  <c r="U1241" i="1"/>
  <c r="S1241" i="1" s="1"/>
  <c r="U1242" i="1"/>
  <c r="S1242" i="1" s="1"/>
  <c r="U1243" i="1"/>
  <c r="S1243" i="1" s="1"/>
  <c r="U1244" i="1"/>
  <c r="S1244" i="1" s="1"/>
  <c r="U1245" i="1"/>
  <c r="S1245" i="1" s="1"/>
  <c r="U1246" i="1"/>
  <c r="S1246" i="1" s="1"/>
  <c r="U1247" i="1"/>
  <c r="S1247" i="1" s="1"/>
  <c r="U1248" i="1"/>
  <c r="S1248" i="1" s="1"/>
  <c r="U1249" i="1"/>
  <c r="S1249" i="1" s="1"/>
  <c r="U1250" i="1"/>
  <c r="S1250" i="1" s="1"/>
  <c r="U1251" i="1"/>
  <c r="S1251" i="1" s="1"/>
  <c r="U1252" i="1"/>
  <c r="S1252" i="1" s="1"/>
  <c r="U2" i="1"/>
  <c r="S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R20" i="1" s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R52" i="1" s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R84" i="1" s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R116" i="1" s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R148" i="1" s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R180" i="1" s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R207" i="1" s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R228" i="1" s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R248" i="1" s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R271" i="1" s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R292" i="1" s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R312" i="1" s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R335" i="1" s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R356" i="1" s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R376" i="1" s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R399" i="1" s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R420" i="1" s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R440" i="1" s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R453" i="1" s="1"/>
  <c r="Q454" i="1"/>
  <c r="Q455" i="1"/>
  <c r="Q456" i="1"/>
  <c r="Q457" i="1"/>
  <c r="Q458" i="1"/>
  <c r="Q459" i="1"/>
  <c r="Q460" i="1"/>
  <c r="Q461" i="1"/>
  <c r="Q462" i="1"/>
  <c r="Q463" i="1"/>
  <c r="Q464" i="1"/>
  <c r="Q465" i="1"/>
  <c r="R465" i="1" s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R479" i="1" s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R492" i="1" s="1"/>
  <c r="Q493" i="1"/>
  <c r="Q494" i="1"/>
  <c r="Q495" i="1"/>
  <c r="Q496" i="1"/>
  <c r="Q497" i="1"/>
  <c r="Q498" i="1"/>
  <c r="Q499" i="1"/>
  <c r="Q500" i="1"/>
  <c r="Q501" i="1"/>
  <c r="Q502" i="1"/>
  <c r="Q503" i="1"/>
  <c r="Q504" i="1"/>
  <c r="R504" i="1" s="1"/>
  <c r="Q505" i="1"/>
  <c r="Q506" i="1"/>
  <c r="Q507" i="1"/>
  <c r="Q508" i="1"/>
  <c r="Q509" i="1"/>
  <c r="Q510" i="1"/>
  <c r="Q511" i="1"/>
  <c r="Q512" i="1"/>
  <c r="Q513" i="1"/>
  <c r="Q514" i="1"/>
  <c r="Q515" i="1"/>
  <c r="R515" i="1" s="1"/>
  <c r="Q516" i="1"/>
  <c r="Q517" i="1"/>
  <c r="Q518" i="1"/>
  <c r="Q519" i="1"/>
  <c r="Q520" i="1"/>
  <c r="Q521" i="1"/>
  <c r="Q522" i="1"/>
  <c r="Q523" i="1"/>
  <c r="Q524" i="1"/>
  <c r="Q525" i="1"/>
  <c r="R525" i="1" s="1"/>
  <c r="Q526" i="1"/>
  <c r="Q527" i="1"/>
  <c r="Q528" i="1"/>
  <c r="Q529" i="1"/>
  <c r="Q530" i="1"/>
  <c r="Q531" i="1"/>
  <c r="Q532" i="1"/>
  <c r="Q533" i="1"/>
  <c r="Q534" i="1"/>
  <c r="Q535" i="1"/>
  <c r="Q536" i="1"/>
  <c r="R536" i="1" s="1"/>
  <c r="Q537" i="1"/>
  <c r="Q538" i="1"/>
  <c r="Q539" i="1"/>
  <c r="Q540" i="1"/>
  <c r="Q541" i="1"/>
  <c r="Q542" i="1"/>
  <c r="Q543" i="1"/>
  <c r="Q544" i="1"/>
  <c r="Q545" i="1"/>
  <c r="Q546" i="1"/>
  <c r="Q547" i="1"/>
  <c r="R547" i="1" s="1"/>
  <c r="Q548" i="1"/>
  <c r="Q549" i="1"/>
  <c r="Q550" i="1"/>
  <c r="Q551" i="1"/>
  <c r="Q552" i="1"/>
  <c r="Q553" i="1"/>
  <c r="Q554" i="1"/>
  <c r="Q555" i="1"/>
  <c r="Q556" i="1"/>
  <c r="Q557" i="1"/>
  <c r="R557" i="1" s="1"/>
  <c r="Q558" i="1"/>
  <c r="Q559" i="1"/>
  <c r="Q560" i="1"/>
  <c r="Q561" i="1"/>
  <c r="Q562" i="1"/>
  <c r="Q563" i="1"/>
  <c r="Q564" i="1"/>
  <c r="Q565" i="1"/>
  <c r="Q566" i="1"/>
  <c r="Q567" i="1"/>
  <c r="Q568" i="1"/>
  <c r="R568" i="1" s="1"/>
  <c r="Q569" i="1"/>
  <c r="Q570" i="1"/>
  <c r="Q571" i="1"/>
  <c r="Q572" i="1"/>
  <c r="Q573" i="1"/>
  <c r="Q574" i="1"/>
  <c r="Q575" i="1"/>
  <c r="Q576" i="1"/>
  <c r="Q577" i="1"/>
  <c r="Q578" i="1"/>
  <c r="Q579" i="1"/>
  <c r="R579" i="1" s="1"/>
  <c r="Q580" i="1"/>
  <c r="Q581" i="1"/>
  <c r="Q582" i="1"/>
  <c r="Q583" i="1"/>
  <c r="Q584" i="1"/>
  <c r="Q585" i="1"/>
  <c r="Q586" i="1"/>
  <c r="Q587" i="1"/>
  <c r="Q588" i="1"/>
  <c r="Q589" i="1"/>
  <c r="R589" i="1" s="1"/>
  <c r="Q590" i="1"/>
  <c r="Q591" i="1"/>
  <c r="Q592" i="1"/>
  <c r="Q593" i="1"/>
  <c r="Q594" i="1"/>
  <c r="Q595" i="1"/>
  <c r="Q596" i="1"/>
  <c r="Q597" i="1"/>
  <c r="Q598" i="1"/>
  <c r="Q599" i="1"/>
  <c r="Q600" i="1"/>
  <c r="R600" i="1" s="1"/>
  <c r="Q601" i="1"/>
  <c r="Q602" i="1"/>
  <c r="Q603" i="1"/>
  <c r="Q604" i="1"/>
  <c r="Q605" i="1"/>
  <c r="Q606" i="1"/>
  <c r="Q607" i="1"/>
  <c r="Q608" i="1"/>
  <c r="Q609" i="1"/>
  <c r="Q610" i="1"/>
  <c r="Q611" i="1"/>
  <c r="R611" i="1" s="1"/>
  <c r="Q612" i="1"/>
  <c r="Q613" i="1"/>
  <c r="Q614" i="1"/>
  <c r="Q615" i="1"/>
  <c r="Q616" i="1"/>
  <c r="Q617" i="1"/>
  <c r="Q618" i="1"/>
  <c r="Q619" i="1"/>
  <c r="Q620" i="1"/>
  <c r="Q621" i="1"/>
  <c r="R621" i="1" s="1"/>
  <c r="Q622" i="1"/>
  <c r="Q623" i="1"/>
  <c r="Q624" i="1"/>
  <c r="Q625" i="1"/>
  <c r="Q626" i="1"/>
  <c r="Q627" i="1"/>
  <c r="Q628" i="1"/>
  <c r="Q629" i="1"/>
  <c r="Q630" i="1"/>
  <c r="Q631" i="1"/>
  <c r="Q632" i="1"/>
  <c r="R632" i="1" s="1"/>
  <c r="Q633" i="1"/>
  <c r="Q634" i="1"/>
  <c r="Q635" i="1"/>
  <c r="Q636" i="1"/>
  <c r="Q637" i="1"/>
  <c r="Q638" i="1"/>
  <c r="Q639" i="1"/>
  <c r="Q640" i="1"/>
  <c r="Q641" i="1"/>
  <c r="Q642" i="1"/>
  <c r="Q643" i="1"/>
  <c r="R643" i="1" s="1"/>
  <c r="Q644" i="1"/>
  <c r="Q645" i="1"/>
  <c r="Q646" i="1"/>
  <c r="Q647" i="1"/>
  <c r="Q648" i="1"/>
  <c r="Q649" i="1"/>
  <c r="Q650" i="1"/>
  <c r="Q651" i="1"/>
  <c r="Q652" i="1"/>
  <c r="Q653" i="1"/>
  <c r="R653" i="1" s="1"/>
  <c r="Q654" i="1"/>
  <c r="Q655" i="1"/>
  <c r="Q656" i="1"/>
  <c r="Q657" i="1"/>
  <c r="Q658" i="1"/>
  <c r="Q659" i="1"/>
  <c r="Q660" i="1"/>
  <c r="Q661" i="1"/>
  <c r="Q662" i="1"/>
  <c r="Q663" i="1"/>
  <c r="Q664" i="1"/>
  <c r="R664" i="1" s="1"/>
  <c r="Q665" i="1"/>
  <c r="Q666" i="1"/>
  <c r="Q667" i="1"/>
  <c r="Q668" i="1"/>
  <c r="Q669" i="1"/>
  <c r="Q670" i="1"/>
  <c r="Q671" i="1"/>
  <c r="Q672" i="1"/>
  <c r="Q673" i="1"/>
  <c r="Q674" i="1"/>
  <c r="Q675" i="1"/>
  <c r="R675" i="1" s="1"/>
  <c r="Q676" i="1"/>
  <c r="Q677" i="1"/>
  <c r="Q678" i="1"/>
  <c r="Q679" i="1"/>
  <c r="Q680" i="1"/>
  <c r="Q681" i="1"/>
  <c r="Q682" i="1"/>
  <c r="Q683" i="1"/>
  <c r="Q684" i="1"/>
  <c r="R684" i="1" s="1"/>
  <c r="Q685" i="1"/>
  <c r="Q686" i="1"/>
  <c r="Q687" i="1"/>
  <c r="Q688" i="1"/>
  <c r="Q689" i="1"/>
  <c r="Q690" i="1"/>
  <c r="Q691" i="1"/>
  <c r="Q692" i="1"/>
  <c r="R692" i="1" s="1"/>
  <c r="Q693" i="1"/>
  <c r="Q694" i="1"/>
  <c r="Q695" i="1"/>
  <c r="Q696" i="1"/>
  <c r="Q697" i="1"/>
  <c r="Q698" i="1"/>
  <c r="Q699" i="1"/>
  <c r="Q700" i="1"/>
  <c r="R700" i="1" s="1"/>
  <c r="Q701" i="1"/>
  <c r="Q702" i="1"/>
  <c r="Q703" i="1"/>
  <c r="Q704" i="1"/>
  <c r="Q705" i="1"/>
  <c r="Q706" i="1"/>
  <c r="Q707" i="1"/>
  <c r="Q708" i="1"/>
  <c r="R708" i="1" s="1"/>
  <c r="Q709" i="1"/>
  <c r="Q710" i="1"/>
  <c r="Q711" i="1"/>
  <c r="Q712" i="1"/>
  <c r="Q713" i="1"/>
  <c r="Q714" i="1"/>
  <c r="Q715" i="1"/>
  <c r="Q716" i="1"/>
  <c r="R716" i="1" s="1"/>
  <c r="Q717" i="1"/>
  <c r="Q718" i="1"/>
  <c r="Q719" i="1"/>
  <c r="Q720" i="1"/>
  <c r="Q721" i="1"/>
  <c r="Q722" i="1"/>
  <c r="Q723" i="1"/>
  <c r="Q724" i="1"/>
  <c r="R724" i="1" s="1"/>
  <c r="Q725" i="1"/>
  <c r="Q726" i="1"/>
  <c r="Q727" i="1"/>
  <c r="Q728" i="1"/>
  <c r="Q729" i="1"/>
  <c r="Q730" i="1"/>
  <c r="Q731" i="1"/>
  <c r="Q732" i="1"/>
  <c r="R732" i="1" s="1"/>
  <c r="Q733" i="1"/>
  <c r="Q734" i="1"/>
  <c r="Q735" i="1"/>
  <c r="Q736" i="1"/>
  <c r="Q737" i="1"/>
  <c r="Q738" i="1"/>
  <c r="Q739" i="1"/>
  <c r="Q740" i="1"/>
  <c r="R740" i="1" s="1"/>
  <c r="Q741" i="1"/>
  <c r="Q742" i="1"/>
  <c r="Q743" i="1"/>
  <c r="Q744" i="1"/>
  <c r="Q745" i="1"/>
  <c r="Q746" i="1"/>
  <c r="Q747" i="1"/>
  <c r="Q748" i="1"/>
  <c r="R748" i="1" s="1"/>
  <c r="Q749" i="1"/>
  <c r="Q750" i="1"/>
  <c r="Q751" i="1"/>
  <c r="Q752" i="1"/>
  <c r="Q753" i="1"/>
  <c r="Q754" i="1"/>
  <c r="Q755" i="1"/>
  <c r="Q756" i="1"/>
  <c r="R756" i="1" s="1"/>
  <c r="Q757" i="1"/>
  <c r="Q758" i="1"/>
  <c r="Q759" i="1"/>
  <c r="Q760" i="1"/>
  <c r="Q761" i="1"/>
  <c r="Q762" i="1"/>
  <c r="Q763" i="1"/>
  <c r="Q764" i="1"/>
  <c r="R764" i="1" s="1"/>
  <c r="Q765" i="1"/>
  <c r="Q766" i="1"/>
  <c r="Q767" i="1"/>
  <c r="Q768" i="1"/>
  <c r="Q769" i="1"/>
  <c r="Q770" i="1"/>
  <c r="Q771" i="1"/>
  <c r="Q772" i="1"/>
  <c r="R772" i="1" s="1"/>
  <c r="Q773" i="1"/>
  <c r="Q774" i="1"/>
  <c r="Q775" i="1"/>
  <c r="Q776" i="1"/>
  <c r="Q777" i="1"/>
  <c r="R777" i="1" s="1"/>
  <c r="Q778" i="1"/>
  <c r="Q779" i="1"/>
  <c r="Q780" i="1"/>
  <c r="R780" i="1" s="1"/>
  <c r="Q781" i="1"/>
  <c r="Q782" i="1"/>
  <c r="Q783" i="1"/>
  <c r="Q784" i="1"/>
  <c r="Q785" i="1"/>
  <c r="R785" i="1" s="1"/>
  <c r="Q786" i="1"/>
  <c r="Q787" i="1"/>
  <c r="Q788" i="1"/>
  <c r="R788" i="1" s="1"/>
  <c r="Q789" i="1"/>
  <c r="Q790" i="1"/>
  <c r="Q791" i="1"/>
  <c r="Q792" i="1"/>
  <c r="Q793" i="1"/>
  <c r="R793" i="1" s="1"/>
  <c r="Q794" i="1"/>
  <c r="Q795" i="1"/>
  <c r="Q796" i="1"/>
  <c r="R796" i="1" s="1"/>
  <c r="Q797" i="1"/>
  <c r="Q798" i="1"/>
  <c r="Q799" i="1"/>
  <c r="Q800" i="1"/>
  <c r="Q801" i="1"/>
  <c r="R801" i="1" s="1"/>
  <c r="Q802" i="1"/>
  <c r="Q803" i="1"/>
  <c r="Q804" i="1"/>
  <c r="R804" i="1" s="1"/>
  <c r="Q805" i="1"/>
  <c r="Q806" i="1"/>
  <c r="Q807" i="1"/>
  <c r="Q808" i="1"/>
  <c r="Q809" i="1"/>
  <c r="R809" i="1" s="1"/>
  <c r="Q810" i="1"/>
  <c r="Q811" i="1"/>
  <c r="Q812" i="1"/>
  <c r="R812" i="1" s="1"/>
  <c r="Q813" i="1"/>
  <c r="Q814" i="1"/>
  <c r="Q815" i="1"/>
  <c r="Q816" i="1"/>
  <c r="Q817" i="1"/>
  <c r="R817" i="1" s="1"/>
  <c r="Q818" i="1"/>
  <c r="Q819" i="1"/>
  <c r="Q820" i="1"/>
  <c r="R820" i="1" s="1"/>
  <c r="Q821" i="1"/>
  <c r="Q822" i="1"/>
  <c r="Q823" i="1"/>
  <c r="Q824" i="1"/>
  <c r="Q825" i="1"/>
  <c r="R825" i="1" s="1"/>
  <c r="Q826" i="1"/>
  <c r="Q827" i="1"/>
  <c r="Q828" i="1"/>
  <c r="R828" i="1" s="1"/>
  <c r="Q829" i="1"/>
  <c r="Q830" i="1"/>
  <c r="Q831" i="1"/>
  <c r="Q832" i="1"/>
  <c r="Q833" i="1"/>
  <c r="R833" i="1" s="1"/>
  <c r="Q834" i="1"/>
  <c r="Q835" i="1"/>
  <c r="Q836" i="1"/>
  <c r="R836" i="1" s="1"/>
  <c r="Q837" i="1"/>
  <c r="Q838" i="1"/>
  <c r="Q839" i="1"/>
  <c r="Q840" i="1"/>
  <c r="Q841" i="1"/>
  <c r="R841" i="1" s="1"/>
  <c r="Q842" i="1"/>
  <c r="Q843" i="1"/>
  <c r="Q844" i="1"/>
  <c r="R844" i="1" s="1"/>
  <c r="Q845" i="1"/>
  <c r="Q846" i="1"/>
  <c r="Q847" i="1"/>
  <c r="Q848" i="1"/>
  <c r="Q849" i="1"/>
  <c r="R849" i="1" s="1"/>
  <c r="Q850" i="1"/>
  <c r="Q851" i="1"/>
  <c r="Q852" i="1"/>
  <c r="R852" i="1" s="1"/>
  <c r="Q853" i="1"/>
  <c r="Q854" i="1"/>
  <c r="Q855" i="1"/>
  <c r="Q856" i="1"/>
  <c r="Q857" i="1"/>
  <c r="R857" i="1" s="1"/>
  <c r="Q858" i="1"/>
  <c r="Q859" i="1"/>
  <c r="Q860" i="1"/>
  <c r="R860" i="1" s="1"/>
  <c r="Q861" i="1"/>
  <c r="Q862" i="1"/>
  <c r="Q863" i="1"/>
  <c r="Q864" i="1"/>
  <c r="Q865" i="1"/>
  <c r="R865" i="1" s="1"/>
  <c r="Q866" i="1"/>
  <c r="Q867" i="1"/>
  <c r="Q868" i="1"/>
  <c r="R868" i="1" s="1"/>
  <c r="Q869" i="1"/>
  <c r="Q870" i="1"/>
  <c r="Q871" i="1"/>
  <c r="Q872" i="1"/>
  <c r="Q873" i="1"/>
  <c r="R873" i="1" s="1"/>
  <c r="Q874" i="1"/>
  <c r="Q875" i="1"/>
  <c r="Q876" i="1"/>
  <c r="R876" i="1" s="1"/>
  <c r="Q877" i="1"/>
  <c r="Q878" i="1"/>
  <c r="Q879" i="1"/>
  <c r="Q880" i="1"/>
  <c r="Q881" i="1"/>
  <c r="R881" i="1" s="1"/>
  <c r="Q882" i="1"/>
  <c r="Q883" i="1"/>
  <c r="Q884" i="1"/>
  <c r="R884" i="1" s="1"/>
  <c r="Q885" i="1"/>
  <c r="Q886" i="1"/>
  <c r="Q887" i="1"/>
  <c r="Q888" i="1"/>
  <c r="Q889" i="1"/>
  <c r="R889" i="1" s="1"/>
  <c r="Q890" i="1"/>
  <c r="Q891" i="1"/>
  <c r="Q892" i="1"/>
  <c r="R892" i="1" s="1"/>
  <c r="Q893" i="1"/>
  <c r="Q894" i="1"/>
  <c r="Q895" i="1"/>
  <c r="Q896" i="1"/>
  <c r="Q897" i="1"/>
  <c r="R897" i="1" s="1"/>
  <c r="Q898" i="1"/>
  <c r="Q899" i="1"/>
  <c r="Q900" i="1"/>
  <c r="R900" i="1" s="1"/>
  <c r="Q901" i="1"/>
  <c r="Q902" i="1"/>
  <c r="Q903" i="1"/>
  <c r="Q904" i="1"/>
  <c r="Q905" i="1"/>
  <c r="R905" i="1" s="1"/>
  <c r="Q906" i="1"/>
  <c r="Q907" i="1"/>
  <c r="Q908" i="1"/>
  <c r="R908" i="1" s="1"/>
  <c r="Q909" i="1"/>
  <c r="Q910" i="1"/>
  <c r="Q911" i="1"/>
  <c r="Q912" i="1"/>
  <c r="Q913" i="1"/>
  <c r="R913" i="1" s="1"/>
  <c r="Q914" i="1"/>
  <c r="Q915" i="1"/>
  <c r="Q916" i="1"/>
  <c r="R916" i="1" s="1"/>
  <c r="Q917" i="1"/>
  <c r="Q918" i="1"/>
  <c r="Q919" i="1"/>
  <c r="Q920" i="1"/>
  <c r="Q921" i="1"/>
  <c r="R921" i="1" s="1"/>
  <c r="Q922" i="1"/>
  <c r="Q923" i="1"/>
  <c r="Q924" i="1"/>
  <c r="R924" i="1" s="1"/>
  <c r="Q925" i="1"/>
  <c r="Q926" i="1"/>
  <c r="Q927" i="1"/>
  <c r="Q928" i="1"/>
  <c r="Q929" i="1"/>
  <c r="R929" i="1" s="1"/>
  <c r="Q930" i="1"/>
  <c r="Q931" i="1"/>
  <c r="Q932" i="1"/>
  <c r="R932" i="1" s="1"/>
  <c r="Q933" i="1"/>
  <c r="Q934" i="1"/>
  <c r="Q935" i="1"/>
  <c r="Q936" i="1"/>
  <c r="Q937" i="1"/>
  <c r="R937" i="1" s="1"/>
  <c r="Q938" i="1"/>
  <c r="Q939" i="1"/>
  <c r="Q940" i="1"/>
  <c r="R940" i="1" s="1"/>
  <c r="Q941" i="1"/>
  <c r="Q942" i="1"/>
  <c r="Q943" i="1"/>
  <c r="Q944" i="1"/>
  <c r="Q945" i="1"/>
  <c r="R945" i="1" s="1"/>
  <c r="Q946" i="1"/>
  <c r="Q947" i="1"/>
  <c r="Q948" i="1"/>
  <c r="R948" i="1" s="1"/>
  <c r="Q949" i="1"/>
  <c r="Q950" i="1"/>
  <c r="Q951" i="1"/>
  <c r="Q952" i="1"/>
  <c r="Q953" i="1"/>
  <c r="R953" i="1" s="1"/>
  <c r="Q954" i="1"/>
  <c r="Q955" i="1"/>
  <c r="Q956" i="1"/>
  <c r="R956" i="1" s="1"/>
  <c r="Q957" i="1"/>
  <c r="Q958" i="1"/>
  <c r="Q959" i="1"/>
  <c r="Q960" i="1"/>
  <c r="Q961" i="1"/>
  <c r="R961" i="1" s="1"/>
  <c r="Q962" i="1"/>
  <c r="Q963" i="1"/>
  <c r="Q964" i="1"/>
  <c r="R964" i="1" s="1"/>
  <c r="Q965" i="1"/>
  <c r="Q966" i="1"/>
  <c r="Q967" i="1"/>
  <c r="Q968" i="1"/>
  <c r="Q969" i="1"/>
  <c r="R969" i="1" s="1"/>
  <c r="Q970" i="1"/>
  <c r="Q971" i="1"/>
  <c r="Q972" i="1"/>
  <c r="R972" i="1" s="1"/>
  <c r="Q973" i="1"/>
  <c r="Q974" i="1"/>
  <c r="Q975" i="1"/>
  <c r="Q976" i="1"/>
  <c r="Q977" i="1"/>
  <c r="R977" i="1" s="1"/>
  <c r="Q978" i="1"/>
  <c r="Q979" i="1"/>
  <c r="Q980" i="1"/>
  <c r="R980" i="1" s="1"/>
  <c r="Q981" i="1"/>
  <c r="Q982" i="1"/>
  <c r="Q983" i="1"/>
  <c r="Q984" i="1"/>
  <c r="Q985" i="1"/>
  <c r="R985" i="1" s="1"/>
  <c r="Q986" i="1"/>
  <c r="Q987" i="1"/>
  <c r="Q988" i="1"/>
  <c r="R988" i="1" s="1"/>
  <c r="Q989" i="1"/>
  <c r="Q990" i="1"/>
  <c r="Q991" i="1"/>
  <c r="Q992" i="1"/>
  <c r="Q993" i="1"/>
  <c r="R993" i="1" s="1"/>
  <c r="Q994" i="1"/>
  <c r="Q995" i="1"/>
  <c r="Q996" i="1"/>
  <c r="R996" i="1" s="1"/>
  <c r="Q997" i="1"/>
  <c r="Q998" i="1"/>
  <c r="Q999" i="1"/>
  <c r="Q1000" i="1"/>
  <c r="Q1001" i="1"/>
  <c r="R1001" i="1" s="1"/>
  <c r="Q1002" i="1"/>
  <c r="Q1003" i="1"/>
  <c r="Q1004" i="1"/>
  <c r="R1004" i="1" s="1"/>
  <c r="Q1005" i="1"/>
  <c r="Q1006" i="1"/>
  <c r="Q1007" i="1"/>
  <c r="Q1008" i="1"/>
  <c r="Q1009" i="1"/>
  <c r="R1009" i="1" s="1"/>
  <c r="Q1010" i="1"/>
  <c r="Q1011" i="1"/>
  <c r="Q1012" i="1"/>
  <c r="R1012" i="1" s="1"/>
  <c r="Q1013" i="1"/>
  <c r="Q1014" i="1"/>
  <c r="Q1015" i="1"/>
  <c r="Q1016" i="1"/>
  <c r="Q1017" i="1"/>
  <c r="R1017" i="1" s="1"/>
  <c r="Q1018" i="1"/>
  <c r="Q1019" i="1"/>
  <c r="Q1020" i="1"/>
  <c r="R1020" i="1" s="1"/>
  <c r="Q1021" i="1"/>
  <c r="Q1022" i="1"/>
  <c r="Q1023" i="1"/>
  <c r="Q1024" i="1"/>
  <c r="Q1025" i="1"/>
  <c r="R1025" i="1" s="1"/>
  <c r="Q1026" i="1"/>
  <c r="Q1027" i="1"/>
  <c r="Q1028" i="1"/>
  <c r="R1028" i="1" s="1"/>
  <c r="Q1029" i="1"/>
  <c r="Q1030" i="1"/>
  <c r="Q1031" i="1"/>
  <c r="Q1032" i="1"/>
  <c r="Q1033" i="1"/>
  <c r="R1033" i="1" s="1"/>
  <c r="Q1034" i="1"/>
  <c r="Q1035" i="1"/>
  <c r="R1035" i="1" s="1"/>
  <c r="Q1036" i="1"/>
  <c r="R1036" i="1" s="1"/>
  <c r="Q1037" i="1"/>
  <c r="Q1038" i="1"/>
  <c r="Q1039" i="1"/>
  <c r="Q1040" i="1"/>
  <c r="Q1041" i="1"/>
  <c r="R1041" i="1" s="1"/>
  <c r="Q1042" i="1"/>
  <c r="Q1043" i="1"/>
  <c r="R1043" i="1" s="1"/>
  <c r="Q1044" i="1"/>
  <c r="R1044" i="1" s="1"/>
  <c r="Q1045" i="1"/>
  <c r="Q1046" i="1"/>
  <c r="Q1047" i="1"/>
  <c r="Q1048" i="1"/>
  <c r="R1048" i="1" s="1"/>
  <c r="Q1049" i="1"/>
  <c r="R1049" i="1" s="1"/>
  <c r="Q1050" i="1"/>
  <c r="R1050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8" i="1"/>
  <c r="R1058" i="1" s="1"/>
  <c r="Q1059" i="1"/>
  <c r="R1059" i="1" s="1"/>
  <c r="Q1060" i="1"/>
  <c r="R1060" i="1" s="1"/>
  <c r="Q1061" i="1"/>
  <c r="R1061" i="1" s="1"/>
  <c r="Q1062" i="1"/>
  <c r="R1062" i="1" s="1"/>
  <c r="Q1063" i="1"/>
  <c r="R1063" i="1" s="1"/>
  <c r="Q1064" i="1"/>
  <c r="R1064" i="1" s="1"/>
  <c r="Q1065" i="1"/>
  <c r="R1065" i="1" s="1"/>
  <c r="Q1066" i="1"/>
  <c r="R1066" i="1" s="1"/>
  <c r="Q1067" i="1"/>
  <c r="R1067" i="1" s="1"/>
  <c r="Q1068" i="1"/>
  <c r="R1068" i="1" s="1"/>
  <c r="Q1069" i="1"/>
  <c r="R1069" i="1" s="1"/>
  <c r="Q1070" i="1"/>
  <c r="R1070" i="1" s="1"/>
  <c r="Q1071" i="1"/>
  <c r="R1071" i="1" s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R1083" i="1" s="1"/>
  <c r="Q1084" i="1"/>
  <c r="R1084" i="1" s="1"/>
  <c r="Q1085" i="1"/>
  <c r="R1085" i="1" s="1"/>
  <c r="Q1086" i="1"/>
  <c r="R1086" i="1" s="1"/>
  <c r="Q1087" i="1"/>
  <c r="R1087" i="1" s="1"/>
  <c r="Q1088" i="1"/>
  <c r="R1088" i="1" s="1"/>
  <c r="Q1089" i="1"/>
  <c r="R1089" i="1" s="1"/>
  <c r="Q1090" i="1"/>
  <c r="R1090" i="1" s="1"/>
  <c r="Q1091" i="1"/>
  <c r="R1091" i="1" s="1"/>
  <c r="Q1092" i="1"/>
  <c r="R1092" i="1" s="1"/>
  <c r="Q1093" i="1"/>
  <c r="R1093" i="1" s="1"/>
  <c r="Q1094" i="1"/>
  <c r="R1094" i="1" s="1"/>
  <c r="Q1095" i="1"/>
  <c r="R1095" i="1" s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R1102" i="1" s="1"/>
  <c r="Q1103" i="1"/>
  <c r="R1103" i="1" s="1"/>
  <c r="Q1104" i="1"/>
  <c r="R1104" i="1" s="1"/>
  <c r="Q1105" i="1"/>
  <c r="R1105" i="1" s="1"/>
  <c r="Q1106" i="1"/>
  <c r="R1106" i="1" s="1"/>
  <c r="Q1107" i="1"/>
  <c r="R1107" i="1" s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R1114" i="1" s="1"/>
  <c r="Q1115" i="1"/>
  <c r="R1115" i="1" s="1"/>
  <c r="Q1116" i="1"/>
  <c r="R1116" i="1" s="1"/>
  <c r="Q1117" i="1"/>
  <c r="R1117" i="1" s="1"/>
  <c r="Q1118" i="1"/>
  <c r="R1118" i="1" s="1"/>
  <c r="Q1119" i="1"/>
  <c r="R1119" i="1" s="1"/>
  <c r="Q1120" i="1"/>
  <c r="R1120" i="1" s="1"/>
  <c r="Q1121" i="1"/>
  <c r="R1121" i="1" s="1"/>
  <c r="Q1122" i="1"/>
  <c r="R112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R1129" i="1" s="1"/>
  <c r="Q1130" i="1"/>
  <c r="R1130" i="1" s="1"/>
  <c r="Q1131" i="1"/>
  <c r="R1131" i="1" s="1"/>
  <c r="Q1132" i="1"/>
  <c r="R1132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R1138" i="1" s="1"/>
  <c r="Q1139" i="1"/>
  <c r="R1139" i="1" s="1"/>
  <c r="Q1140" i="1"/>
  <c r="R1140" i="1" s="1"/>
  <c r="Q1141" i="1"/>
  <c r="R1141" i="1" s="1"/>
  <c r="Q1142" i="1"/>
  <c r="R1142" i="1" s="1"/>
  <c r="Q1143" i="1"/>
  <c r="R1143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53" i="1"/>
  <c r="R1153" i="1" s="1"/>
  <c r="Q1154" i="1"/>
  <c r="R1154" i="1" s="1"/>
  <c r="Q1155" i="1"/>
  <c r="R1155" i="1" s="1"/>
  <c r="Q1156" i="1"/>
  <c r="R1156" i="1" s="1"/>
  <c r="Q1157" i="1"/>
  <c r="R1157" i="1" s="1"/>
  <c r="Q1158" i="1"/>
  <c r="R1158" i="1" s="1"/>
  <c r="Q1159" i="1"/>
  <c r="R1159" i="1" s="1"/>
  <c r="Q1160" i="1"/>
  <c r="R1160" i="1" s="1"/>
  <c r="Q1161" i="1"/>
  <c r="R1161" i="1" s="1"/>
  <c r="Q1162" i="1"/>
  <c r="R1162" i="1" s="1"/>
  <c r="Q1163" i="1"/>
  <c r="R1163" i="1" s="1"/>
  <c r="Q1164" i="1"/>
  <c r="R1164" i="1" s="1"/>
  <c r="Q1165" i="1"/>
  <c r="R1165" i="1" s="1"/>
  <c r="Q1166" i="1"/>
  <c r="R1166" i="1" s="1"/>
  <c r="Q1167" i="1"/>
  <c r="R1167" i="1" s="1"/>
  <c r="Q1168" i="1"/>
  <c r="R1168" i="1" s="1"/>
  <c r="Q1169" i="1"/>
  <c r="R1169" i="1" s="1"/>
  <c r="Q1170" i="1"/>
  <c r="R1170" i="1" s="1"/>
  <c r="Q1171" i="1"/>
  <c r="R1171" i="1" s="1"/>
  <c r="Q1172" i="1"/>
  <c r="R1172" i="1" s="1"/>
  <c r="Q1173" i="1"/>
  <c r="R1173" i="1" s="1"/>
  <c r="Q1174" i="1"/>
  <c r="R1174" i="1" s="1"/>
  <c r="Q1175" i="1"/>
  <c r="R1175" i="1" s="1"/>
  <c r="Q1176" i="1"/>
  <c r="R1176" i="1" s="1"/>
  <c r="Q1177" i="1"/>
  <c r="R1177" i="1" s="1"/>
  <c r="Q1178" i="1"/>
  <c r="R1178" i="1" s="1"/>
  <c r="Q1179" i="1"/>
  <c r="R1179" i="1" s="1"/>
  <c r="Q1180" i="1"/>
  <c r="R1180" i="1" s="1"/>
  <c r="Q1181" i="1"/>
  <c r="R1181" i="1" s="1"/>
  <c r="Q1182" i="1"/>
  <c r="R1182" i="1" s="1"/>
  <c r="Q1183" i="1"/>
  <c r="R1183" i="1" s="1"/>
  <c r="Q1184" i="1"/>
  <c r="R1184" i="1" s="1"/>
  <c r="Q1185" i="1"/>
  <c r="R1185" i="1" s="1"/>
  <c r="Q1186" i="1"/>
  <c r="R1186" i="1" s="1"/>
  <c r="Q1187" i="1"/>
  <c r="R1187" i="1" s="1"/>
  <c r="Q1188" i="1"/>
  <c r="R1188" i="1" s="1"/>
  <c r="Q1189" i="1"/>
  <c r="R1189" i="1" s="1"/>
  <c r="Q1190" i="1"/>
  <c r="R1190" i="1" s="1"/>
  <c r="Q1191" i="1"/>
  <c r="R1191" i="1" s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R1198" i="1" s="1"/>
  <c r="Q1199" i="1"/>
  <c r="R1199" i="1" s="1"/>
  <c r="Q1200" i="1"/>
  <c r="R1200" i="1" s="1"/>
  <c r="Q1201" i="1"/>
  <c r="R1201" i="1" s="1"/>
  <c r="Q1202" i="1"/>
  <c r="R1202" i="1" s="1"/>
  <c r="Q1203" i="1"/>
  <c r="R1203" i="1" s="1"/>
  <c r="Q1204" i="1"/>
  <c r="R1204" i="1" s="1"/>
  <c r="Q1205" i="1"/>
  <c r="R1205" i="1" s="1"/>
  <c r="Q1206" i="1"/>
  <c r="R1206" i="1" s="1"/>
  <c r="Q1207" i="1"/>
  <c r="R1207" i="1" s="1"/>
  <c r="Q1208" i="1"/>
  <c r="R1208" i="1" s="1"/>
  <c r="Q1209" i="1"/>
  <c r="R1209" i="1" s="1"/>
  <c r="Q1210" i="1"/>
  <c r="R1210" i="1" s="1"/>
  <c r="Q1211" i="1"/>
  <c r="R1211" i="1" s="1"/>
  <c r="Q1212" i="1"/>
  <c r="R1212" i="1" s="1"/>
  <c r="Q1213" i="1"/>
  <c r="R1213" i="1" s="1"/>
  <c r="Q1214" i="1"/>
  <c r="R1214" i="1" s="1"/>
  <c r="Q1215" i="1"/>
  <c r="R1215" i="1" s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23" i="1"/>
  <c r="R1223" i="1" s="1"/>
  <c r="Q1224" i="1"/>
  <c r="R1224" i="1" s="1"/>
  <c r="Q1225" i="1"/>
  <c r="R1225" i="1" s="1"/>
  <c r="Q1226" i="1"/>
  <c r="R1226" i="1" s="1"/>
  <c r="Q1227" i="1"/>
  <c r="R1227" i="1" s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R1234" i="1" s="1"/>
  <c r="Q1235" i="1"/>
  <c r="R1235" i="1" s="1"/>
  <c r="Q1236" i="1"/>
  <c r="R1236" i="1" s="1"/>
  <c r="Q1237" i="1"/>
  <c r="R1237" i="1" s="1"/>
  <c r="Q1238" i="1"/>
  <c r="R1238" i="1" s="1"/>
  <c r="Q1239" i="1"/>
  <c r="R1239" i="1" s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R1246" i="1" s="1"/>
  <c r="Q1247" i="1"/>
  <c r="R1247" i="1" s="1"/>
  <c r="Q1248" i="1"/>
  <c r="R1248" i="1" s="1"/>
  <c r="Q1249" i="1"/>
  <c r="R1249" i="1" s="1"/>
  <c r="Q1250" i="1"/>
  <c r="R1250" i="1" s="1"/>
  <c r="Q1251" i="1"/>
  <c r="R1251" i="1" s="1"/>
  <c r="Q1252" i="1"/>
  <c r="R1252" i="1" s="1"/>
  <c r="Q2" i="1"/>
  <c r="R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N59" i="1" s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N123" i="1" s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N187" i="1" s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N221" i="1" s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N253" i="1" s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N285" i="1" s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N307" i="1" s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N323" i="1" s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N339" i="1" s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N355" i="1" s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N371" i="1" s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N387" i="1" s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N403" i="1" s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N419" i="1" s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N435" i="1" s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N451" i="1" s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N467" i="1" s="1"/>
  <c r="M468" i="1"/>
  <c r="M469" i="1"/>
  <c r="M470" i="1"/>
  <c r="M471" i="1"/>
  <c r="M472" i="1"/>
  <c r="M473" i="1"/>
  <c r="M474" i="1"/>
  <c r="M475" i="1"/>
  <c r="M476" i="1"/>
  <c r="M477" i="1"/>
  <c r="M478" i="1"/>
  <c r="M479" i="1"/>
  <c r="N479" i="1" s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N492" i="1" s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N506" i="1" s="1"/>
  <c r="M507" i="1"/>
  <c r="M508" i="1"/>
  <c r="M509" i="1"/>
  <c r="M510" i="1"/>
  <c r="M511" i="1"/>
  <c r="M512" i="1"/>
  <c r="M513" i="1"/>
  <c r="M514" i="1"/>
  <c r="M515" i="1"/>
  <c r="M516" i="1"/>
  <c r="M517" i="1"/>
  <c r="N517" i="1" s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N530" i="1" s="1"/>
  <c r="M531" i="1"/>
  <c r="N531" i="1" s="1"/>
  <c r="M532" i="1"/>
  <c r="M533" i="1"/>
  <c r="M534" i="1"/>
  <c r="M535" i="1"/>
  <c r="M536" i="1"/>
  <c r="M537" i="1"/>
  <c r="M538" i="1"/>
  <c r="M539" i="1"/>
  <c r="M540" i="1"/>
  <c r="M541" i="1"/>
  <c r="N541" i="1" s="1"/>
  <c r="M542" i="1"/>
  <c r="M543" i="1"/>
  <c r="N543" i="1" s="1"/>
  <c r="M544" i="1"/>
  <c r="M545" i="1"/>
  <c r="M546" i="1"/>
  <c r="M547" i="1"/>
  <c r="M548" i="1"/>
  <c r="M549" i="1"/>
  <c r="M550" i="1"/>
  <c r="M551" i="1"/>
  <c r="M552" i="1"/>
  <c r="M553" i="1"/>
  <c r="M554" i="1"/>
  <c r="M555" i="1"/>
  <c r="N555" i="1" s="1"/>
  <c r="M556" i="1"/>
  <c r="N556" i="1" s="1"/>
  <c r="M557" i="1"/>
  <c r="M558" i="1"/>
  <c r="M559" i="1"/>
  <c r="M560" i="1"/>
  <c r="M561" i="1"/>
  <c r="M562" i="1"/>
  <c r="M563" i="1"/>
  <c r="M564" i="1"/>
  <c r="M565" i="1"/>
  <c r="M566" i="1"/>
  <c r="M567" i="1"/>
  <c r="N567" i="1" s="1"/>
  <c r="M568" i="1"/>
  <c r="M569" i="1"/>
  <c r="M570" i="1"/>
  <c r="N570" i="1" s="1"/>
  <c r="M571" i="1"/>
  <c r="M572" i="1"/>
  <c r="M573" i="1"/>
  <c r="M574" i="1"/>
  <c r="M575" i="1"/>
  <c r="M576" i="1"/>
  <c r="M577" i="1"/>
  <c r="M578" i="1"/>
  <c r="M579" i="1"/>
  <c r="M580" i="1"/>
  <c r="N580" i="1" s="1"/>
  <c r="M581" i="1"/>
  <c r="N581" i="1" s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N594" i="1" s="1"/>
  <c r="M595" i="1"/>
  <c r="N595" i="1" s="1"/>
  <c r="M596" i="1"/>
  <c r="M597" i="1"/>
  <c r="M598" i="1"/>
  <c r="M599" i="1"/>
  <c r="M600" i="1"/>
  <c r="M601" i="1"/>
  <c r="M602" i="1"/>
  <c r="M603" i="1"/>
  <c r="M604" i="1"/>
  <c r="M605" i="1"/>
  <c r="N605" i="1" s="1"/>
  <c r="M606" i="1"/>
  <c r="M607" i="1"/>
  <c r="N607" i="1" s="1"/>
  <c r="M608" i="1"/>
  <c r="M609" i="1"/>
  <c r="M610" i="1"/>
  <c r="M611" i="1"/>
  <c r="M612" i="1"/>
  <c r="M613" i="1"/>
  <c r="M614" i="1"/>
  <c r="M615" i="1"/>
  <c r="M616" i="1"/>
  <c r="M617" i="1"/>
  <c r="M618" i="1"/>
  <c r="M619" i="1"/>
  <c r="N619" i="1" s="1"/>
  <c r="M620" i="1"/>
  <c r="N620" i="1" s="1"/>
  <c r="M621" i="1"/>
  <c r="M622" i="1"/>
  <c r="M623" i="1"/>
  <c r="M624" i="1"/>
  <c r="M625" i="1"/>
  <c r="M626" i="1"/>
  <c r="M627" i="1"/>
  <c r="M628" i="1"/>
  <c r="M629" i="1"/>
  <c r="M630" i="1"/>
  <c r="M631" i="1"/>
  <c r="N631" i="1" s="1"/>
  <c r="M632" i="1"/>
  <c r="M633" i="1"/>
  <c r="M634" i="1"/>
  <c r="N634" i="1" s="1"/>
  <c r="M635" i="1"/>
  <c r="M636" i="1"/>
  <c r="M637" i="1"/>
  <c r="M638" i="1"/>
  <c r="M639" i="1"/>
  <c r="M640" i="1"/>
  <c r="M641" i="1"/>
  <c r="M642" i="1"/>
  <c r="M643" i="1"/>
  <c r="M644" i="1"/>
  <c r="N644" i="1" s="1"/>
  <c r="M645" i="1"/>
  <c r="N645" i="1" s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N658" i="1" s="1"/>
  <c r="M659" i="1"/>
  <c r="N659" i="1" s="1"/>
  <c r="M660" i="1"/>
  <c r="M661" i="1"/>
  <c r="M662" i="1"/>
  <c r="M663" i="1"/>
  <c r="M664" i="1"/>
  <c r="M665" i="1"/>
  <c r="M666" i="1"/>
  <c r="M667" i="1"/>
  <c r="M668" i="1"/>
  <c r="M669" i="1"/>
  <c r="N669" i="1" s="1"/>
  <c r="M670" i="1"/>
  <c r="M671" i="1"/>
  <c r="N671" i="1" s="1"/>
  <c r="M672" i="1"/>
  <c r="M673" i="1"/>
  <c r="M674" i="1"/>
  <c r="M675" i="1"/>
  <c r="M676" i="1"/>
  <c r="M677" i="1"/>
  <c r="M678" i="1"/>
  <c r="M679" i="1"/>
  <c r="M680" i="1"/>
  <c r="M681" i="1"/>
  <c r="M682" i="1"/>
  <c r="N682" i="1" s="1"/>
  <c r="M683" i="1"/>
  <c r="N683" i="1" s="1"/>
  <c r="M684" i="1"/>
  <c r="M685" i="1"/>
  <c r="M686" i="1"/>
  <c r="M687" i="1"/>
  <c r="M688" i="1"/>
  <c r="M689" i="1"/>
  <c r="M690" i="1"/>
  <c r="N690" i="1" s="1"/>
  <c r="M691" i="1"/>
  <c r="N691" i="1" s="1"/>
  <c r="M692" i="1"/>
  <c r="M693" i="1"/>
  <c r="M694" i="1"/>
  <c r="M695" i="1"/>
  <c r="M696" i="1"/>
  <c r="M697" i="1"/>
  <c r="M698" i="1"/>
  <c r="N698" i="1" s="1"/>
  <c r="M699" i="1"/>
  <c r="N699" i="1" s="1"/>
  <c r="M700" i="1"/>
  <c r="M701" i="1"/>
  <c r="M702" i="1"/>
  <c r="M703" i="1"/>
  <c r="M704" i="1"/>
  <c r="M705" i="1"/>
  <c r="M706" i="1"/>
  <c r="N706" i="1" s="1"/>
  <c r="M707" i="1"/>
  <c r="N707" i="1" s="1"/>
  <c r="M708" i="1"/>
  <c r="M709" i="1"/>
  <c r="M710" i="1"/>
  <c r="M711" i="1"/>
  <c r="M712" i="1"/>
  <c r="M713" i="1"/>
  <c r="M714" i="1"/>
  <c r="N714" i="1" s="1"/>
  <c r="M715" i="1"/>
  <c r="N715" i="1" s="1"/>
  <c r="M716" i="1"/>
  <c r="M717" i="1"/>
  <c r="M718" i="1"/>
  <c r="M719" i="1"/>
  <c r="M720" i="1"/>
  <c r="M721" i="1"/>
  <c r="M722" i="1"/>
  <c r="N722" i="1" s="1"/>
  <c r="M723" i="1"/>
  <c r="N723" i="1" s="1"/>
  <c r="M724" i="1"/>
  <c r="M725" i="1"/>
  <c r="M726" i="1"/>
  <c r="M727" i="1"/>
  <c r="M728" i="1"/>
  <c r="M729" i="1"/>
  <c r="M730" i="1"/>
  <c r="N730" i="1" s="1"/>
  <c r="M731" i="1"/>
  <c r="N731" i="1" s="1"/>
  <c r="M732" i="1"/>
  <c r="M733" i="1"/>
  <c r="M734" i="1"/>
  <c r="M735" i="1"/>
  <c r="M736" i="1"/>
  <c r="M737" i="1"/>
  <c r="M738" i="1"/>
  <c r="N738" i="1" s="1"/>
  <c r="M739" i="1"/>
  <c r="N739" i="1" s="1"/>
  <c r="M740" i="1"/>
  <c r="M741" i="1"/>
  <c r="M742" i="1"/>
  <c r="M743" i="1"/>
  <c r="M744" i="1"/>
  <c r="M745" i="1"/>
  <c r="M746" i="1"/>
  <c r="N746" i="1" s="1"/>
  <c r="M747" i="1"/>
  <c r="N747" i="1" s="1"/>
  <c r="M748" i="1"/>
  <c r="M749" i="1"/>
  <c r="M750" i="1"/>
  <c r="M751" i="1"/>
  <c r="M752" i="1"/>
  <c r="M753" i="1"/>
  <c r="M754" i="1"/>
  <c r="N754" i="1" s="1"/>
  <c r="M755" i="1"/>
  <c r="N755" i="1" s="1"/>
  <c r="M756" i="1"/>
  <c r="M757" i="1"/>
  <c r="M758" i="1"/>
  <c r="M759" i="1"/>
  <c r="M760" i="1"/>
  <c r="M761" i="1"/>
  <c r="M762" i="1"/>
  <c r="N762" i="1" s="1"/>
  <c r="M763" i="1"/>
  <c r="N763" i="1" s="1"/>
  <c r="M764" i="1"/>
  <c r="M765" i="1"/>
  <c r="M766" i="1"/>
  <c r="M767" i="1"/>
  <c r="M768" i="1"/>
  <c r="M769" i="1"/>
  <c r="M770" i="1"/>
  <c r="N770" i="1" s="1"/>
  <c r="M771" i="1"/>
  <c r="N771" i="1" s="1"/>
  <c r="M772" i="1"/>
  <c r="M773" i="1"/>
  <c r="M774" i="1"/>
  <c r="M775" i="1"/>
  <c r="M776" i="1"/>
  <c r="M777" i="1"/>
  <c r="M778" i="1"/>
  <c r="N778" i="1" s="1"/>
  <c r="M779" i="1"/>
  <c r="N779" i="1" s="1"/>
  <c r="M780" i="1"/>
  <c r="M781" i="1"/>
  <c r="M782" i="1"/>
  <c r="M783" i="1"/>
  <c r="M784" i="1"/>
  <c r="M785" i="1"/>
  <c r="M786" i="1"/>
  <c r="N786" i="1" s="1"/>
  <c r="M787" i="1"/>
  <c r="N787" i="1" s="1"/>
  <c r="M788" i="1"/>
  <c r="M789" i="1"/>
  <c r="M790" i="1"/>
  <c r="M791" i="1"/>
  <c r="M792" i="1"/>
  <c r="M793" i="1"/>
  <c r="M794" i="1"/>
  <c r="N794" i="1" s="1"/>
  <c r="M795" i="1"/>
  <c r="N795" i="1" s="1"/>
  <c r="M796" i="1"/>
  <c r="M797" i="1"/>
  <c r="M798" i="1"/>
  <c r="M799" i="1"/>
  <c r="M800" i="1"/>
  <c r="M801" i="1"/>
  <c r="M802" i="1"/>
  <c r="N802" i="1" s="1"/>
  <c r="M803" i="1"/>
  <c r="N803" i="1" s="1"/>
  <c r="M804" i="1"/>
  <c r="M805" i="1"/>
  <c r="M806" i="1"/>
  <c r="M807" i="1"/>
  <c r="M808" i="1"/>
  <c r="M809" i="1"/>
  <c r="M810" i="1"/>
  <c r="N810" i="1" s="1"/>
  <c r="M811" i="1"/>
  <c r="N811" i="1" s="1"/>
  <c r="M812" i="1"/>
  <c r="M813" i="1"/>
  <c r="M814" i="1"/>
  <c r="M815" i="1"/>
  <c r="M816" i="1"/>
  <c r="M817" i="1"/>
  <c r="M818" i="1"/>
  <c r="N818" i="1" s="1"/>
  <c r="M819" i="1"/>
  <c r="N819" i="1" s="1"/>
  <c r="M820" i="1"/>
  <c r="M821" i="1"/>
  <c r="M822" i="1"/>
  <c r="M823" i="1"/>
  <c r="M824" i="1"/>
  <c r="M825" i="1"/>
  <c r="M826" i="1"/>
  <c r="N826" i="1" s="1"/>
  <c r="M827" i="1"/>
  <c r="N827" i="1" s="1"/>
  <c r="M828" i="1"/>
  <c r="M829" i="1"/>
  <c r="M830" i="1"/>
  <c r="M831" i="1"/>
  <c r="M832" i="1"/>
  <c r="M833" i="1"/>
  <c r="M834" i="1"/>
  <c r="N834" i="1" s="1"/>
  <c r="M835" i="1"/>
  <c r="N835" i="1" s="1"/>
  <c r="M836" i="1"/>
  <c r="M837" i="1"/>
  <c r="M838" i="1"/>
  <c r="M839" i="1"/>
  <c r="M840" i="1"/>
  <c r="M841" i="1"/>
  <c r="M842" i="1"/>
  <c r="N842" i="1" s="1"/>
  <c r="M843" i="1"/>
  <c r="N843" i="1" s="1"/>
  <c r="M844" i="1"/>
  <c r="M845" i="1"/>
  <c r="M846" i="1"/>
  <c r="M847" i="1"/>
  <c r="M848" i="1"/>
  <c r="M849" i="1"/>
  <c r="M850" i="1"/>
  <c r="N850" i="1" s="1"/>
  <c r="M851" i="1"/>
  <c r="N851" i="1" s="1"/>
  <c r="M852" i="1"/>
  <c r="M853" i="1"/>
  <c r="M854" i="1"/>
  <c r="M855" i="1"/>
  <c r="M856" i="1"/>
  <c r="M857" i="1"/>
  <c r="M858" i="1"/>
  <c r="N858" i="1" s="1"/>
  <c r="M859" i="1"/>
  <c r="N859" i="1" s="1"/>
  <c r="M860" i="1"/>
  <c r="M861" i="1"/>
  <c r="M862" i="1"/>
  <c r="M863" i="1"/>
  <c r="M864" i="1"/>
  <c r="M865" i="1"/>
  <c r="M866" i="1"/>
  <c r="N866" i="1" s="1"/>
  <c r="M867" i="1"/>
  <c r="N867" i="1" s="1"/>
  <c r="M868" i="1"/>
  <c r="M869" i="1"/>
  <c r="M870" i="1"/>
  <c r="M871" i="1"/>
  <c r="M872" i="1"/>
  <c r="M873" i="1"/>
  <c r="M874" i="1"/>
  <c r="N874" i="1" s="1"/>
  <c r="M875" i="1"/>
  <c r="N875" i="1" s="1"/>
  <c r="M876" i="1"/>
  <c r="M877" i="1"/>
  <c r="M878" i="1"/>
  <c r="M879" i="1"/>
  <c r="M880" i="1"/>
  <c r="M881" i="1"/>
  <c r="M882" i="1"/>
  <c r="N882" i="1" s="1"/>
  <c r="M883" i="1"/>
  <c r="N883" i="1" s="1"/>
  <c r="M884" i="1"/>
  <c r="M885" i="1"/>
  <c r="M886" i="1"/>
  <c r="M887" i="1"/>
  <c r="M888" i="1"/>
  <c r="M889" i="1"/>
  <c r="M890" i="1"/>
  <c r="N890" i="1" s="1"/>
  <c r="M891" i="1"/>
  <c r="N891" i="1" s="1"/>
  <c r="M892" i="1"/>
  <c r="M893" i="1"/>
  <c r="M894" i="1"/>
  <c r="M895" i="1"/>
  <c r="M896" i="1"/>
  <c r="M897" i="1"/>
  <c r="M898" i="1"/>
  <c r="N898" i="1" s="1"/>
  <c r="M899" i="1"/>
  <c r="N899" i="1" s="1"/>
  <c r="M900" i="1"/>
  <c r="M901" i="1"/>
  <c r="M902" i="1"/>
  <c r="M903" i="1"/>
  <c r="M904" i="1"/>
  <c r="M905" i="1"/>
  <c r="M906" i="1"/>
  <c r="N906" i="1" s="1"/>
  <c r="M907" i="1"/>
  <c r="N907" i="1" s="1"/>
  <c r="M908" i="1"/>
  <c r="M909" i="1"/>
  <c r="M910" i="1"/>
  <c r="M911" i="1"/>
  <c r="M912" i="1"/>
  <c r="M913" i="1"/>
  <c r="M914" i="1"/>
  <c r="N914" i="1" s="1"/>
  <c r="M915" i="1"/>
  <c r="N915" i="1" s="1"/>
  <c r="M916" i="1"/>
  <c r="M917" i="1"/>
  <c r="M918" i="1"/>
  <c r="M919" i="1"/>
  <c r="M920" i="1"/>
  <c r="M921" i="1"/>
  <c r="M922" i="1"/>
  <c r="N922" i="1" s="1"/>
  <c r="M923" i="1"/>
  <c r="N923" i="1" s="1"/>
  <c r="M924" i="1"/>
  <c r="M925" i="1"/>
  <c r="M926" i="1"/>
  <c r="M927" i="1"/>
  <c r="M928" i="1"/>
  <c r="M929" i="1"/>
  <c r="M930" i="1"/>
  <c r="N930" i="1" s="1"/>
  <c r="M931" i="1"/>
  <c r="N931" i="1" s="1"/>
  <c r="M932" i="1"/>
  <c r="M933" i="1"/>
  <c r="M934" i="1"/>
  <c r="M935" i="1"/>
  <c r="M936" i="1"/>
  <c r="M937" i="1"/>
  <c r="M938" i="1"/>
  <c r="N938" i="1" s="1"/>
  <c r="M939" i="1"/>
  <c r="N939" i="1" s="1"/>
  <c r="M940" i="1"/>
  <c r="M941" i="1"/>
  <c r="M942" i="1"/>
  <c r="M943" i="1"/>
  <c r="M944" i="1"/>
  <c r="M945" i="1"/>
  <c r="M946" i="1"/>
  <c r="N946" i="1" s="1"/>
  <c r="M947" i="1"/>
  <c r="N947" i="1" s="1"/>
  <c r="M948" i="1"/>
  <c r="M949" i="1"/>
  <c r="M950" i="1"/>
  <c r="M951" i="1"/>
  <c r="M952" i="1"/>
  <c r="M953" i="1"/>
  <c r="M954" i="1"/>
  <c r="N954" i="1" s="1"/>
  <c r="M955" i="1"/>
  <c r="N955" i="1" s="1"/>
  <c r="M956" i="1"/>
  <c r="M957" i="1"/>
  <c r="M958" i="1"/>
  <c r="M959" i="1"/>
  <c r="M960" i="1"/>
  <c r="M961" i="1"/>
  <c r="M962" i="1"/>
  <c r="N962" i="1" s="1"/>
  <c r="M963" i="1"/>
  <c r="N963" i="1" s="1"/>
  <c r="M964" i="1"/>
  <c r="M965" i="1"/>
  <c r="M966" i="1"/>
  <c r="M967" i="1"/>
  <c r="M968" i="1"/>
  <c r="M969" i="1"/>
  <c r="M970" i="1"/>
  <c r="N970" i="1" s="1"/>
  <c r="M971" i="1"/>
  <c r="N971" i="1" s="1"/>
  <c r="M972" i="1"/>
  <c r="M973" i="1"/>
  <c r="M974" i="1"/>
  <c r="M975" i="1"/>
  <c r="M976" i="1"/>
  <c r="M977" i="1"/>
  <c r="M978" i="1"/>
  <c r="N978" i="1" s="1"/>
  <c r="M979" i="1"/>
  <c r="N979" i="1" s="1"/>
  <c r="M980" i="1"/>
  <c r="M981" i="1"/>
  <c r="M982" i="1"/>
  <c r="M983" i="1"/>
  <c r="M984" i="1"/>
  <c r="M985" i="1"/>
  <c r="M986" i="1"/>
  <c r="N986" i="1" s="1"/>
  <c r="M987" i="1"/>
  <c r="N987" i="1" s="1"/>
  <c r="M988" i="1"/>
  <c r="M989" i="1"/>
  <c r="M990" i="1"/>
  <c r="M991" i="1"/>
  <c r="M992" i="1"/>
  <c r="M993" i="1"/>
  <c r="M994" i="1"/>
  <c r="N994" i="1" s="1"/>
  <c r="M995" i="1"/>
  <c r="N995" i="1" s="1"/>
  <c r="M996" i="1"/>
  <c r="M997" i="1"/>
  <c r="M998" i="1"/>
  <c r="M999" i="1"/>
  <c r="M1000" i="1"/>
  <c r="M1001" i="1"/>
  <c r="M1002" i="1"/>
  <c r="N1002" i="1" s="1"/>
  <c r="M1003" i="1"/>
  <c r="N1003" i="1" s="1"/>
  <c r="M1004" i="1"/>
  <c r="M1005" i="1"/>
  <c r="M1006" i="1"/>
  <c r="M1007" i="1"/>
  <c r="M1008" i="1"/>
  <c r="M1009" i="1"/>
  <c r="M1010" i="1"/>
  <c r="N1010" i="1" s="1"/>
  <c r="M1011" i="1"/>
  <c r="N1011" i="1" s="1"/>
  <c r="M1012" i="1"/>
  <c r="M1013" i="1"/>
  <c r="M1014" i="1"/>
  <c r="M1015" i="1"/>
  <c r="M1016" i="1"/>
  <c r="M1017" i="1"/>
  <c r="M1018" i="1"/>
  <c r="N1018" i="1" s="1"/>
  <c r="M1019" i="1"/>
  <c r="N1019" i="1" s="1"/>
  <c r="M1020" i="1"/>
  <c r="M1021" i="1"/>
  <c r="M1022" i="1"/>
  <c r="M1023" i="1"/>
  <c r="M1024" i="1"/>
  <c r="M1025" i="1"/>
  <c r="M1026" i="1"/>
  <c r="N1026" i="1" s="1"/>
  <c r="M1027" i="1"/>
  <c r="N1027" i="1" s="1"/>
  <c r="M1028" i="1"/>
  <c r="M1029" i="1"/>
  <c r="M1030" i="1"/>
  <c r="M1031" i="1"/>
  <c r="M1032" i="1"/>
  <c r="M1033" i="1"/>
  <c r="M1034" i="1"/>
  <c r="N1034" i="1" s="1"/>
  <c r="M1035" i="1"/>
  <c r="N1035" i="1" s="1"/>
  <c r="M1036" i="1"/>
  <c r="M1037" i="1"/>
  <c r="M1038" i="1"/>
  <c r="M1039" i="1"/>
  <c r="M1040" i="1"/>
  <c r="M1041" i="1"/>
  <c r="M1042" i="1"/>
  <c r="N1042" i="1" s="1"/>
  <c r="M1043" i="1"/>
  <c r="N1043" i="1" s="1"/>
  <c r="M1044" i="1"/>
  <c r="M1045" i="1"/>
  <c r="M1046" i="1"/>
  <c r="M1047" i="1"/>
  <c r="M1048" i="1"/>
  <c r="M1049" i="1"/>
  <c r="M1050" i="1"/>
  <c r="N1050" i="1" s="1"/>
  <c r="M1051" i="1"/>
  <c r="N1051" i="1" s="1"/>
  <c r="M1052" i="1"/>
  <c r="M1053" i="1"/>
  <c r="M1054" i="1"/>
  <c r="M1055" i="1"/>
  <c r="M1056" i="1"/>
  <c r="M1057" i="1"/>
  <c r="M1058" i="1"/>
  <c r="N1058" i="1" s="1"/>
  <c r="M1059" i="1"/>
  <c r="N1059" i="1" s="1"/>
  <c r="M1060" i="1"/>
  <c r="M1061" i="1"/>
  <c r="M1062" i="1"/>
  <c r="M1063" i="1"/>
  <c r="M1064" i="1"/>
  <c r="M1065" i="1"/>
  <c r="M1066" i="1"/>
  <c r="N1066" i="1" s="1"/>
  <c r="M1067" i="1"/>
  <c r="N1067" i="1" s="1"/>
  <c r="M1068" i="1"/>
  <c r="M1069" i="1"/>
  <c r="M1070" i="1"/>
  <c r="M1071" i="1"/>
  <c r="M1072" i="1"/>
  <c r="M1073" i="1"/>
  <c r="M1074" i="1"/>
  <c r="N1074" i="1" s="1"/>
  <c r="M1075" i="1"/>
  <c r="N1075" i="1" s="1"/>
  <c r="M1076" i="1"/>
  <c r="M1077" i="1"/>
  <c r="M1078" i="1"/>
  <c r="M1079" i="1"/>
  <c r="M1080" i="1"/>
  <c r="M1081" i="1"/>
  <c r="M1082" i="1"/>
  <c r="N1082" i="1" s="1"/>
  <c r="M1083" i="1"/>
  <c r="N1083" i="1" s="1"/>
  <c r="M1084" i="1"/>
  <c r="M1085" i="1"/>
  <c r="M1086" i="1"/>
  <c r="M1087" i="1"/>
  <c r="M1088" i="1"/>
  <c r="M1089" i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2" i="1"/>
  <c r="N2" i="1" s="1"/>
  <c r="P1107" i="1" l="1"/>
  <c r="L1246" i="1"/>
  <c r="P1099" i="1"/>
  <c r="L1182" i="1"/>
  <c r="P1035" i="1"/>
  <c r="L1118" i="1"/>
  <c r="P568" i="1"/>
  <c r="P1235" i="1"/>
  <c r="P479" i="1"/>
  <c r="P1227" i="1"/>
  <c r="P1171" i="1"/>
  <c r="P1163" i="1"/>
  <c r="P1219" i="1"/>
  <c r="P1083" i="1"/>
  <c r="P1211" i="1"/>
  <c r="L946" i="1"/>
  <c r="P1203" i="1"/>
  <c r="P1139" i="1"/>
  <c r="P1075" i="1"/>
  <c r="P335" i="1"/>
  <c r="P1091" i="1"/>
  <c r="P1147" i="1"/>
  <c r="L690" i="1"/>
  <c r="P1195" i="1"/>
  <c r="P1131" i="1"/>
  <c r="P1067" i="1"/>
  <c r="P1251" i="1"/>
  <c r="P1187" i="1"/>
  <c r="P1123" i="1"/>
  <c r="P1059" i="1"/>
  <c r="P653" i="1"/>
  <c r="P1155" i="1"/>
  <c r="P1243" i="1"/>
  <c r="P1179" i="1"/>
  <c r="P1115" i="1"/>
  <c r="P1051" i="1"/>
  <c r="R668" i="1"/>
  <c r="P668" i="1"/>
  <c r="R572" i="1"/>
  <c r="P572" i="1"/>
  <c r="R508" i="1"/>
  <c r="P508" i="1"/>
  <c r="R452" i="1"/>
  <c r="P452" i="1"/>
  <c r="R404" i="1"/>
  <c r="P404" i="1"/>
  <c r="R340" i="1"/>
  <c r="P340" i="1"/>
  <c r="R276" i="1"/>
  <c r="P276" i="1"/>
  <c r="R204" i="1"/>
  <c r="P204" i="1"/>
  <c r="R92" i="1"/>
  <c r="P92" i="1"/>
  <c r="P972" i="1"/>
  <c r="R1027" i="1"/>
  <c r="P1027" i="1"/>
  <c r="R1019" i="1"/>
  <c r="P1019" i="1"/>
  <c r="R1011" i="1"/>
  <c r="P1011" i="1"/>
  <c r="R1003" i="1"/>
  <c r="P1003" i="1"/>
  <c r="R995" i="1"/>
  <c r="P995" i="1"/>
  <c r="R987" i="1"/>
  <c r="P987" i="1"/>
  <c r="R979" i="1"/>
  <c r="P979" i="1"/>
  <c r="R971" i="1"/>
  <c r="P971" i="1"/>
  <c r="R963" i="1"/>
  <c r="P963" i="1"/>
  <c r="R955" i="1"/>
  <c r="P955" i="1"/>
  <c r="R947" i="1"/>
  <c r="P947" i="1"/>
  <c r="R939" i="1"/>
  <c r="P939" i="1"/>
  <c r="R931" i="1"/>
  <c r="P931" i="1"/>
  <c r="R923" i="1"/>
  <c r="P923" i="1"/>
  <c r="R915" i="1"/>
  <c r="P915" i="1"/>
  <c r="R907" i="1"/>
  <c r="P907" i="1"/>
  <c r="R899" i="1"/>
  <c r="P899" i="1"/>
  <c r="R891" i="1"/>
  <c r="P891" i="1"/>
  <c r="R883" i="1"/>
  <c r="P883" i="1"/>
  <c r="R875" i="1"/>
  <c r="P875" i="1"/>
  <c r="R867" i="1"/>
  <c r="P867" i="1"/>
  <c r="R859" i="1"/>
  <c r="P859" i="1"/>
  <c r="R851" i="1"/>
  <c r="P851" i="1"/>
  <c r="R843" i="1"/>
  <c r="P843" i="1"/>
  <c r="R835" i="1"/>
  <c r="P835" i="1"/>
  <c r="R827" i="1"/>
  <c r="P827" i="1"/>
  <c r="R819" i="1"/>
  <c r="P819" i="1"/>
  <c r="R811" i="1"/>
  <c r="P811" i="1"/>
  <c r="R803" i="1"/>
  <c r="P803" i="1"/>
  <c r="R795" i="1"/>
  <c r="P795" i="1"/>
  <c r="R787" i="1"/>
  <c r="P787" i="1"/>
  <c r="R779" i="1"/>
  <c r="P779" i="1"/>
  <c r="R771" i="1"/>
  <c r="P771" i="1"/>
  <c r="R763" i="1"/>
  <c r="P763" i="1"/>
  <c r="R755" i="1"/>
  <c r="P755" i="1"/>
  <c r="R747" i="1"/>
  <c r="P747" i="1"/>
  <c r="R739" i="1"/>
  <c r="P739" i="1"/>
  <c r="R731" i="1"/>
  <c r="P731" i="1"/>
  <c r="R723" i="1"/>
  <c r="P723" i="1"/>
  <c r="R715" i="1"/>
  <c r="P715" i="1"/>
  <c r="R707" i="1"/>
  <c r="P707" i="1"/>
  <c r="R699" i="1"/>
  <c r="P699" i="1"/>
  <c r="R691" i="1"/>
  <c r="P691" i="1"/>
  <c r="R683" i="1"/>
  <c r="P683" i="1"/>
  <c r="R667" i="1"/>
  <c r="P667" i="1"/>
  <c r="R659" i="1"/>
  <c r="P659" i="1"/>
  <c r="R651" i="1"/>
  <c r="P651" i="1"/>
  <c r="R635" i="1"/>
  <c r="P635" i="1"/>
  <c r="R627" i="1"/>
  <c r="P627" i="1"/>
  <c r="R619" i="1"/>
  <c r="P619" i="1"/>
  <c r="R603" i="1"/>
  <c r="P603" i="1"/>
  <c r="R595" i="1"/>
  <c r="P595" i="1"/>
  <c r="R587" i="1"/>
  <c r="P587" i="1"/>
  <c r="R571" i="1"/>
  <c r="P571" i="1"/>
  <c r="R563" i="1"/>
  <c r="P563" i="1"/>
  <c r="R555" i="1"/>
  <c r="P555" i="1"/>
  <c r="R539" i="1"/>
  <c r="P539" i="1"/>
  <c r="R531" i="1"/>
  <c r="P531" i="1"/>
  <c r="R523" i="1"/>
  <c r="P523" i="1"/>
  <c r="R507" i="1"/>
  <c r="P507" i="1"/>
  <c r="R499" i="1"/>
  <c r="P499" i="1"/>
  <c r="R491" i="1"/>
  <c r="P491" i="1"/>
  <c r="R483" i="1"/>
  <c r="P483" i="1"/>
  <c r="R475" i="1"/>
  <c r="P475" i="1"/>
  <c r="R467" i="1"/>
  <c r="P467" i="1"/>
  <c r="R459" i="1"/>
  <c r="P459" i="1"/>
  <c r="R451" i="1"/>
  <c r="P451" i="1"/>
  <c r="R443" i="1"/>
  <c r="P443" i="1"/>
  <c r="R435" i="1"/>
  <c r="P435" i="1"/>
  <c r="R427" i="1"/>
  <c r="P427" i="1"/>
  <c r="R419" i="1"/>
  <c r="P419" i="1"/>
  <c r="R411" i="1"/>
  <c r="P411" i="1"/>
  <c r="R403" i="1"/>
  <c r="P403" i="1"/>
  <c r="R395" i="1"/>
  <c r="P395" i="1"/>
  <c r="R387" i="1"/>
  <c r="P387" i="1"/>
  <c r="R379" i="1"/>
  <c r="P379" i="1"/>
  <c r="R371" i="1"/>
  <c r="P371" i="1"/>
  <c r="R363" i="1"/>
  <c r="P363" i="1"/>
  <c r="R355" i="1"/>
  <c r="P355" i="1"/>
  <c r="R347" i="1"/>
  <c r="P347" i="1"/>
  <c r="R339" i="1"/>
  <c r="P339" i="1"/>
  <c r="R331" i="1"/>
  <c r="P331" i="1"/>
  <c r="R323" i="1"/>
  <c r="P323" i="1"/>
  <c r="R315" i="1"/>
  <c r="P315" i="1"/>
  <c r="R307" i="1"/>
  <c r="P307" i="1"/>
  <c r="R299" i="1"/>
  <c r="P299" i="1"/>
  <c r="R291" i="1"/>
  <c r="P291" i="1"/>
  <c r="R283" i="1"/>
  <c r="P283" i="1"/>
  <c r="R275" i="1"/>
  <c r="P275" i="1"/>
  <c r="R267" i="1"/>
  <c r="P267" i="1"/>
  <c r="R259" i="1"/>
  <c r="P259" i="1"/>
  <c r="R251" i="1"/>
  <c r="P251" i="1"/>
  <c r="R243" i="1"/>
  <c r="P243" i="1"/>
  <c r="R235" i="1"/>
  <c r="P235" i="1"/>
  <c r="R227" i="1"/>
  <c r="P227" i="1"/>
  <c r="R219" i="1"/>
  <c r="P219" i="1"/>
  <c r="R211" i="1"/>
  <c r="P211" i="1"/>
  <c r="R203" i="1"/>
  <c r="P203" i="1"/>
  <c r="R195" i="1"/>
  <c r="P195" i="1"/>
  <c r="R187" i="1"/>
  <c r="P187" i="1"/>
  <c r="R179" i="1"/>
  <c r="P179" i="1"/>
  <c r="R171" i="1"/>
  <c r="P171" i="1"/>
  <c r="R163" i="1"/>
  <c r="P163" i="1"/>
  <c r="R155" i="1"/>
  <c r="P155" i="1"/>
  <c r="R147" i="1"/>
  <c r="P147" i="1"/>
  <c r="R139" i="1"/>
  <c r="P139" i="1"/>
  <c r="R131" i="1"/>
  <c r="P131" i="1"/>
  <c r="R123" i="1"/>
  <c r="P123" i="1"/>
  <c r="R115" i="1"/>
  <c r="P115" i="1"/>
  <c r="R107" i="1"/>
  <c r="P107" i="1"/>
  <c r="R99" i="1"/>
  <c r="P99" i="1"/>
  <c r="R91" i="1"/>
  <c r="P91" i="1"/>
  <c r="R83" i="1"/>
  <c r="P83" i="1"/>
  <c r="R75" i="1"/>
  <c r="P75" i="1"/>
  <c r="R67" i="1"/>
  <c r="P67" i="1"/>
  <c r="R59" i="1"/>
  <c r="P59" i="1"/>
  <c r="R51" i="1"/>
  <c r="P51" i="1"/>
  <c r="R43" i="1"/>
  <c r="P43" i="1"/>
  <c r="R35" i="1"/>
  <c r="P35" i="1"/>
  <c r="R27" i="1"/>
  <c r="P27" i="1"/>
  <c r="R19" i="1"/>
  <c r="P19" i="1"/>
  <c r="R11" i="1"/>
  <c r="P11" i="1"/>
  <c r="R3" i="1"/>
  <c r="P3" i="1"/>
  <c r="L1238" i="1"/>
  <c r="L1174" i="1"/>
  <c r="L1110" i="1"/>
  <c r="L914" i="1"/>
  <c r="L644" i="1"/>
  <c r="P1250" i="1"/>
  <c r="P1242" i="1"/>
  <c r="P1234" i="1"/>
  <c r="P1226" i="1"/>
  <c r="P1218" i="1"/>
  <c r="P1210" i="1"/>
  <c r="P1202" i="1"/>
  <c r="P1194" i="1"/>
  <c r="P1186" i="1"/>
  <c r="P1178" i="1"/>
  <c r="P1170" i="1"/>
  <c r="P1162" i="1"/>
  <c r="P1154" i="1"/>
  <c r="P1146" i="1"/>
  <c r="P1138" i="1"/>
  <c r="P1130" i="1"/>
  <c r="P1122" i="1"/>
  <c r="P1114" i="1"/>
  <c r="P1106" i="1"/>
  <c r="P1098" i="1"/>
  <c r="P1090" i="1"/>
  <c r="P1082" i="1"/>
  <c r="P1074" i="1"/>
  <c r="P1066" i="1"/>
  <c r="P1058" i="1"/>
  <c r="P1050" i="1"/>
  <c r="P1033" i="1"/>
  <c r="P1001" i="1"/>
  <c r="P969" i="1"/>
  <c r="P937" i="1"/>
  <c r="P905" i="1"/>
  <c r="P873" i="1"/>
  <c r="P841" i="1"/>
  <c r="P809" i="1"/>
  <c r="P777" i="1"/>
  <c r="P716" i="1"/>
  <c r="P643" i="1"/>
  <c r="P557" i="1"/>
  <c r="P465" i="1"/>
  <c r="P312" i="1"/>
  <c r="P116" i="1"/>
  <c r="R628" i="1"/>
  <c r="P628" i="1"/>
  <c r="R588" i="1"/>
  <c r="P588" i="1"/>
  <c r="R548" i="1"/>
  <c r="P548" i="1"/>
  <c r="R500" i="1"/>
  <c r="P500" i="1"/>
  <c r="R460" i="1"/>
  <c r="P460" i="1"/>
  <c r="R412" i="1"/>
  <c r="P412" i="1"/>
  <c r="R364" i="1"/>
  <c r="P364" i="1"/>
  <c r="R316" i="1"/>
  <c r="P316" i="1"/>
  <c r="R268" i="1"/>
  <c r="P268" i="1"/>
  <c r="R220" i="1"/>
  <c r="P220" i="1"/>
  <c r="R172" i="1"/>
  <c r="P172" i="1"/>
  <c r="R132" i="1"/>
  <c r="P132" i="1"/>
  <c r="R100" i="1"/>
  <c r="P100" i="1"/>
  <c r="R12" i="1"/>
  <c r="P12" i="1"/>
  <c r="P908" i="1"/>
  <c r="P812" i="1"/>
  <c r="P148" i="1"/>
  <c r="R1042" i="1"/>
  <c r="P1042" i="1"/>
  <c r="R1034" i="1"/>
  <c r="P1034" i="1"/>
  <c r="R1026" i="1"/>
  <c r="P1026" i="1"/>
  <c r="R1018" i="1"/>
  <c r="P1018" i="1"/>
  <c r="R1010" i="1"/>
  <c r="P1010" i="1"/>
  <c r="R1002" i="1"/>
  <c r="P1002" i="1"/>
  <c r="R994" i="1"/>
  <c r="P994" i="1"/>
  <c r="R986" i="1"/>
  <c r="P986" i="1"/>
  <c r="R978" i="1"/>
  <c r="P978" i="1"/>
  <c r="R970" i="1"/>
  <c r="P970" i="1"/>
  <c r="R962" i="1"/>
  <c r="P962" i="1"/>
  <c r="R954" i="1"/>
  <c r="P954" i="1"/>
  <c r="R946" i="1"/>
  <c r="P946" i="1"/>
  <c r="R938" i="1"/>
  <c r="P938" i="1"/>
  <c r="R930" i="1"/>
  <c r="P930" i="1"/>
  <c r="R922" i="1"/>
  <c r="P922" i="1"/>
  <c r="R914" i="1"/>
  <c r="P914" i="1"/>
  <c r="R906" i="1"/>
  <c r="P906" i="1"/>
  <c r="R898" i="1"/>
  <c r="P898" i="1"/>
  <c r="R890" i="1"/>
  <c r="P890" i="1"/>
  <c r="R882" i="1"/>
  <c r="P882" i="1"/>
  <c r="R874" i="1"/>
  <c r="P874" i="1"/>
  <c r="R866" i="1"/>
  <c r="P866" i="1"/>
  <c r="R858" i="1"/>
  <c r="P858" i="1"/>
  <c r="R850" i="1"/>
  <c r="P850" i="1"/>
  <c r="R842" i="1"/>
  <c r="P842" i="1"/>
  <c r="R834" i="1"/>
  <c r="P834" i="1"/>
  <c r="R826" i="1"/>
  <c r="P826" i="1"/>
  <c r="R818" i="1"/>
  <c r="P818" i="1"/>
  <c r="R810" i="1"/>
  <c r="P810" i="1"/>
  <c r="R802" i="1"/>
  <c r="P802" i="1"/>
  <c r="R794" i="1"/>
  <c r="P794" i="1"/>
  <c r="R786" i="1"/>
  <c r="P786" i="1"/>
  <c r="R778" i="1"/>
  <c r="P778" i="1"/>
  <c r="R770" i="1"/>
  <c r="P770" i="1"/>
  <c r="R762" i="1"/>
  <c r="P762" i="1"/>
  <c r="R754" i="1"/>
  <c r="P754" i="1"/>
  <c r="R746" i="1"/>
  <c r="P746" i="1"/>
  <c r="R738" i="1"/>
  <c r="P738" i="1"/>
  <c r="R730" i="1"/>
  <c r="P730" i="1"/>
  <c r="R722" i="1"/>
  <c r="P722" i="1"/>
  <c r="R714" i="1"/>
  <c r="P714" i="1"/>
  <c r="R706" i="1"/>
  <c r="P706" i="1"/>
  <c r="R698" i="1"/>
  <c r="P698" i="1"/>
  <c r="R690" i="1"/>
  <c r="P690" i="1"/>
  <c r="R682" i="1"/>
  <c r="P682" i="1"/>
  <c r="R674" i="1"/>
  <c r="P674" i="1"/>
  <c r="R666" i="1"/>
  <c r="P666" i="1"/>
  <c r="R658" i="1"/>
  <c r="P658" i="1"/>
  <c r="R650" i="1"/>
  <c r="P650" i="1"/>
  <c r="R642" i="1"/>
  <c r="P642" i="1"/>
  <c r="R634" i="1"/>
  <c r="P634" i="1"/>
  <c r="R626" i="1"/>
  <c r="P626" i="1"/>
  <c r="R618" i="1"/>
  <c r="P618" i="1"/>
  <c r="R610" i="1"/>
  <c r="P610" i="1"/>
  <c r="R602" i="1"/>
  <c r="P602" i="1"/>
  <c r="R594" i="1"/>
  <c r="P594" i="1"/>
  <c r="R586" i="1"/>
  <c r="P586" i="1"/>
  <c r="R578" i="1"/>
  <c r="P578" i="1"/>
  <c r="R570" i="1"/>
  <c r="P570" i="1"/>
  <c r="R562" i="1"/>
  <c r="P562" i="1"/>
  <c r="R554" i="1"/>
  <c r="P554" i="1"/>
  <c r="R546" i="1"/>
  <c r="P546" i="1"/>
  <c r="R538" i="1"/>
  <c r="P538" i="1"/>
  <c r="R530" i="1"/>
  <c r="P530" i="1"/>
  <c r="R522" i="1"/>
  <c r="P522" i="1"/>
  <c r="R514" i="1"/>
  <c r="P514" i="1"/>
  <c r="R506" i="1"/>
  <c r="P506" i="1"/>
  <c r="R498" i="1"/>
  <c r="P498" i="1"/>
  <c r="R490" i="1"/>
  <c r="P490" i="1"/>
  <c r="R482" i="1"/>
  <c r="P482" i="1"/>
  <c r="R474" i="1"/>
  <c r="P474" i="1"/>
  <c r="R466" i="1"/>
  <c r="P466" i="1"/>
  <c r="R458" i="1"/>
  <c r="P458" i="1"/>
  <c r="R450" i="1"/>
  <c r="P450" i="1"/>
  <c r="R442" i="1"/>
  <c r="P442" i="1"/>
  <c r="R434" i="1"/>
  <c r="P434" i="1"/>
  <c r="R426" i="1"/>
  <c r="P426" i="1"/>
  <c r="R418" i="1"/>
  <c r="P418" i="1"/>
  <c r="R410" i="1"/>
  <c r="P410" i="1"/>
  <c r="R402" i="1"/>
  <c r="P402" i="1"/>
  <c r="R394" i="1"/>
  <c r="P394" i="1"/>
  <c r="R386" i="1"/>
  <c r="P386" i="1"/>
  <c r="R378" i="1"/>
  <c r="P378" i="1"/>
  <c r="R370" i="1"/>
  <c r="P370" i="1"/>
  <c r="R362" i="1"/>
  <c r="P362" i="1"/>
  <c r="R354" i="1"/>
  <c r="P354" i="1"/>
  <c r="R346" i="1"/>
  <c r="P346" i="1"/>
  <c r="R338" i="1"/>
  <c r="P338" i="1"/>
  <c r="R330" i="1"/>
  <c r="P330" i="1"/>
  <c r="R322" i="1"/>
  <c r="P322" i="1"/>
  <c r="R314" i="1"/>
  <c r="P314" i="1"/>
  <c r="R306" i="1"/>
  <c r="P306" i="1"/>
  <c r="R298" i="1"/>
  <c r="P298" i="1"/>
  <c r="R290" i="1"/>
  <c r="P290" i="1"/>
  <c r="R282" i="1"/>
  <c r="P282" i="1"/>
  <c r="R274" i="1"/>
  <c r="P274" i="1"/>
  <c r="R266" i="1"/>
  <c r="P266" i="1"/>
  <c r="R258" i="1"/>
  <c r="P258" i="1"/>
  <c r="R250" i="1"/>
  <c r="P250" i="1"/>
  <c r="R242" i="1"/>
  <c r="P242" i="1"/>
  <c r="R234" i="1"/>
  <c r="P234" i="1"/>
  <c r="R226" i="1"/>
  <c r="P226" i="1"/>
  <c r="R218" i="1"/>
  <c r="P218" i="1"/>
  <c r="R210" i="1"/>
  <c r="P210" i="1"/>
  <c r="R202" i="1"/>
  <c r="P202" i="1"/>
  <c r="R194" i="1"/>
  <c r="P194" i="1"/>
  <c r="R186" i="1"/>
  <c r="P186" i="1"/>
  <c r="R178" i="1"/>
  <c r="P178" i="1"/>
  <c r="R170" i="1"/>
  <c r="P170" i="1"/>
  <c r="R162" i="1"/>
  <c r="P162" i="1"/>
  <c r="R154" i="1"/>
  <c r="P154" i="1"/>
  <c r="R146" i="1"/>
  <c r="P146" i="1"/>
  <c r="R138" i="1"/>
  <c r="P138" i="1"/>
  <c r="R130" i="1"/>
  <c r="P130" i="1"/>
  <c r="R122" i="1"/>
  <c r="P122" i="1"/>
  <c r="R114" i="1"/>
  <c r="P114" i="1"/>
  <c r="R106" i="1"/>
  <c r="P106" i="1"/>
  <c r="R98" i="1"/>
  <c r="P98" i="1"/>
  <c r="R90" i="1"/>
  <c r="P90" i="1"/>
  <c r="R82" i="1"/>
  <c r="P82" i="1"/>
  <c r="R74" i="1"/>
  <c r="P74" i="1"/>
  <c r="R66" i="1"/>
  <c r="P66" i="1"/>
  <c r="R58" i="1"/>
  <c r="P58" i="1"/>
  <c r="R50" i="1"/>
  <c r="P50" i="1"/>
  <c r="R42" i="1"/>
  <c r="P42" i="1"/>
  <c r="R34" i="1"/>
  <c r="P34" i="1"/>
  <c r="R26" i="1"/>
  <c r="P26" i="1"/>
  <c r="R18" i="1"/>
  <c r="P18" i="1"/>
  <c r="R10" i="1"/>
  <c r="P10" i="1"/>
  <c r="L1230" i="1"/>
  <c r="L1166" i="1"/>
  <c r="L1102" i="1"/>
  <c r="L882" i="1"/>
  <c r="L594" i="1"/>
  <c r="P1249" i="1"/>
  <c r="P1241" i="1"/>
  <c r="P1233" i="1"/>
  <c r="P1225" i="1"/>
  <c r="P1217" i="1"/>
  <c r="P1209" i="1"/>
  <c r="P1201" i="1"/>
  <c r="P1193" i="1"/>
  <c r="P1185" i="1"/>
  <c r="P1177" i="1"/>
  <c r="P1169" i="1"/>
  <c r="P1161" i="1"/>
  <c r="P1153" i="1"/>
  <c r="P1145" i="1"/>
  <c r="P1137" i="1"/>
  <c r="P1129" i="1"/>
  <c r="P1121" i="1"/>
  <c r="P1113" i="1"/>
  <c r="P1105" i="1"/>
  <c r="P1097" i="1"/>
  <c r="P1089" i="1"/>
  <c r="P1081" i="1"/>
  <c r="P1073" i="1"/>
  <c r="P1065" i="1"/>
  <c r="P1057" i="1"/>
  <c r="P1049" i="1"/>
  <c r="P1028" i="1"/>
  <c r="P996" i="1"/>
  <c r="P964" i="1"/>
  <c r="P932" i="1"/>
  <c r="P900" i="1"/>
  <c r="P868" i="1"/>
  <c r="P836" i="1"/>
  <c r="P804" i="1"/>
  <c r="P772" i="1"/>
  <c r="P708" i="1"/>
  <c r="P632" i="1"/>
  <c r="P547" i="1"/>
  <c r="P453" i="1"/>
  <c r="P292" i="1"/>
  <c r="P84" i="1"/>
  <c r="R676" i="1"/>
  <c r="P676" i="1"/>
  <c r="R620" i="1"/>
  <c r="P620" i="1"/>
  <c r="R580" i="1"/>
  <c r="P580" i="1"/>
  <c r="R532" i="1"/>
  <c r="P532" i="1"/>
  <c r="R484" i="1"/>
  <c r="P484" i="1"/>
  <c r="R436" i="1"/>
  <c r="P436" i="1"/>
  <c r="R396" i="1"/>
  <c r="P396" i="1"/>
  <c r="R308" i="1"/>
  <c r="P308" i="1"/>
  <c r="R260" i="1"/>
  <c r="P260" i="1"/>
  <c r="R212" i="1"/>
  <c r="P212" i="1"/>
  <c r="R164" i="1"/>
  <c r="P164" i="1"/>
  <c r="R124" i="1"/>
  <c r="P124" i="1"/>
  <c r="R76" i="1"/>
  <c r="P76" i="1"/>
  <c r="R36" i="1"/>
  <c r="P36" i="1"/>
  <c r="P940" i="1"/>
  <c r="P780" i="1"/>
  <c r="R769" i="1"/>
  <c r="P769" i="1"/>
  <c r="R761" i="1"/>
  <c r="P761" i="1"/>
  <c r="R753" i="1"/>
  <c r="P753" i="1"/>
  <c r="R745" i="1"/>
  <c r="P745" i="1"/>
  <c r="R737" i="1"/>
  <c r="P737" i="1"/>
  <c r="R729" i="1"/>
  <c r="P729" i="1"/>
  <c r="R721" i="1"/>
  <c r="P721" i="1"/>
  <c r="R713" i="1"/>
  <c r="P713" i="1"/>
  <c r="R705" i="1"/>
  <c r="P705" i="1"/>
  <c r="R697" i="1"/>
  <c r="P697" i="1"/>
  <c r="R689" i="1"/>
  <c r="P689" i="1"/>
  <c r="R681" i="1"/>
  <c r="P681" i="1"/>
  <c r="R673" i="1"/>
  <c r="P673" i="1"/>
  <c r="R665" i="1"/>
  <c r="P665" i="1"/>
  <c r="R657" i="1"/>
  <c r="P657" i="1"/>
  <c r="R649" i="1"/>
  <c r="P649" i="1"/>
  <c r="R641" i="1"/>
  <c r="P641" i="1"/>
  <c r="R633" i="1"/>
  <c r="P633" i="1"/>
  <c r="R625" i="1"/>
  <c r="P625" i="1"/>
  <c r="R617" i="1"/>
  <c r="P617" i="1"/>
  <c r="R609" i="1"/>
  <c r="P609" i="1"/>
  <c r="R601" i="1"/>
  <c r="P601" i="1"/>
  <c r="R593" i="1"/>
  <c r="P593" i="1"/>
  <c r="R585" i="1"/>
  <c r="P585" i="1"/>
  <c r="R577" i="1"/>
  <c r="P577" i="1"/>
  <c r="R569" i="1"/>
  <c r="P569" i="1"/>
  <c r="R561" i="1"/>
  <c r="P561" i="1"/>
  <c r="R553" i="1"/>
  <c r="P553" i="1"/>
  <c r="R545" i="1"/>
  <c r="P545" i="1"/>
  <c r="R537" i="1"/>
  <c r="P537" i="1"/>
  <c r="R529" i="1"/>
  <c r="P529" i="1"/>
  <c r="R521" i="1"/>
  <c r="P521" i="1"/>
  <c r="R513" i="1"/>
  <c r="P513" i="1"/>
  <c r="R505" i="1"/>
  <c r="P505" i="1"/>
  <c r="R497" i="1"/>
  <c r="P497" i="1"/>
  <c r="R489" i="1"/>
  <c r="P489" i="1"/>
  <c r="R481" i="1"/>
  <c r="P481" i="1"/>
  <c r="R473" i="1"/>
  <c r="P473" i="1"/>
  <c r="R457" i="1"/>
  <c r="P457" i="1"/>
  <c r="R449" i="1"/>
  <c r="P449" i="1"/>
  <c r="R441" i="1"/>
  <c r="P441" i="1"/>
  <c r="R433" i="1"/>
  <c r="P433" i="1"/>
  <c r="R425" i="1"/>
  <c r="P425" i="1"/>
  <c r="R417" i="1"/>
  <c r="P417" i="1"/>
  <c r="R409" i="1"/>
  <c r="P409" i="1"/>
  <c r="R401" i="1"/>
  <c r="P401" i="1"/>
  <c r="R393" i="1"/>
  <c r="P393" i="1"/>
  <c r="R385" i="1"/>
  <c r="P385" i="1"/>
  <c r="R377" i="1"/>
  <c r="P377" i="1"/>
  <c r="R369" i="1"/>
  <c r="P369" i="1"/>
  <c r="R361" i="1"/>
  <c r="P361" i="1"/>
  <c r="R353" i="1"/>
  <c r="P353" i="1"/>
  <c r="R345" i="1"/>
  <c r="P345" i="1"/>
  <c r="R337" i="1"/>
  <c r="P337" i="1"/>
  <c r="R329" i="1"/>
  <c r="P329" i="1"/>
  <c r="R321" i="1"/>
  <c r="P321" i="1"/>
  <c r="R313" i="1"/>
  <c r="P313" i="1"/>
  <c r="R305" i="1"/>
  <c r="P305" i="1"/>
  <c r="R297" i="1"/>
  <c r="P297" i="1"/>
  <c r="R289" i="1"/>
  <c r="P289" i="1"/>
  <c r="R281" i="1"/>
  <c r="P281" i="1"/>
  <c r="R273" i="1"/>
  <c r="P273" i="1"/>
  <c r="R265" i="1"/>
  <c r="P265" i="1"/>
  <c r="R257" i="1"/>
  <c r="P257" i="1"/>
  <c r="R249" i="1"/>
  <c r="P249" i="1"/>
  <c r="R241" i="1"/>
  <c r="P241" i="1"/>
  <c r="R233" i="1"/>
  <c r="P233" i="1"/>
  <c r="R225" i="1"/>
  <c r="P225" i="1"/>
  <c r="R217" i="1"/>
  <c r="P217" i="1"/>
  <c r="R209" i="1"/>
  <c r="P209" i="1"/>
  <c r="R201" i="1"/>
  <c r="P201" i="1"/>
  <c r="R193" i="1"/>
  <c r="P193" i="1"/>
  <c r="R185" i="1"/>
  <c r="P185" i="1"/>
  <c r="R177" i="1"/>
  <c r="P177" i="1"/>
  <c r="R169" i="1"/>
  <c r="P169" i="1"/>
  <c r="R161" i="1"/>
  <c r="P161" i="1"/>
  <c r="R153" i="1"/>
  <c r="P153" i="1"/>
  <c r="R145" i="1"/>
  <c r="P145" i="1"/>
  <c r="R137" i="1"/>
  <c r="P137" i="1"/>
  <c r="R129" i="1"/>
  <c r="P129" i="1"/>
  <c r="R121" i="1"/>
  <c r="P121" i="1"/>
  <c r="R113" i="1"/>
  <c r="P113" i="1"/>
  <c r="R105" i="1"/>
  <c r="P105" i="1"/>
  <c r="R97" i="1"/>
  <c r="P97" i="1"/>
  <c r="R89" i="1"/>
  <c r="P89" i="1"/>
  <c r="R81" i="1"/>
  <c r="P81" i="1"/>
  <c r="R73" i="1"/>
  <c r="P73" i="1"/>
  <c r="R65" i="1"/>
  <c r="P65" i="1"/>
  <c r="R57" i="1"/>
  <c r="P57" i="1"/>
  <c r="R49" i="1"/>
  <c r="P49" i="1"/>
  <c r="R41" i="1"/>
  <c r="P41" i="1"/>
  <c r="R33" i="1"/>
  <c r="P33" i="1"/>
  <c r="R25" i="1"/>
  <c r="P25" i="1"/>
  <c r="R17" i="1"/>
  <c r="P17" i="1"/>
  <c r="R9" i="1"/>
  <c r="P9" i="1"/>
  <c r="L1222" i="1"/>
  <c r="L1158" i="1"/>
  <c r="L1094" i="1"/>
  <c r="L850" i="1"/>
  <c r="L541" i="1"/>
  <c r="P1248" i="1"/>
  <c r="P1240" i="1"/>
  <c r="P1232" i="1"/>
  <c r="P1224" i="1"/>
  <c r="P1216" i="1"/>
  <c r="P1208" i="1"/>
  <c r="P1200" i="1"/>
  <c r="P1192" i="1"/>
  <c r="P1184" i="1"/>
  <c r="P1176" i="1"/>
  <c r="P1168" i="1"/>
  <c r="P1160" i="1"/>
  <c r="P1152" i="1"/>
  <c r="P1144" i="1"/>
  <c r="P1136" i="1"/>
  <c r="P1128" i="1"/>
  <c r="P1120" i="1"/>
  <c r="P1112" i="1"/>
  <c r="P1104" i="1"/>
  <c r="P1096" i="1"/>
  <c r="P1088" i="1"/>
  <c r="P1080" i="1"/>
  <c r="P1072" i="1"/>
  <c r="P1064" i="1"/>
  <c r="P1056" i="1"/>
  <c r="P1048" i="1"/>
  <c r="P1025" i="1"/>
  <c r="P993" i="1"/>
  <c r="P961" i="1"/>
  <c r="P929" i="1"/>
  <c r="P897" i="1"/>
  <c r="P865" i="1"/>
  <c r="P833" i="1"/>
  <c r="P801" i="1"/>
  <c r="P764" i="1"/>
  <c r="P700" i="1"/>
  <c r="P621" i="1"/>
  <c r="P536" i="1"/>
  <c r="P440" i="1"/>
  <c r="P271" i="1"/>
  <c r="P52" i="1"/>
  <c r="R636" i="1"/>
  <c r="P636" i="1"/>
  <c r="R604" i="1"/>
  <c r="P604" i="1"/>
  <c r="R556" i="1"/>
  <c r="P556" i="1"/>
  <c r="R524" i="1"/>
  <c r="P524" i="1"/>
  <c r="R476" i="1"/>
  <c r="P476" i="1"/>
  <c r="R428" i="1"/>
  <c r="P428" i="1"/>
  <c r="R372" i="1"/>
  <c r="P372" i="1"/>
  <c r="R324" i="1"/>
  <c r="P324" i="1"/>
  <c r="R284" i="1"/>
  <c r="P284" i="1"/>
  <c r="R188" i="1"/>
  <c r="P188" i="1"/>
  <c r="R140" i="1"/>
  <c r="P140" i="1"/>
  <c r="R44" i="1"/>
  <c r="P44" i="1"/>
  <c r="P1004" i="1"/>
  <c r="P876" i="1"/>
  <c r="P724" i="1"/>
  <c r="R1040" i="1"/>
  <c r="P1040" i="1"/>
  <c r="R1032" i="1"/>
  <c r="P1032" i="1"/>
  <c r="R1024" i="1"/>
  <c r="P1024" i="1"/>
  <c r="R1016" i="1"/>
  <c r="P1016" i="1"/>
  <c r="R1008" i="1"/>
  <c r="P1008" i="1"/>
  <c r="R1000" i="1"/>
  <c r="P1000" i="1"/>
  <c r="R992" i="1"/>
  <c r="P992" i="1"/>
  <c r="R984" i="1"/>
  <c r="P984" i="1"/>
  <c r="R976" i="1"/>
  <c r="P976" i="1"/>
  <c r="R968" i="1"/>
  <c r="P968" i="1"/>
  <c r="R960" i="1"/>
  <c r="P960" i="1"/>
  <c r="R952" i="1"/>
  <c r="P952" i="1"/>
  <c r="R944" i="1"/>
  <c r="P944" i="1"/>
  <c r="R936" i="1"/>
  <c r="P936" i="1"/>
  <c r="R928" i="1"/>
  <c r="P928" i="1"/>
  <c r="R920" i="1"/>
  <c r="P920" i="1"/>
  <c r="R912" i="1"/>
  <c r="P912" i="1"/>
  <c r="R904" i="1"/>
  <c r="P904" i="1"/>
  <c r="R896" i="1"/>
  <c r="P896" i="1"/>
  <c r="R888" i="1"/>
  <c r="P888" i="1"/>
  <c r="R880" i="1"/>
  <c r="P880" i="1"/>
  <c r="R872" i="1"/>
  <c r="P872" i="1"/>
  <c r="R864" i="1"/>
  <c r="P864" i="1"/>
  <c r="R856" i="1"/>
  <c r="P856" i="1"/>
  <c r="R848" i="1"/>
  <c r="P848" i="1"/>
  <c r="R840" i="1"/>
  <c r="P840" i="1"/>
  <c r="R832" i="1"/>
  <c r="P832" i="1"/>
  <c r="R824" i="1"/>
  <c r="P824" i="1"/>
  <c r="R816" i="1"/>
  <c r="P816" i="1"/>
  <c r="R808" i="1"/>
  <c r="P808" i="1"/>
  <c r="R800" i="1"/>
  <c r="P800" i="1"/>
  <c r="R792" i="1"/>
  <c r="P792" i="1"/>
  <c r="R784" i="1"/>
  <c r="P784" i="1"/>
  <c r="R776" i="1"/>
  <c r="P776" i="1"/>
  <c r="R768" i="1"/>
  <c r="P768" i="1"/>
  <c r="R760" i="1"/>
  <c r="P760" i="1"/>
  <c r="R752" i="1"/>
  <c r="P752" i="1"/>
  <c r="R744" i="1"/>
  <c r="P744" i="1"/>
  <c r="R736" i="1"/>
  <c r="P736" i="1"/>
  <c r="R728" i="1"/>
  <c r="P728" i="1"/>
  <c r="R720" i="1"/>
  <c r="P720" i="1"/>
  <c r="R712" i="1"/>
  <c r="P712" i="1"/>
  <c r="R704" i="1"/>
  <c r="P704" i="1"/>
  <c r="R696" i="1"/>
  <c r="P696" i="1"/>
  <c r="R688" i="1"/>
  <c r="P688" i="1"/>
  <c r="R680" i="1"/>
  <c r="P680" i="1"/>
  <c r="R672" i="1"/>
  <c r="P672" i="1"/>
  <c r="R656" i="1"/>
  <c r="P656" i="1"/>
  <c r="R648" i="1"/>
  <c r="P648" i="1"/>
  <c r="R640" i="1"/>
  <c r="P640" i="1"/>
  <c r="R624" i="1"/>
  <c r="P624" i="1"/>
  <c r="R616" i="1"/>
  <c r="P616" i="1"/>
  <c r="R608" i="1"/>
  <c r="P608" i="1"/>
  <c r="R592" i="1"/>
  <c r="P592" i="1"/>
  <c r="R584" i="1"/>
  <c r="P584" i="1"/>
  <c r="R576" i="1"/>
  <c r="P576" i="1"/>
  <c r="R560" i="1"/>
  <c r="P560" i="1"/>
  <c r="R552" i="1"/>
  <c r="P552" i="1"/>
  <c r="R544" i="1"/>
  <c r="P544" i="1"/>
  <c r="R528" i="1"/>
  <c r="P528" i="1"/>
  <c r="R520" i="1"/>
  <c r="P520" i="1"/>
  <c r="R512" i="1"/>
  <c r="P512" i="1"/>
  <c r="R496" i="1"/>
  <c r="P496" i="1"/>
  <c r="R488" i="1"/>
  <c r="P488" i="1"/>
  <c r="R480" i="1"/>
  <c r="P480" i="1"/>
  <c r="R472" i="1"/>
  <c r="P472" i="1"/>
  <c r="R464" i="1"/>
  <c r="P464" i="1"/>
  <c r="R456" i="1"/>
  <c r="P456" i="1"/>
  <c r="R448" i="1"/>
  <c r="P448" i="1"/>
  <c r="R432" i="1"/>
  <c r="P432" i="1"/>
  <c r="R424" i="1"/>
  <c r="P424" i="1"/>
  <c r="R416" i="1"/>
  <c r="P416" i="1"/>
  <c r="R408" i="1"/>
  <c r="P408" i="1"/>
  <c r="R400" i="1"/>
  <c r="P400" i="1"/>
  <c r="R392" i="1"/>
  <c r="P392" i="1"/>
  <c r="R384" i="1"/>
  <c r="P384" i="1"/>
  <c r="R368" i="1"/>
  <c r="P368" i="1"/>
  <c r="R360" i="1"/>
  <c r="P360" i="1"/>
  <c r="R352" i="1"/>
  <c r="P352" i="1"/>
  <c r="R344" i="1"/>
  <c r="P344" i="1"/>
  <c r="R336" i="1"/>
  <c r="P336" i="1"/>
  <c r="R328" i="1"/>
  <c r="P328" i="1"/>
  <c r="R320" i="1"/>
  <c r="P320" i="1"/>
  <c r="R304" i="1"/>
  <c r="P304" i="1"/>
  <c r="R296" i="1"/>
  <c r="P296" i="1"/>
  <c r="R288" i="1"/>
  <c r="P288" i="1"/>
  <c r="R280" i="1"/>
  <c r="P280" i="1"/>
  <c r="R272" i="1"/>
  <c r="P272" i="1"/>
  <c r="R264" i="1"/>
  <c r="P264" i="1"/>
  <c r="R256" i="1"/>
  <c r="P256" i="1"/>
  <c r="R240" i="1"/>
  <c r="P240" i="1"/>
  <c r="R232" i="1"/>
  <c r="P232" i="1"/>
  <c r="R224" i="1"/>
  <c r="P224" i="1"/>
  <c r="R216" i="1"/>
  <c r="P216" i="1"/>
  <c r="R208" i="1"/>
  <c r="P208" i="1"/>
  <c r="R200" i="1"/>
  <c r="P200" i="1"/>
  <c r="R192" i="1"/>
  <c r="P192" i="1"/>
  <c r="R184" i="1"/>
  <c r="P184" i="1"/>
  <c r="R176" i="1"/>
  <c r="P176" i="1"/>
  <c r="R168" i="1"/>
  <c r="P168" i="1"/>
  <c r="R160" i="1"/>
  <c r="P160" i="1"/>
  <c r="R152" i="1"/>
  <c r="P152" i="1"/>
  <c r="R144" i="1"/>
  <c r="P144" i="1"/>
  <c r="R136" i="1"/>
  <c r="P136" i="1"/>
  <c r="R128" i="1"/>
  <c r="P128" i="1"/>
  <c r="R120" i="1"/>
  <c r="P120" i="1"/>
  <c r="R112" i="1"/>
  <c r="P112" i="1"/>
  <c r="R104" i="1"/>
  <c r="P104" i="1"/>
  <c r="R96" i="1"/>
  <c r="P96" i="1"/>
  <c r="R88" i="1"/>
  <c r="P88" i="1"/>
  <c r="R80" i="1"/>
  <c r="P80" i="1"/>
  <c r="R72" i="1"/>
  <c r="P72" i="1"/>
  <c r="R64" i="1"/>
  <c r="P64" i="1"/>
  <c r="R56" i="1"/>
  <c r="P56" i="1"/>
  <c r="R48" i="1"/>
  <c r="P48" i="1"/>
  <c r="R40" i="1"/>
  <c r="P40" i="1"/>
  <c r="R32" i="1"/>
  <c r="P32" i="1"/>
  <c r="R24" i="1"/>
  <c r="P24" i="1"/>
  <c r="R16" i="1"/>
  <c r="P16" i="1"/>
  <c r="R8" i="1"/>
  <c r="P8" i="1"/>
  <c r="L1214" i="1"/>
  <c r="L1150" i="1"/>
  <c r="L1074" i="1"/>
  <c r="L818" i="1"/>
  <c r="L451" i="1"/>
  <c r="P1247" i="1"/>
  <c r="P1239" i="1"/>
  <c r="P1231" i="1"/>
  <c r="P1223" i="1"/>
  <c r="P1215" i="1"/>
  <c r="P1207" i="1"/>
  <c r="P1199" i="1"/>
  <c r="P1191" i="1"/>
  <c r="P1183" i="1"/>
  <c r="P1175" i="1"/>
  <c r="P1167" i="1"/>
  <c r="P1159" i="1"/>
  <c r="P1151" i="1"/>
  <c r="P1143" i="1"/>
  <c r="P1135" i="1"/>
  <c r="P1127" i="1"/>
  <c r="P1119" i="1"/>
  <c r="P1111" i="1"/>
  <c r="P1103" i="1"/>
  <c r="P1095" i="1"/>
  <c r="P1087" i="1"/>
  <c r="P1079" i="1"/>
  <c r="P1071" i="1"/>
  <c r="P1063" i="1"/>
  <c r="P1055" i="1"/>
  <c r="P1044" i="1"/>
  <c r="P1020" i="1"/>
  <c r="P988" i="1"/>
  <c r="P956" i="1"/>
  <c r="P924" i="1"/>
  <c r="P892" i="1"/>
  <c r="P860" i="1"/>
  <c r="P828" i="1"/>
  <c r="P796" i="1"/>
  <c r="P756" i="1"/>
  <c r="P692" i="1"/>
  <c r="P611" i="1"/>
  <c r="P525" i="1"/>
  <c r="P420" i="1"/>
  <c r="P248" i="1"/>
  <c r="P20" i="1"/>
  <c r="R652" i="1"/>
  <c r="P652" i="1"/>
  <c r="R596" i="1"/>
  <c r="P596" i="1"/>
  <c r="R540" i="1"/>
  <c r="P540" i="1"/>
  <c r="R444" i="1"/>
  <c r="P444" i="1"/>
  <c r="R388" i="1"/>
  <c r="P388" i="1"/>
  <c r="R348" i="1"/>
  <c r="P348" i="1"/>
  <c r="R300" i="1"/>
  <c r="P300" i="1"/>
  <c r="R244" i="1"/>
  <c r="P244" i="1"/>
  <c r="R196" i="1"/>
  <c r="P196" i="1"/>
  <c r="R156" i="1"/>
  <c r="P156" i="1"/>
  <c r="R108" i="1"/>
  <c r="P108" i="1"/>
  <c r="R60" i="1"/>
  <c r="P60" i="1"/>
  <c r="R4" i="1"/>
  <c r="P4" i="1"/>
  <c r="R1047" i="1"/>
  <c r="P1047" i="1"/>
  <c r="R1039" i="1"/>
  <c r="P1039" i="1"/>
  <c r="R1031" i="1"/>
  <c r="P1031" i="1"/>
  <c r="R1023" i="1"/>
  <c r="P1023" i="1"/>
  <c r="R1015" i="1"/>
  <c r="P1015" i="1"/>
  <c r="R1007" i="1"/>
  <c r="P1007" i="1"/>
  <c r="R999" i="1"/>
  <c r="P999" i="1"/>
  <c r="R991" i="1"/>
  <c r="P991" i="1"/>
  <c r="R983" i="1"/>
  <c r="P983" i="1"/>
  <c r="R975" i="1"/>
  <c r="P975" i="1"/>
  <c r="R967" i="1"/>
  <c r="P967" i="1"/>
  <c r="R959" i="1"/>
  <c r="P959" i="1"/>
  <c r="R951" i="1"/>
  <c r="P951" i="1"/>
  <c r="R943" i="1"/>
  <c r="P943" i="1"/>
  <c r="R935" i="1"/>
  <c r="P935" i="1"/>
  <c r="R927" i="1"/>
  <c r="P927" i="1"/>
  <c r="R919" i="1"/>
  <c r="P919" i="1"/>
  <c r="R911" i="1"/>
  <c r="P911" i="1"/>
  <c r="R903" i="1"/>
  <c r="P903" i="1"/>
  <c r="R895" i="1"/>
  <c r="P895" i="1"/>
  <c r="R887" i="1"/>
  <c r="P887" i="1"/>
  <c r="R879" i="1"/>
  <c r="P879" i="1"/>
  <c r="R871" i="1"/>
  <c r="P871" i="1"/>
  <c r="R863" i="1"/>
  <c r="P863" i="1"/>
  <c r="R855" i="1"/>
  <c r="P855" i="1"/>
  <c r="R847" i="1"/>
  <c r="P847" i="1"/>
  <c r="R839" i="1"/>
  <c r="P839" i="1"/>
  <c r="R831" i="1"/>
  <c r="P831" i="1"/>
  <c r="R823" i="1"/>
  <c r="P823" i="1"/>
  <c r="R815" i="1"/>
  <c r="P815" i="1"/>
  <c r="R807" i="1"/>
  <c r="P807" i="1"/>
  <c r="R799" i="1"/>
  <c r="P799" i="1"/>
  <c r="R791" i="1"/>
  <c r="P791" i="1"/>
  <c r="R783" i="1"/>
  <c r="P783" i="1"/>
  <c r="R775" i="1"/>
  <c r="P775" i="1"/>
  <c r="R767" i="1"/>
  <c r="P767" i="1"/>
  <c r="R759" i="1"/>
  <c r="P759" i="1"/>
  <c r="R751" i="1"/>
  <c r="P751" i="1"/>
  <c r="R743" i="1"/>
  <c r="P743" i="1"/>
  <c r="R735" i="1"/>
  <c r="P735" i="1"/>
  <c r="R727" i="1"/>
  <c r="P727" i="1"/>
  <c r="R719" i="1"/>
  <c r="P719" i="1"/>
  <c r="R711" i="1"/>
  <c r="P711" i="1"/>
  <c r="R703" i="1"/>
  <c r="P703" i="1"/>
  <c r="R695" i="1"/>
  <c r="P695" i="1"/>
  <c r="R687" i="1"/>
  <c r="P687" i="1"/>
  <c r="R679" i="1"/>
  <c r="P679" i="1"/>
  <c r="R671" i="1"/>
  <c r="P671" i="1"/>
  <c r="R663" i="1"/>
  <c r="P663" i="1"/>
  <c r="R655" i="1"/>
  <c r="P655" i="1"/>
  <c r="R647" i="1"/>
  <c r="P647" i="1"/>
  <c r="R639" i="1"/>
  <c r="P639" i="1"/>
  <c r="R631" i="1"/>
  <c r="P631" i="1"/>
  <c r="R623" i="1"/>
  <c r="P623" i="1"/>
  <c r="R615" i="1"/>
  <c r="P615" i="1"/>
  <c r="R607" i="1"/>
  <c r="P607" i="1"/>
  <c r="R599" i="1"/>
  <c r="P599" i="1"/>
  <c r="R591" i="1"/>
  <c r="P591" i="1"/>
  <c r="R583" i="1"/>
  <c r="P583" i="1"/>
  <c r="R575" i="1"/>
  <c r="P575" i="1"/>
  <c r="R567" i="1"/>
  <c r="P567" i="1"/>
  <c r="R559" i="1"/>
  <c r="P559" i="1"/>
  <c r="R551" i="1"/>
  <c r="P551" i="1"/>
  <c r="R543" i="1"/>
  <c r="P543" i="1"/>
  <c r="R535" i="1"/>
  <c r="P535" i="1"/>
  <c r="R527" i="1"/>
  <c r="P527" i="1"/>
  <c r="R519" i="1"/>
  <c r="P519" i="1"/>
  <c r="R511" i="1"/>
  <c r="P511" i="1"/>
  <c r="R503" i="1"/>
  <c r="P503" i="1"/>
  <c r="R495" i="1"/>
  <c r="P495" i="1"/>
  <c r="R487" i="1"/>
  <c r="P487" i="1"/>
  <c r="R471" i="1"/>
  <c r="P471" i="1"/>
  <c r="R463" i="1"/>
  <c r="P463" i="1"/>
  <c r="R455" i="1"/>
  <c r="P455" i="1"/>
  <c r="R447" i="1"/>
  <c r="P447" i="1"/>
  <c r="R439" i="1"/>
  <c r="P439" i="1"/>
  <c r="R431" i="1"/>
  <c r="P431" i="1"/>
  <c r="R423" i="1"/>
  <c r="P423" i="1"/>
  <c r="R415" i="1"/>
  <c r="P415" i="1"/>
  <c r="R407" i="1"/>
  <c r="P407" i="1"/>
  <c r="R391" i="1"/>
  <c r="P391" i="1"/>
  <c r="R383" i="1"/>
  <c r="P383" i="1"/>
  <c r="R375" i="1"/>
  <c r="P375" i="1"/>
  <c r="R367" i="1"/>
  <c r="P367" i="1"/>
  <c r="R359" i="1"/>
  <c r="P359" i="1"/>
  <c r="R351" i="1"/>
  <c r="P351" i="1"/>
  <c r="R343" i="1"/>
  <c r="P343" i="1"/>
  <c r="R327" i="1"/>
  <c r="P327" i="1"/>
  <c r="R319" i="1"/>
  <c r="P319" i="1"/>
  <c r="R311" i="1"/>
  <c r="P311" i="1"/>
  <c r="R303" i="1"/>
  <c r="P303" i="1"/>
  <c r="R295" i="1"/>
  <c r="P295" i="1"/>
  <c r="R287" i="1"/>
  <c r="P287" i="1"/>
  <c r="R279" i="1"/>
  <c r="P279" i="1"/>
  <c r="R263" i="1"/>
  <c r="P263" i="1"/>
  <c r="R255" i="1"/>
  <c r="P255" i="1"/>
  <c r="R247" i="1"/>
  <c r="P247" i="1"/>
  <c r="R239" i="1"/>
  <c r="P239" i="1"/>
  <c r="R231" i="1"/>
  <c r="P231" i="1"/>
  <c r="R223" i="1"/>
  <c r="P223" i="1"/>
  <c r="R215" i="1"/>
  <c r="P215" i="1"/>
  <c r="R199" i="1"/>
  <c r="P199" i="1"/>
  <c r="R191" i="1"/>
  <c r="P191" i="1"/>
  <c r="R183" i="1"/>
  <c r="P183" i="1"/>
  <c r="R175" i="1"/>
  <c r="P175" i="1"/>
  <c r="R167" i="1"/>
  <c r="P167" i="1"/>
  <c r="R159" i="1"/>
  <c r="P159" i="1"/>
  <c r="R151" i="1"/>
  <c r="P151" i="1"/>
  <c r="R143" i="1"/>
  <c r="P143" i="1"/>
  <c r="R135" i="1"/>
  <c r="P135" i="1"/>
  <c r="R127" i="1"/>
  <c r="P127" i="1"/>
  <c r="R119" i="1"/>
  <c r="P119" i="1"/>
  <c r="R111" i="1"/>
  <c r="P111" i="1"/>
  <c r="R103" i="1"/>
  <c r="P103" i="1"/>
  <c r="R95" i="1"/>
  <c r="P95" i="1"/>
  <c r="R87" i="1"/>
  <c r="P87" i="1"/>
  <c r="R79" i="1"/>
  <c r="P79" i="1"/>
  <c r="R71" i="1"/>
  <c r="P71" i="1"/>
  <c r="R63" i="1"/>
  <c r="P63" i="1"/>
  <c r="R55" i="1"/>
  <c r="P55" i="1"/>
  <c r="R47" i="1"/>
  <c r="P47" i="1"/>
  <c r="R39" i="1"/>
  <c r="P39" i="1"/>
  <c r="R31" i="1"/>
  <c r="P31" i="1"/>
  <c r="R23" i="1"/>
  <c r="P23" i="1"/>
  <c r="R15" i="1"/>
  <c r="P15" i="1"/>
  <c r="R7" i="1"/>
  <c r="P7" i="1"/>
  <c r="L1206" i="1"/>
  <c r="L1142" i="1"/>
  <c r="L1042" i="1"/>
  <c r="L786" i="1"/>
  <c r="L323" i="1"/>
  <c r="P1246" i="1"/>
  <c r="P1238" i="1"/>
  <c r="P1230" i="1"/>
  <c r="P1222" i="1"/>
  <c r="P1214" i="1"/>
  <c r="P1206" i="1"/>
  <c r="P1198" i="1"/>
  <c r="P1190" i="1"/>
  <c r="P1182" i="1"/>
  <c r="P1174" i="1"/>
  <c r="P1166" i="1"/>
  <c r="P1158" i="1"/>
  <c r="P1150" i="1"/>
  <c r="P1142" i="1"/>
  <c r="P1134" i="1"/>
  <c r="P1126" i="1"/>
  <c r="P1118" i="1"/>
  <c r="P1110" i="1"/>
  <c r="P1102" i="1"/>
  <c r="P1094" i="1"/>
  <c r="P1086" i="1"/>
  <c r="P1078" i="1"/>
  <c r="P1070" i="1"/>
  <c r="P1062" i="1"/>
  <c r="P1054" i="1"/>
  <c r="P1043" i="1"/>
  <c r="P1017" i="1"/>
  <c r="P985" i="1"/>
  <c r="P953" i="1"/>
  <c r="P921" i="1"/>
  <c r="P889" i="1"/>
  <c r="P857" i="1"/>
  <c r="P825" i="1"/>
  <c r="P793" i="1"/>
  <c r="P748" i="1"/>
  <c r="P684" i="1"/>
  <c r="P600" i="1"/>
  <c r="P515" i="1"/>
  <c r="P399" i="1"/>
  <c r="P228" i="1"/>
  <c r="R644" i="1"/>
  <c r="P644" i="1"/>
  <c r="R612" i="1"/>
  <c r="P612" i="1"/>
  <c r="R564" i="1"/>
  <c r="P564" i="1"/>
  <c r="R516" i="1"/>
  <c r="P516" i="1"/>
  <c r="R468" i="1"/>
  <c r="P468" i="1"/>
  <c r="R380" i="1"/>
  <c r="P380" i="1"/>
  <c r="R332" i="1"/>
  <c r="P332" i="1"/>
  <c r="R236" i="1"/>
  <c r="P236" i="1"/>
  <c r="R68" i="1"/>
  <c r="P68" i="1"/>
  <c r="R28" i="1"/>
  <c r="P28" i="1"/>
  <c r="P844" i="1"/>
  <c r="R1046" i="1"/>
  <c r="P1046" i="1"/>
  <c r="R1038" i="1"/>
  <c r="P1038" i="1"/>
  <c r="R1030" i="1"/>
  <c r="P1030" i="1"/>
  <c r="R1022" i="1"/>
  <c r="P1022" i="1"/>
  <c r="R1014" i="1"/>
  <c r="P1014" i="1"/>
  <c r="R1006" i="1"/>
  <c r="P1006" i="1"/>
  <c r="R998" i="1"/>
  <c r="P998" i="1"/>
  <c r="R990" i="1"/>
  <c r="P990" i="1"/>
  <c r="R982" i="1"/>
  <c r="P982" i="1"/>
  <c r="R974" i="1"/>
  <c r="P974" i="1"/>
  <c r="R966" i="1"/>
  <c r="P966" i="1"/>
  <c r="R958" i="1"/>
  <c r="P958" i="1"/>
  <c r="R950" i="1"/>
  <c r="P950" i="1"/>
  <c r="R942" i="1"/>
  <c r="P942" i="1"/>
  <c r="R934" i="1"/>
  <c r="P934" i="1"/>
  <c r="R926" i="1"/>
  <c r="P926" i="1"/>
  <c r="R918" i="1"/>
  <c r="P918" i="1"/>
  <c r="R910" i="1"/>
  <c r="P910" i="1"/>
  <c r="R902" i="1"/>
  <c r="P902" i="1"/>
  <c r="R894" i="1"/>
  <c r="P894" i="1"/>
  <c r="R886" i="1"/>
  <c r="P886" i="1"/>
  <c r="R878" i="1"/>
  <c r="P878" i="1"/>
  <c r="R870" i="1"/>
  <c r="P870" i="1"/>
  <c r="R862" i="1"/>
  <c r="P862" i="1"/>
  <c r="R854" i="1"/>
  <c r="P854" i="1"/>
  <c r="R846" i="1"/>
  <c r="P846" i="1"/>
  <c r="R838" i="1"/>
  <c r="P838" i="1"/>
  <c r="R830" i="1"/>
  <c r="P830" i="1"/>
  <c r="R822" i="1"/>
  <c r="P822" i="1"/>
  <c r="R814" i="1"/>
  <c r="P814" i="1"/>
  <c r="R806" i="1"/>
  <c r="P806" i="1"/>
  <c r="R798" i="1"/>
  <c r="P798" i="1"/>
  <c r="R790" i="1"/>
  <c r="P790" i="1"/>
  <c r="R782" i="1"/>
  <c r="P782" i="1"/>
  <c r="R774" i="1"/>
  <c r="P774" i="1"/>
  <c r="R766" i="1"/>
  <c r="P766" i="1"/>
  <c r="R758" i="1"/>
  <c r="P758" i="1"/>
  <c r="R750" i="1"/>
  <c r="P750" i="1"/>
  <c r="R742" i="1"/>
  <c r="P742" i="1"/>
  <c r="R734" i="1"/>
  <c r="P734" i="1"/>
  <c r="R726" i="1"/>
  <c r="P726" i="1"/>
  <c r="R718" i="1"/>
  <c r="P718" i="1"/>
  <c r="R710" i="1"/>
  <c r="P710" i="1"/>
  <c r="R702" i="1"/>
  <c r="P702" i="1"/>
  <c r="R694" i="1"/>
  <c r="P694" i="1"/>
  <c r="R686" i="1"/>
  <c r="P686" i="1"/>
  <c r="R678" i="1"/>
  <c r="P678" i="1"/>
  <c r="R670" i="1"/>
  <c r="P670" i="1"/>
  <c r="R662" i="1"/>
  <c r="P662" i="1"/>
  <c r="R654" i="1"/>
  <c r="P654" i="1"/>
  <c r="R646" i="1"/>
  <c r="P646" i="1"/>
  <c r="R638" i="1"/>
  <c r="P638" i="1"/>
  <c r="R630" i="1"/>
  <c r="P630" i="1"/>
  <c r="R622" i="1"/>
  <c r="P622" i="1"/>
  <c r="R614" i="1"/>
  <c r="P614" i="1"/>
  <c r="R606" i="1"/>
  <c r="P606" i="1"/>
  <c r="R598" i="1"/>
  <c r="P598" i="1"/>
  <c r="R590" i="1"/>
  <c r="P590" i="1"/>
  <c r="R582" i="1"/>
  <c r="P582" i="1"/>
  <c r="R574" i="1"/>
  <c r="P574" i="1"/>
  <c r="R566" i="1"/>
  <c r="P566" i="1"/>
  <c r="R558" i="1"/>
  <c r="P558" i="1"/>
  <c r="R550" i="1"/>
  <c r="P550" i="1"/>
  <c r="R542" i="1"/>
  <c r="P542" i="1"/>
  <c r="R534" i="1"/>
  <c r="P534" i="1"/>
  <c r="R526" i="1"/>
  <c r="P526" i="1"/>
  <c r="R518" i="1"/>
  <c r="P518" i="1"/>
  <c r="R510" i="1"/>
  <c r="P510" i="1"/>
  <c r="R502" i="1"/>
  <c r="P502" i="1"/>
  <c r="R494" i="1"/>
  <c r="P494" i="1"/>
  <c r="R486" i="1"/>
  <c r="P486" i="1"/>
  <c r="R478" i="1"/>
  <c r="P478" i="1"/>
  <c r="R470" i="1"/>
  <c r="P470" i="1"/>
  <c r="R462" i="1"/>
  <c r="P462" i="1"/>
  <c r="R454" i="1"/>
  <c r="P454" i="1"/>
  <c r="R446" i="1"/>
  <c r="P446" i="1"/>
  <c r="R438" i="1"/>
  <c r="P438" i="1"/>
  <c r="R430" i="1"/>
  <c r="P430" i="1"/>
  <c r="R422" i="1"/>
  <c r="P422" i="1"/>
  <c r="R414" i="1"/>
  <c r="P414" i="1"/>
  <c r="R406" i="1"/>
  <c r="P406" i="1"/>
  <c r="R398" i="1"/>
  <c r="P398" i="1"/>
  <c r="R390" i="1"/>
  <c r="P390" i="1"/>
  <c r="R382" i="1"/>
  <c r="P382" i="1"/>
  <c r="R374" i="1"/>
  <c r="P374" i="1"/>
  <c r="R366" i="1"/>
  <c r="P366" i="1"/>
  <c r="R358" i="1"/>
  <c r="P358" i="1"/>
  <c r="R350" i="1"/>
  <c r="P350" i="1"/>
  <c r="R342" i="1"/>
  <c r="P342" i="1"/>
  <c r="R334" i="1"/>
  <c r="P334" i="1"/>
  <c r="R326" i="1"/>
  <c r="P326" i="1"/>
  <c r="R318" i="1"/>
  <c r="P318" i="1"/>
  <c r="R310" i="1"/>
  <c r="P310" i="1"/>
  <c r="R302" i="1"/>
  <c r="P302" i="1"/>
  <c r="R294" i="1"/>
  <c r="P294" i="1"/>
  <c r="R286" i="1"/>
  <c r="P286" i="1"/>
  <c r="R278" i="1"/>
  <c r="P278" i="1"/>
  <c r="R270" i="1"/>
  <c r="P270" i="1"/>
  <c r="R262" i="1"/>
  <c r="P262" i="1"/>
  <c r="R254" i="1"/>
  <c r="P254" i="1"/>
  <c r="R246" i="1"/>
  <c r="P246" i="1"/>
  <c r="R238" i="1"/>
  <c r="P238" i="1"/>
  <c r="R230" i="1"/>
  <c r="P230" i="1"/>
  <c r="R222" i="1"/>
  <c r="P222" i="1"/>
  <c r="R214" i="1"/>
  <c r="P214" i="1"/>
  <c r="R206" i="1"/>
  <c r="P206" i="1"/>
  <c r="R198" i="1"/>
  <c r="P198" i="1"/>
  <c r="R190" i="1"/>
  <c r="P190" i="1"/>
  <c r="R182" i="1"/>
  <c r="P182" i="1"/>
  <c r="R174" i="1"/>
  <c r="P174" i="1"/>
  <c r="R166" i="1"/>
  <c r="P166" i="1"/>
  <c r="R158" i="1"/>
  <c r="P158" i="1"/>
  <c r="R150" i="1"/>
  <c r="P150" i="1"/>
  <c r="R142" i="1"/>
  <c r="P142" i="1"/>
  <c r="R134" i="1"/>
  <c r="P134" i="1"/>
  <c r="R126" i="1"/>
  <c r="P126" i="1"/>
  <c r="R118" i="1"/>
  <c r="P118" i="1"/>
  <c r="R110" i="1"/>
  <c r="P110" i="1"/>
  <c r="R102" i="1"/>
  <c r="P102" i="1"/>
  <c r="R94" i="1"/>
  <c r="P94" i="1"/>
  <c r="R86" i="1"/>
  <c r="P86" i="1"/>
  <c r="R78" i="1"/>
  <c r="P78" i="1"/>
  <c r="R70" i="1"/>
  <c r="P70" i="1"/>
  <c r="R62" i="1"/>
  <c r="P62" i="1"/>
  <c r="R54" i="1"/>
  <c r="P54" i="1"/>
  <c r="R46" i="1"/>
  <c r="P46" i="1"/>
  <c r="R38" i="1"/>
  <c r="P38" i="1"/>
  <c r="R30" i="1"/>
  <c r="P30" i="1"/>
  <c r="R22" i="1"/>
  <c r="P22" i="1"/>
  <c r="R14" i="1"/>
  <c r="P14" i="1"/>
  <c r="R6" i="1"/>
  <c r="P6" i="1"/>
  <c r="L1198" i="1"/>
  <c r="L1134" i="1"/>
  <c r="L1010" i="1"/>
  <c r="L754" i="1"/>
  <c r="P2" i="1"/>
  <c r="P1245" i="1"/>
  <c r="P1237" i="1"/>
  <c r="P1229" i="1"/>
  <c r="P1221" i="1"/>
  <c r="P1213" i="1"/>
  <c r="P1205" i="1"/>
  <c r="P1197" i="1"/>
  <c r="P1189" i="1"/>
  <c r="P1181" i="1"/>
  <c r="P1173" i="1"/>
  <c r="P1165" i="1"/>
  <c r="P1157" i="1"/>
  <c r="P1149" i="1"/>
  <c r="P1141" i="1"/>
  <c r="P1133" i="1"/>
  <c r="P1125" i="1"/>
  <c r="P1117" i="1"/>
  <c r="P1109" i="1"/>
  <c r="P1101" i="1"/>
  <c r="P1093" i="1"/>
  <c r="P1085" i="1"/>
  <c r="P1077" i="1"/>
  <c r="P1069" i="1"/>
  <c r="P1061" i="1"/>
  <c r="P1053" i="1"/>
  <c r="P1041" i="1"/>
  <c r="P1012" i="1"/>
  <c r="P980" i="1"/>
  <c r="P948" i="1"/>
  <c r="P916" i="1"/>
  <c r="P884" i="1"/>
  <c r="P852" i="1"/>
  <c r="P820" i="1"/>
  <c r="P788" i="1"/>
  <c r="P740" i="1"/>
  <c r="P675" i="1"/>
  <c r="P589" i="1"/>
  <c r="P504" i="1"/>
  <c r="P376" i="1"/>
  <c r="P207" i="1"/>
  <c r="R660" i="1"/>
  <c r="P660" i="1"/>
  <c r="R252" i="1"/>
  <c r="P252" i="1"/>
  <c r="R1045" i="1"/>
  <c r="P1045" i="1"/>
  <c r="R1037" i="1"/>
  <c r="P1037" i="1"/>
  <c r="R1029" i="1"/>
  <c r="P1029" i="1"/>
  <c r="R1021" i="1"/>
  <c r="P1021" i="1"/>
  <c r="R1013" i="1"/>
  <c r="P1013" i="1"/>
  <c r="R1005" i="1"/>
  <c r="P1005" i="1"/>
  <c r="R997" i="1"/>
  <c r="P997" i="1"/>
  <c r="R989" i="1"/>
  <c r="P989" i="1"/>
  <c r="R981" i="1"/>
  <c r="P981" i="1"/>
  <c r="R973" i="1"/>
  <c r="P973" i="1"/>
  <c r="R965" i="1"/>
  <c r="P965" i="1"/>
  <c r="R957" i="1"/>
  <c r="P957" i="1"/>
  <c r="R949" i="1"/>
  <c r="P949" i="1"/>
  <c r="R941" i="1"/>
  <c r="P941" i="1"/>
  <c r="R933" i="1"/>
  <c r="P933" i="1"/>
  <c r="R925" i="1"/>
  <c r="P925" i="1"/>
  <c r="R917" i="1"/>
  <c r="P917" i="1"/>
  <c r="R909" i="1"/>
  <c r="P909" i="1"/>
  <c r="R901" i="1"/>
  <c r="P901" i="1"/>
  <c r="R893" i="1"/>
  <c r="P893" i="1"/>
  <c r="R885" i="1"/>
  <c r="P885" i="1"/>
  <c r="R877" i="1"/>
  <c r="P877" i="1"/>
  <c r="R869" i="1"/>
  <c r="P869" i="1"/>
  <c r="R861" i="1"/>
  <c r="P861" i="1"/>
  <c r="R853" i="1"/>
  <c r="P853" i="1"/>
  <c r="R845" i="1"/>
  <c r="P845" i="1"/>
  <c r="R837" i="1"/>
  <c r="P837" i="1"/>
  <c r="R829" i="1"/>
  <c r="P829" i="1"/>
  <c r="R821" i="1"/>
  <c r="P821" i="1"/>
  <c r="R813" i="1"/>
  <c r="P813" i="1"/>
  <c r="R805" i="1"/>
  <c r="P805" i="1"/>
  <c r="R797" i="1"/>
  <c r="P797" i="1"/>
  <c r="R789" i="1"/>
  <c r="P789" i="1"/>
  <c r="R781" i="1"/>
  <c r="P781" i="1"/>
  <c r="R773" i="1"/>
  <c r="P773" i="1"/>
  <c r="R765" i="1"/>
  <c r="P765" i="1"/>
  <c r="R757" i="1"/>
  <c r="P757" i="1"/>
  <c r="R749" i="1"/>
  <c r="P749" i="1"/>
  <c r="R741" i="1"/>
  <c r="P741" i="1"/>
  <c r="R733" i="1"/>
  <c r="P733" i="1"/>
  <c r="R725" i="1"/>
  <c r="P725" i="1"/>
  <c r="R717" i="1"/>
  <c r="P717" i="1"/>
  <c r="R709" i="1"/>
  <c r="P709" i="1"/>
  <c r="R701" i="1"/>
  <c r="P701" i="1"/>
  <c r="R693" i="1"/>
  <c r="P693" i="1"/>
  <c r="R685" i="1"/>
  <c r="P685" i="1"/>
  <c r="R677" i="1"/>
  <c r="P677" i="1"/>
  <c r="R669" i="1"/>
  <c r="P669" i="1"/>
  <c r="R661" i="1"/>
  <c r="P661" i="1"/>
  <c r="R645" i="1"/>
  <c r="P645" i="1"/>
  <c r="R637" i="1"/>
  <c r="P637" i="1"/>
  <c r="R629" i="1"/>
  <c r="P629" i="1"/>
  <c r="R613" i="1"/>
  <c r="P613" i="1"/>
  <c r="R605" i="1"/>
  <c r="P605" i="1"/>
  <c r="R597" i="1"/>
  <c r="P597" i="1"/>
  <c r="R581" i="1"/>
  <c r="P581" i="1"/>
  <c r="R573" i="1"/>
  <c r="P573" i="1"/>
  <c r="R565" i="1"/>
  <c r="P565" i="1"/>
  <c r="R549" i="1"/>
  <c r="P549" i="1"/>
  <c r="R541" i="1"/>
  <c r="P541" i="1"/>
  <c r="R533" i="1"/>
  <c r="P533" i="1"/>
  <c r="R517" i="1"/>
  <c r="P517" i="1"/>
  <c r="R509" i="1"/>
  <c r="P509" i="1"/>
  <c r="R501" i="1"/>
  <c r="P501" i="1"/>
  <c r="R493" i="1"/>
  <c r="P493" i="1"/>
  <c r="R485" i="1"/>
  <c r="P485" i="1"/>
  <c r="R477" i="1"/>
  <c r="P477" i="1"/>
  <c r="R469" i="1"/>
  <c r="P469" i="1"/>
  <c r="R461" i="1"/>
  <c r="P461" i="1"/>
  <c r="R445" i="1"/>
  <c r="P445" i="1"/>
  <c r="R437" i="1"/>
  <c r="P437" i="1"/>
  <c r="R429" i="1"/>
  <c r="P429" i="1"/>
  <c r="R421" i="1"/>
  <c r="P421" i="1"/>
  <c r="R413" i="1"/>
  <c r="P413" i="1"/>
  <c r="R405" i="1"/>
  <c r="P405" i="1"/>
  <c r="R397" i="1"/>
  <c r="P397" i="1"/>
  <c r="R389" i="1"/>
  <c r="P389" i="1"/>
  <c r="R381" i="1"/>
  <c r="P381" i="1"/>
  <c r="R373" i="1"/>
  <c r="P373" i="1"/>
  <c r="R365" i="1"/>
  <c r="P365" i="1"/>
  <c r="R357" i="1"/>
  <c r="P357" i="1"/>
  <c r="R349" i="1"/>
  <c r="P349" i="1"/>
  <c r="R341" i="1"/>
  <c r="P341" i="1"/>
  <c r="R333" i="1"/>
  <c r="P333" i="1"/>
  <c r="R325" i="1"/>
  <c r="P325" i="1"/>
  <c r="R317" i="1"/>
  <c r="P317" i="1"/>
  <c r="R309" i="1"/>
  <c r="P309" i="1"/>
  <c r="R301" i="1"/>
  <c r="P301" i="1"/>
  <c r="R293" i="1"/>
  <c r="P293" i="1"/>
  <c r="R285" i="1"/>
  <c r="P285" i="1"/>
  <c r="R277" i="1"/>
  <c r="P277" i="1"/>
  <c r="R269" i="1"/>
  <c r="P269" i="1"/>
  <c r="R261" i="1"/>
  <c r="P261" i="1"/>
  <c r="R253" i="1"/>
  <c r="P253" i="1"/>
  <c r="R245" i="1"/>
  <c r="P245" i="1"/>
  <c r="R237" i="1"/>
  <c r="P237" i="1"/>
  <c r="R229" i="1"/>
  <c r="P229" i="1"/>
  <c r="R221" i="1"/>
  <c r="P221" i="1"/>
  <c r="R213" i="1"/>
  <c r="P213" i="1"/>
  <c r="R205" i="1"/>
  <c r="P205" i="1"/>
  <c r="R197" i="1"/>
  <c r="P197" i="1"/>
  <c r="R189" i="1"/>
  <c r="P189" i="1"/>
  <c r="R181" i="1"/>
  <c r="P181" i="1"/>
  <c r="R173" i="1"/>
  <c r="P173" i="1"/>
  <c r="R165" i="1"/>
  <c r="P165" i="1"/>
  <c r="R157" i="1"/>
  <c r="P157" i="1"/>
  <c r="R149" i="1"/>
  <c r="P149" i="1"/>
  <c r="R141" i="1"/>
  <c r="P141" i="1"/>
  <c r="R133" i="1"/>
  <c r="P133" i="1"/>
  <c r="R125" i="1"/>
  <c r="P125" i="1"/>
  <c r="R117" i="1"/>
  <c r="P117" i="1"/>
  <c r="R109" i="1"/>
  <c r="P109" i="1"/>
  <c r="R101" i="1"/>
  <c r="P101" i="1"/>
  <c r="R93" i="1"/>
  <c r="P93" i="1"/>
  <c r="R85" i="1"/>
  <c r="P85" i="1"/>
  <c r="R77" i="1"/>
  <c r="P77" i="1"/>
  <c r="R69" i="1"/>
  <c r="P69" i="1"/>
  <c r="R61" i="1"/>
  <c r="P61" i="1"/>
  <c r="R53" i="1"/>
  <c r="P53" i="1"/>
  <c r="R45" i="1"/>
  <c r="P45" i="1"/>
  <c r="R37" i="1"/>
  <c r="P37" i="1"/>
  <c r="R29" i="1"/>
  <c r="P29" i="1"/>
  <c r="R21" i="1"/>
  <c r="P21" i="1"/>
  <c r="R13" i="1"/>
  <c r="P13" i="1"/>
  <c r="R5" i="1"/>
  <c r="P5" i="1"/>
  <c r="L1190" i="1"/>
  <c r="L1126" i="1"/>
  <c r="L978" i="1"/>
  <c r="L722" i="1"/>
  <c r="P1252" i="1"/>
  <c r="P1244" i="1"/>
  <c r="P1236" i="1"/>
  <c r="P1228" i="1"/>
  <c r="P1220" i="1"/>
  <c r="P1212" i="1"/>
  <c r="P1204" i="1"/>
  <c r="P1196" i="1"/>
  <c r="P1188" i="1"/>
  <c r="P1180" i="1"/>
  <c r="P1172" i="1"/>
  <c r="P1164" i="1"/>
  <c r="P1156" i="1"/>
  <c r="P1148" i="1"/>
  <c r="P1140" i="1"/>
  <c r="P1132" i="1"/>
  <c r="P1124" i="1"/>
  <c r="P1116" i="1"/>
  <c r="P1108" i="1"/>
  <c r="P1100" i="1"/>
  <c r="P1092" i="1"/>
  <c r="P1084" i="1"/>
  <c r="P1076" i="1"/>
  <c r="P1068" i="1"/>
  <c r="P1060" i="1"/>
  <c r="P1052" i="1"/>
  <c r="P1036" i="1"/>
  <c r="P1009" i="1"/>
  <c r="P977" i="1"/>
  <c r="P945" i="1"/>
  <c r="P913" i="1"/>
  <c r="P881" i="1"/>
  <c r="P849" i="1"/>
  <c r="P817" i="1"/>
  <c r="P785" i="1"/>
  <c r="P732" i="1"/>
  <c r="P664" i="1"/>
  <c r="P579" i="1"/>
  <c r="P492" i="1"/>
  <c r="P356" i="1"/>
  <c r="P180" i="1"/>
  <c r="N1039" i="1"/>
  <c r="L1039" i="1"/>
  <c r="N991" i="1"/>
  <c r="L991" i="1"/>
  <c r="N935" i="1"/>
  <c r="L935" i="1"/>
  <c r="N879" i="1"/>
  <c r="L879" i="1"/>
  <c r="N823" i="1"/>
  <c r="L823" i="1"/>
  <c r="N767" i="1"/>
  <c r="L767" i="1"/>
  <c r="N711" i="1"/>
  <c r="L711" i="1"/>
  <c r="N655" i="1"/>
  <c r="L655" i="1"/>
  <c r="N599" i="1"/>
  <c r="L599" i="1"/>
  <c r="N551" i="1"/>
  <c r="L551" i="1"/>
  <c r="N495" i="1"/>
  <c r="L495" i="1"/>
  <c r="N439" i="1"/>
  <c r="L439" i="1"/>
  <c r="N383" i="1"/>
  <c r="L383" i="1"/>
  <c r="N327" i="1"/>
  <c r="L327" i="1"/>
  <c r="N295" i="1"/>
  <c r="L295" i="1"/>
  <c r="N239" i="1"/>
  <c r="L239" i="1"/>
  <c r="N175" i="1"/>
  <c r="L175" i="1"/>
  <c r="N111" i="1"/>
  <c r="L111" i="1"/>
  <c r="N55" i="1"/>
  <c r="L55" i="1"/>
  <c r="N7" i="1"/>
  <c r="L7" i="1"/>
  <c r="N1086" i="1"/>
  <c r="L1086" i="1"/>
  <c r="N1078" i="1"/>
  <c r="L1078" i="1"/>
  <c r="N1070" i="1"/>
  <c r="L1070" i="1"/>
  <c r="N1062" i="1"/>
  <c r="L1062" i="1"/>
  <c r="N1054" i="1"/>
  <c r="L1054" i="1"/>
  <c r="N1046" i="1"/>
  <c r="L1046" i="1"/>
  <c r="N1038" i="1"/>
  <c r="L1038" i="1"/>
  <c r="N1030" i="1"/>
  <c r="L1030" i="1"/>
  <c r="N1022" i="1"/>
  <c r="L1022" i="1"/>
  <c r="N1014" i="1"/>
  <c r="L1014" i="1"/>
  <c r="N1006" i="1"/>
  <c r="L1006" i="1"/>
  <c r="N998" i="1"/>
  <c r="L998" i="1"/>
  <c r="N990" i="1"/>
  <c r="L990" i="1"/>
  <c r="N982" i="1"/>
  <c r="L982" i="1"/>
  <c r="N974" i="1"/>
  <c r="L974" i="1"/>
  <c r="N966" i="1"/>
  <c r="L966" i="1"/>
  <c r="N958" i="1"/>
  <c r="L958" i="1"/>
  <c r="N950" i="1"/>
  <c r="L950" i="1"/>
  <c r="N942" i="1"/>
  <c r="L942" i="1"/>
  <c r="N934" i="1"/>
  <c r="L934" i="1"/>
  <c r="N926" i="1"/>
  <c r="L926" i="1"/>
  <c r="N918" i="1"/>
  <c r="L918" i="1"/>
  <c r="N910" i="1"/>
  <c r="L910" i="1"/>
  <c r="N902" i="1"/>
  <c r="L902" i="1"/>
  <c r="N894" i="1"/>
  <c r="L894" i="1"/>
  <c r="N886" i="1"/>
  <c r="L886" i="1"/>
  <c r="N878" i="1"/>
  <c r="L878" i="1"/>
  <c r="N870" i="1"/>
  <c r="L870" i="1"/>
  <c r="N862" i="1"/>
  <c r="L862" i="1"/>
  <c r="N854" i="1"/>
  <c r="L854" i="1"/>
  <c r="N846" i="1"/>
  <c r="L846" i="1"/>
  <c r="N838" i="1"/>
  <c r="L838" i="1"/>
  <c r="N830" i="1"/>
  <c r="L830" i="1"/>
  <c r="N822" i="1"/>
  <c r="L822" i="1"/>
  <c r="N814" i="1"/>
  <c r="L814" i="1"/>
  <c r="N806" i="1"/>
  <c r="L806" i="1"/>
  <c r="N798" i="1"/>
  <c r="L798" i="1"/>
  <c r="N790" i="1"/>
  <c r="L790" i="1"/>
  <c r="N782" i="1"/>
  <c r="L782" i="1"/>
  <c r="N774" i="1"/>
  <c r="L774" i="1"/>
  <c r="N766" i="1"/>
  <c r="L766" i="1"/>
  <c r="N758" i="1"/>
  <c r="L758" i="1"/>
  <c r="N750" i="1"/>
  <c r="L750" i="1"/>
  <c r="N742" i="1"/>
  <c r="L742" i="1"/>
  <c r="N734" i="1"/>
  <c r="L734" i="1"/>
  <c r="N726" i="1"/>
  <c r="L726" i="1"/>
  <c r="N718" i="1"/>
  <c r="L718" i="1"/>
  <c r="N710" i="1"/>
  <c r="L710" i="1"/>
  <c r="N702" i="1"/>
  <c r="L702" i="1"/>
  <c r="N694" i="1"/>
  <c r="L694" i="1"/>
  <c r="N686" i="1"/>
  <c r="L686" i="1"/>
  <c r="N678" i="1"/>
  <c r="L678" i="1"/>
  <c r="N670" i="1"/>
  <c r="L670" i="1"/>
  <c r="N662" i="1"/>
  <c r="L662" i="1"/>
  <c r="N654" i="1"/>
  <c r="L654" i="1"/>
  <c r="N646" i="1"/>
  <c r="L646" i="1"/>
  <c r="N638" i="1"/>
  <c r="L638" i="1"/>
  <c r="N630" i="1"/>
  <c r="L630" i="1"/>
  <c r="N622" i="1"/>
  <c r="L622" i="1"/>
  <c r="N614" i="1"/>
  <c r="L614" i="1"/>
  <c r="N606" i="1"/>
  <c r="L606" i="1"/>
  <c r="N598" i="1"/>
  <c r="L598" i="1"/>
  <c r="N590" i="1"/>
  <c r="L590" i="1"/>
  <c r="N582" i="1"/>
  <c r="L582" i="1"/>
  <c r="N574" i="1"/>
  <c r="L574" i="1"/>
  <c r="N566" i="1"/>
  <c r="L566" i="1"/>
  <c r="N558" i="1"/>
  <c r="L558" i="1"/>
  <c r="N550" i="1"/>
  <c r="L550" i="1"/>
  <c r="N542" i="1"/>
  <c r="L542" i="1"/>
  <c r="N534" i="1"/>
  <c r="L534" i="1"/>
  <c r="N526" i="1"/>
  <c r="L526" i="1"/>
  <c r="N518" i="1"/>
  <c r="L518" i="1"/>
  <c r="N510" i="1"/>
  <c r="L510" i="1"/>
  <c r="N502" i="1"/>
  <c r="L502" i="1"/>
  <c r="N494" i="1"/>
  <c r="L494" i="1"/>
  <c r="N486" i="1"/>
  <c r="L486" i="1"/>
  <c r="N478" i="1"/>
  <c r="L478" i="1"/>
  <c r="N470" i="1"/>
  <c r="L470" i="1"/>
  <c r="N462" i="1"/>
  <c r="L462" i="1"/>
  <c r="N454" i="1"/>
  <c r="L454" i="1"/>
  <c r="N446" i="1"/>
  <c r="L446" i="1"/>
  <c r="N438" i="1"/>
  <c r="L438" i="1"/>
  <c r="N430" i="1"/>
  <c r="L430" i="1"/>
  <c r="N422" i="1"/>
  <c r="L422" i="1"/>
  <c r="N414" i="1"/>
  <c r="L414" i="1"/>
  <c r="N406" i="1"/>
  <c r="L406" i="1"/>
  <c r="N398" i="1"/>
  <c r="L398" i="1"/>
  <c r="N390" i="1"/>
  <c r="L390" i="1"/>
  <c r="N382" i="1"/>
  <c r="L382" i="1"/>
  <c r="N374" i="1"/>
  <c r="L374" i="1"/>
  <c r="N366" i="1"/>
  <c r="L366" i="1"/>
  <c r="N358" i="1"/>
  <c r="L358" i="1"/>
  <c r="N350" i="1"/>
  <c r="L350" i="1"/>
  <c r="N342" i="1"/>
  <c r="L342" i="1"/>
  <c r="N334" i="1"/>
  <c r="L334" i="1"/>
  <c r="N326" i="1"/>
  <c r="L326" i="1"/>
  <c r="N318" i="1"/>
  <c r="L318" i="1"/>
  <c r="N310" i="1"/>
  <c r="L310" i="1"/>
  <c r="N302" i="1"/>
  <c r="L302" i="1"/>
  <c r="N294" i="1"/>
  <c r="L294" i="1"/>
  <c r="N286" i="1"/>
  <c r="L286" i="1"/>
  <c r="N278" i="1"/>
  <c r="L278" i="1"/>
  <c r="N270" i="1"/>
  <c r="L270" i="1"/>
  <c r="N262" i="1"/>
  <c r="L262" i="1"/>
  <c r="N254" i="1"/>
  <c r="L254" i="1"/>
  <c r="N246" i="1"/>
  <c r="L246" i="1"/>
  <c r="N238" i="1"/>
  <c r="L238" i="1"/>
  <c r="N230" i="1"/>
  <c r="L230" i="1"/>
  <c r="N222" i="1"/>
  <c r="L222" i="1"/>
  <c r="N214" i="1"/>
  <c r="L214" i="1"/>
  <c r="N206" i="1"/>
  <c r="L206" i="1"/>
  <c r="N198" i="1"/>
  <c r="L198" i="1"/>
  <c r="N190" i="1"/>
  <c r="L190" i="1"/>
  <c r="N182" i="1"/>
  <c r="L182" i="1"/>
  <c r="N174" i="1"/>
  <c r="L174" i="1"/>
  <c r="N166" i="1"/>
  <c r="L166" i="1"/>
  <c r="N158" i="1"/>
  <c r="L158" i="1"/>
  <c r="N150" i="1"/>
  <c r="L150" i="1"/>
  <c r="N142" i="1"/>
  <c r="L142" i="1"/>
  <c r="N134" i="1"/>
  <c r="L134" i="1"/>
  <c r="N126" i="1"/>
  <c r="L126" i="1"/>
  <c r="N118" i="1"/>
  <c r="L118" i="1"/>
  <c r="N110" i="1"/>
  <c r="L110" i="1"/>
  <c r="N102" i="1"/>
  <c r="L102" i="1"/>
  <c r="N94" i="1"/>
  <c r="L94" i="1"/>
  <c r="N86" i="1"/>
  <c r="L86" i="1"/>
  <c r="N78" i="1"/>
  <c r="L78" i="1"/>
  <c r="N70" i="1"/>
  <c r="L70" i="1"/>
  <c r="N62" i="1"/>
  <c r="L62" i="1"/>
  <c r="N54" i="1"/>
  <c r="L54" i="1"/>
  <c r="N46" i="1"/>
  <c r="L46" i="1"/>
  <c r="N38" i="1"/>
  <c r="L38" i="1"/>
  <c r="N30" i="1"/>
  <c r="L30" i="1"/>
  <c r="N22" i="1"/>
  <c r="L22" i="1"/>
  <c r="N14" i="1"/>
  <c r="L14" i="1"/>
  <c r="N6" i="1"/>
  <c r="L6" i="1"/>
  <c r="L2" i="1"/>
  <c r="L1245" i="1"/>
  <c r="L1237" i="1"/>
  <c r="L1229" i="1"/>
  <c r="L1221" i="1"/>
  <c r="L1213" i="1"/>
  <c r="L1205" i="1"/>
  <c r="L1197" i="1"/>
  <c r="L1189" i="1"/>
  <c r="L1181" i="1"/>
  <c r="L1173" i="1"/>
  <c r="L1165" i="1"/>
  <c r="L1157" i="1"/>
  <c r="L1149" i="1"/>
  <c r="L1141" i="1"/>
  <c r="L1133" i="1"/>
  <c r="L1125" i="1"/>
  <c r="L1117" i="1"/>
  <c r="L1109" i="1"/>
  <c r="L1101" i="1"/>
  <c r="L1093" i="1"/>
  <c r="L1067" i="1"/>
  <c r="L1035" i="1"/>
  <c r="L1003" i="1"/>
  <c r="L971" i="1"/>
  <c r="L939" i="1"/>
  <c r="L907" i="1"/>
  <c r="L875" i="1"/>
  <c r="L843" i="1"/>
  <c r="L811" i="1"/>
  <c r="L779" i="1"/>
  <c r="L747" i="1"/>
  <c r="L715" i="1"/>
  <c r="L683" i="1"/>
  <c r="L634" i="1"/>
  <c r="L581" i="1"/>
  <c r="L531" i="1"/>
  <c r="L435" i="1"/>
  <c r="L307" i="1"/>
  <c r="N1071" i="1"/>
  <c r="L1071" i="1"/>
  <c r="N1015" i="1"/>
  <c r="L1015" i="1"/>
  <c r="N951" i="1"/>
  <c r="L951" i="1"/>
  <c r="N895" i="1"/>
  <c r="L895" i="1"/>
  <c r="N839" i="1"/>
  <c r="L839" i="1"/>
  <c r="N783" i="1"/>
  <c r="L783" i="1"/>
  <c r="N727" i="1"/>
  <c r="L727" i="1"/>
  <c r="N623" i="1"/>
  <c r="L623" i="1"/>
  <c r="N575" i="1"/>
  <c r="L575" i="1"/>
  <c r="N519" i="1"/>
  <c r="L519" i="1"/>
  <c r="N463" i="1"/>
  <c r="L463" i="1"/>
  <c r="N407" i="1"/>
  <c r="L407" i="1"/>
  <c r="N351" i="1"/>
  <c r="L351" i="1"/>
  <c r="N287" i="1"/>
  <c r="L287" i="1"/>
  <c r="N223" i="1"/>
  <c r="L223" i="1"/>
  <c r="N159" i="1"/>
  <c r="L159" i="1"/>
  <c r="N103" i="1"/>
  <c r="L103" i="1"/>
  <c r="N47" i="1"/>
  <c r="L47" i="1"/>
  <c r="N1085" i="1"/>
  <c r="L1085" i="1"/>
  <c r="N1077" i="1"/>
  <c r="L1077" i="1"/>
  <c r="N1069" i="1"/>
  <c r="L1069" i="1"/>
  <c r="N1061" i="1"/>
  <c r="L1061" i="1"/>
  <c r="N1053" i="1"/>
  <c r="L1053" i="1"/>
  <c r="N1045" i="1"/>
  <c r="L1045" i="1"/>
  <c r="N1037" i="1"/>
  <c r="L1037" i="1"/>
  <c r="N1029" i="1"/>
  <c r="L1029" i="1"/>
  <c r="N1021" i="1"/>
  <c r="L1021" i="1"/>
  <c r="N1013" i="1"/>
  <c r="L1013" i="1"/>
  <c r="N1005" i="1"/>
  <c r="L1005" i="1"/>
  <c r="N997" i="1"/>
  <c r="L997" i="1"/>
  <c r="N989" i="1"/>
  <c r="L989" i="1"/>
  <c r="N981" i="1"/>
  <c r="L981" i="1"/>
  <c r="N973" i="1"/>
  <c r="L973" i="1"/>
  <c r="N965" i="1"/>
  <c r="L965" i="1"/>
  <c r="N957" i="1"/>
  <c r="L957" i="1"/>
  <c r="N949" i="1"/>
  <c r="L949" i="1"/>
  <c r="N941" i="1"/>
  <c r="L941" i="1"/>
  <c r="N933" i="1"/>
  <c r="L933" i="1"/>
  <c r="N925" i="1"/>
  <c r="L925" i="1"/>
  <c r="N917" i="1"/>
  <c r="L917" i="1"/>
  <c r="N909" i="1"/>
  <c r="L909" i="1"/>
  <c r="N901" i="1"/>
  <c r="L901" i="1"/>
  <c r="N893" i="1"/>
  <c r="L893" i="1"/>
  <c r="N885" i="1"/>
  <c r="L885" i="1"/>
  <c r="N877" i="1"/>
  <c r="L877" i="1"/>
  <c r="N869" i="1"/>
  <c r="L869" i="1"/>
  <c r="N861" i="1"/>
  <c r="L861" i="1"/>
  <c r="N853" i="1"/>
  <c r="L853" i="1"/>
  <c r="N845" i="1"/>
  <c r="L845" i="1"/>
  <c r="N837" i="1"/>
  <c r="L837" i="1"/>
  <c r="N829" i="1"/>
  <c r="L829" i="1"/>
  <c r="N821" i="1"/>
  <c r="L821" i="1"/>
  <c r="N813" i="1"/>
  <c r="L813" i="1"/>
  <c r="N805" i="1"/>
  <c r="L805" i="1"/>
  <c r="N797" i="1"/>
  <c r="L797" i="1"/>
  <c r="N789" i="1"/>
  <c r="L789" i="1"/>
  <c r="N781" i="1"/>
  <c r="L781" i="1"/>
  <c r="N773" i="1"/>
  <c r="L773" i="1"/>
  <c r="N765" i="1"/>
  <c r="L765" i="1"/>
  <c r="N757" i="1"/>
  <c r="L757" i="1"/>
  <c r="N749" i="1"/>
  <c r="L749" i="1"/>
  <c r="N741" i="1"/>
  <c r="L741" i="1"/>
  <c r="N733" i="1"/>
  <c r="L733" i="1"/>
  <c r="N725" i="1"/>
  <c r="L725" i="1"/>
  <c r="N717" i="1"/>
  <c r="L717" i="1"/>
  <c r="N709" i="1"/>
  <c r="L709" i="1"/>
  <c r="N701" i="1"/>
  <c r="L701" i="1"/>
  <c r="N693" i="1"/>
  <c r="L693" i="1"/>
  <c r="N685" i="1"/>
  <c r="L685" i="1"/>
  <c r="N677" i="1"/>
  <c r="L677" i="1"/>
  <c r="N661" i="1"/>
  <c r="L661" i="1"/>
  <c r="N653" i="1"/>
  <c r="L653" i="1"/>
  <c r="N637" i="1"/>
  <c r="L637" i="1"/>
  <c r="N629" i="1"/>
  <c r="L629" i="1"/>
  <c r="N621" i="1"/>
  <c r="L621" i="1"/>
  <c r="N613" i="1"/>
  <c r="L613" i="1"/>
  <c r="N597" i="1"/>
  <c r="L597" i="1"/>
  <c r="N589" i="1"/>
  <c r="L589" i="1"/>
  <c r="N573" i="1"/>
  <c r="L573" i="1"/>
  <c r="N565" i="1"/>
  <c r="L565" i="1"/>
  <c r="N557" i="1"/>
  <c r="L557" i="1"/>
  <c r="N549" i="1"/>
  <c r="L549" i="1"/>
  <c r="N533" i="1"/>
  <c r="L533" i="1"/>
  <c r="N525" i="1"/>
  <c r="L525" i="1"/>
  <c r="N509" i="1"/>
  <c r="L509" i="1"/>
  <c r="N501" i="1"/>
  <c r="L501" i="1"/>
  <c r="N493" i="1"/>
  <c r="L493" i="1"/>
  <c r="N485" i="1"/>
  <c r="L485" i="1"/>
  <c r="N477" i="1"/>
  <c r="L477" i="1"/>
  <c r="N469" i="1"/>
  <c r="L469" i="1"/>
  <c r="N461" i="1"/>
  <c r="L461" i="1"/>
  <c r="N453" i="1"/>
  <c r="L453" i="1"/>
  <c r="N445" i="1"/>
  <c r="L445" i="1"/>
  <c r="N437" i="1"/>
  <c r="L437" i="1"/>
  <c r="N429" i="1"/>
  <c r="L429" i="1"/>
  <c r="N421" i="1"/>
  <c r="L421" i="1"/>
  <c r="N413" i="1"/>
  <c r="L413" i="1"/>
  <c r="N405" i="1"/>
  <c r="L405" i="1"/>
  <c r="N397" i="1"/>
  <c r="L397" i="1"/>
  <c r="N389" i="1"/>
  <c r="L389" i="1"/>
  <c r="N381" i="1"/>
  <c r="L381" i="1"/>
  <c r="N373" i="1"/>
  <c r="L373" i="1"/>
  <c r="N365" i="1"/>
  <c r="L365" i="1"/>
  <c r="N357" i="1"/>
  <c r="L357" i="1"/>
  <c r="N349" i="1"/>
  <c r="L349" i="1"/>
  <c r="N341" i="1"/>
  <c r="L341" i="1"/>
  <c r="N333" i="1"/>
  <c r="L333" i="1"/>
  <c r="N325" i="1"/>
  <c r="L325" i="1"/>
  <c r="N317" i="1"/>
  <c r="L317" i="1"/>
  <c r="N309" i="1"/>
  <c r="L309" i="1"/>
  <c r="N301" i="1"/>
  <c r="L301" i="1"/>
  <c r="N293" i="1"/>
  <c r="L293" i="1"/>
  <c r="N277" i="1"/>
  <c r="L277" i="1"/>
  <c r="N269" i="1"/>
  <c r="L269" i="1"/>
  <c r="N261" i="1"/>
  <c r="L261" i="1"/>
  <c r="N245" i="1"/>
  <c r="L245" i="1"/>
  <c r="N237" i="1"/>
  <c r="L237" i="1"/>
  <c r="N229" i="1"/>
  <c r="L229" i="1"/>
  <c r="N213" i="1"/>
  <c r="L213" i="1"/>
  <c r="N205" i="1"/>
  <c r="L205" i="1"/>
  <c r="N197" i="1"/>
  <c r="L197" i="1"/>
  <c r="N189" i="1"/>
  <c r="L189" i="1"/>
  <c r="N181" i="1"/>
  <c r="L181" i="1"/>
  <c r="N173" i="1"/>
  <c r="L173" i="1"/>
  <c r="N165" i="1"/>
  <c r="L165" i="1"/>
  <c r="N157" i="1"/>
  <c r="L157" i="1"/>
  <c r="N149" i="1"/>
  <c r="L149" i="1"/>
  <c r="N141" i="1"/>
  <c r="L141" i="1"/>
  <c r="N133" i="1"/>
  <c r="L133" i="1"/>
  <c r="N125" i="1"/>
  <c r="L125" i="1"/>
  <c r="N117" i="1"/>
  <c r="L117" i="1"/>
  <c r="N109" i="1"/>
  <c r="L109" i="1"/>
  <c r="N101" i="1"/>
  <c r="L101" i="1"/>
  <c r="N93" i="1"/>
  <c r="L93" i="1"/>
  <c r="N85" i="1"/>
  <c r="L85" i="1"/>
  <c r="N77" i="1"/>
  <c r="L77" i="1"/>
  <c r="N69" i="1"/>
  <c r="L69" i="1"/>
  <c r="N61" i="1"/>
  <c r="L61" i="1"/>
  <c r="N53" i="1"/>
  <c r="L53" i="1"/>
  <c r="N45" i="1"/>
  <c r="L45" i="1"/>
  <c r="N37" i="1"/>
  <c r="L37" i="1"/>
  <c r="N29" i="1"/>
  <c r="L29" i="1"/>
  <c r="N21" i="1"/>
  <c r="L21" i="1"/>
  <c r="N13" i="1"/>
  <c r="L13" i="1"/>
  <c r="N5" i="1"/>
  <c r="L5" i="1"/>
  <c r="L1252" i="1"/>
  <c r="L1244" i="1"/>
  <c r="L1236" i="1"/>
  <c r="L1228" i="1"/>
  <c r="L1220" i="1"/>
  <c r="L1212" i="1"/>
  <c r="L1204" i="1"/>
  <c r="L1196" i="1"/>
  <c r="L1188" i="1"/>
  <c r="L1180" i="1"/>
  <c r="L1172" i="1"/>
  <c r="L1164" i="1"/>
  <c r="L1156" i="1"/>
  <c r="L1148" i="1"/>
  <c r="L1140" i="1"/>
  <c r="L1132" i="1"/>
  <c r="L1124" i="1"/>
  <c r="L1116" i="1"/>
  <c r="L1108" i="1"/>
  <c r="L1100" i="1"/>
  <c r="L1092" i="1"/>
  <c r="L1066" i="1"/>
  <c r="L1034" i="1"/>
  <c r="L1002" i="1"/>
  <c r="L970" i="1"/>
  <c r="L938" i="1"/>
  <c r="L906" i="1"/>
  <c r="L874" i="1"/>
  <c r="L842" i="1"/>
  <c r="L810" i="1"/>
  <c r="L778" i="1"/>
  <c r="L746" i="1"/>
  <c r="L714" i="1"/>
  <c r="L682" i="1"/>
  <c r="L631" i="1"/>
  <c r="L580" i="1"/>
  <c r="L530" i="1"/>
  <c r="L419" i="1"/>
  <c r="L285" i="1"/>
  <c r="N1079" i="1"/>
  <c r="L1079" i="1"/>
  <c r="N1023" i="1"/>
  <c r="L1023" i="1"/>
  <c r="N975" i="1"/>
  <c r="L975" i="1"/>
  <c r="N919" i="1"/>
  <c r="L919" i="1"/>
  <c r="N863" i="1"/>
  <c r="L863" i="1"/>
  <c r="N807" i="1"/>
  <c r="L807" i="1"/>
  <c r="N759" i="1"/>
  <c r="L759" i="1"/>
  <c r="N703" i="1"/>
  <c r="L703" i="1"/>
  <c r="N647" i="1"/>
  <c r="L647" i="1"/>
  <c r="N591" i="1"/>
  <c r="L591" i="1"/>
  <c r="N535" i="1"/>
  <c r="L535" i="1"/>
  <c r="N431" i="1"/>
  <c r="L431" i="1"/>
  <c r="N375" i="1"/>
  <c r="L375" i="1"/>
  <c r="N319" i="1"/>
  <c r="L319" i="1"/>
  <c r="N263" i="1"/>
  <c r="L263" i="1"/>
  <c r="N231" i="1"/>
  <c r="L231" i="1"/>
  <c r="N183" i="1"/>
  <c r="L183" i="1"/>
  <c r="N135" i="1"/>
  <c r="L135" i="1"/>
  <c r="N87" i="1"/>
  <c r="L87" i="1"/>
  <c r="N31" i="1"/>
  <c r="L31" i="1"/>
  <c r="N1084" i="1"/>
  <c r="L1084" i="1"/>
  <c r="N1076" i="1"/>
  <c r="L1076" i="1"/>
  <c r="N1068" i="1"/>
  <c r="L1068" i="1"/>
  <c r="N1060" i="1"/>
  <c r="L1060" i="1"/>
  <c r="N1052" i="1"/>
  <c r="L1052" i="1"/>
  <c r="N1044" i="1"/>
  <c r="L1044" i="1"/>
  <c r="N1036" i="1"/>
  <c r="L1036" i="1"/>
  <c r="N1028" i="1"/>
  <c r="L1028" i="1"/>
  <c r="N1020" i="1"/>
  <c r="L1020" i="1"/>
  <c r="N1012" i="1"/>
  <c r="L1012" i="1"/>
  <c r="N1004" i="1"/>
  <c r="L1004" i="1"/>
  <c r="N996" i="1"/>
  <c r="L996" i="1"/>
  <c r="N988" i="1"/>
  <c r="L988" i="1"/>
  <c r="N980" i="1"/>
  <c r="L980" i="1"/>
  <c r="N972" i="1"/>
  <c r="L972" i="1"/>
  <c r="N964" i="1"/>
  <c r="L964" i="1"/>
  <c r="N956" i="1"/>
  <c r="L956" i="1"/>
  <c r="N948" i="1"/>
  <c r="L948" i="1"/>
  <c r="N940" i="1"/>
  <c r="L940" i="1"/>
  <c r="N932" i="1"/>
  <c r="L932" i="1"/>
  <c r="N924" i="1"/>
  <c r="L924" i="1"/>
  <c r="N916" i="1"/>
  <c r="L916" i="1"/>
  <c r="N908" i="1"/>
  <c r="L908" i="1"/>
  <c r="N900" i="1"/>
  <c r="L900" i="1"/>
  <c r="N892" i="1"/>
  <c r="L892" i="1"/>
  <c r="N884" i="1"/>
  <c r="L884" i="1"/>
  <c r="N876" i="1"/>
  <c r="L876" i="1"/>
  <c r="N868" i="1"/>
  <c r="L868" i="1"/>
  <c r="N860" i="1"/>
  <c r="L860" i="1"/>
  <c r="N852" i="1"/>
  <c r="L852" i="1"/>
  <c r="N844" i="1"/>
  <c r="L844" i="1"/>
  <c r="N836" i="1"/>
  <c r="L836" i="1"/>
  <c r="N828" i="1"/>
  <c r="L828" i="1"/>
  <c r="N820" i="1"/>
  <c r="L820" i="1"/>
  <c r="N812" i="1"/>
  <c r="L812" i="1"/>
  <c r="N804" i="1"/>
  <c r="L804" i="1"/>
  <c r="N796" i="1"/>
  <c r="L796" i="1"/>
  <c r="N788" i="1"/>
  <c r="L788" i="1"/>
  <c r="N780" i="1"/>
  <c r="L780" i="1"/>
  <c r="N772" i="1"/>
  <c r="L772" i="1"/>
  <c r="N764" i="1"/>
  <c r="L764" i="1"/>
  <c r="N756" i="1"/>
  <c r="L756" i="1"/>
  <c r="N748" i="1"/>
  <c r="L748" i="1"/>
  <c r="N740" i="1"/>
  <c r="L740" i="1"/>
  <c r="N732" i="1"/>
  <c r="L732" i="1"/>
  <c r="N724" i="1"/>
  <c r="L724" i="1"/>
  <c r="N716" i="1"/>
  <c r="L716" i="1"/>
  <c r="N708" i="1"/>
  <c r="L708" i="1"/>
  <c r="N700" i="1"/>
  <c r="L700" i="1"/>
  <c r="N692" i="1"/>
  <c r="L692" i="1"/>
  <c r="N684" i="1"/>
  <c r="L684" i="1"/>
  <c r="N676" i="1"/>
  <c r="L676" i="1"/>
  <c r="N668" i="1"/>
  <c r="L668" i="1"/>
  <c r="N660" i="1"/>
  <c r="L660" i="1"/>
  <c r="N652" i="1"/>
  <c r="L652" i="1"/>
  <c r="N636" i="1"/>
  <c r="L636" i="1"/>
  <c r="N628" i="1"/>
  <c r="L628" i="1"/>
  <c r="N612" i="1"/>
  <c r="L612" i="1"/>
  <c r="N604" i="1"/>
  <c r="L604" i="1"/>
  <c r="N596" i="1"/>
  <c r="L596" i="1"/>
  <c r="N588" i="1"/>
  <c r="L588" i="1"/>
  <c r="N572" i="1"/>
  <c r="L572" i="1"/>
  <c r="N564" i="1"/>
  <c r="L564" i="1"/>
  <c r="N548" i="1"/>
  <c r="L548" i="1"/>
  <c r="N540" i="1"/>
  <c r="L540" i="1"/>
  <c r="N532" i="1"/>
  <c r="L532" i="1"/>
  <c r="N524" i="1"/>
  <c r="L524" i="1"/>
  <c r="N516" i="1"/>
  <c r="L516" i="1"/>
  <c r="N508" i="1"/>
  <c r="L508" i="1"/>
  <c r="N500" i="1"/>
  <c r="L500" i="1"/>
  <c r="N484" i="1"/>
  <c r="L484" i="1"/>
  <c r="N476" i="1"/>
  <c r="L476" i="1"/>
  <c r="N468" i="1"/>
  <c r="L468" i="1"/>
  <c r="N460" i="1"/>
  <c r="L460" i="1"/>
  <c r="N452" i="1"/>
  <c r="L452" i="1"/>
  <c r="N444" i="1"/>
  <c r="L444" i="1"/>
  <c r="N436" i="1"/>
  <c r="L436" i="1"/>
  <c r="N428" i="1"/>
  <c r="L428" i="1"/>
  <c r="N420" i="1"/>
  <c r="L420" i="1"/>
  <c r="N412" i="1"/>
  <c r="L412" i="1"/>
  <c r="N404" i="1"/>
  <c r="L404" i="1"/>
  <c r="N396" i="1"/>
  <c r="L396" i="1"/>
  <c r="N388" i="1"/>
  <c r="L388" i="1"/>
  <c r="N380" i="1"/>
  <c r="L380" i="1"/>
  <c r="N372" i="1"/>
  <c r="L372" i="1"/>
  <c r="N364" i="1"/>
  <c r="L364" i="1"/>
  <c r="N356" i="1"/>
  <c r="L356" i="1"/>
  <c r="N348" i="1"/>
  <c r="L348" i="1"/>
  <c r="N340" i="1"/>
  <c r="L340" i="1"/>
  <c r="N332" i="1"/>
  <c r="L332" i="1"/>
  <c r="N324" i="1"/>
  <c r="L324" i="1"/>
  <c r="N316" i="1"/>
  <c r="L316" i="1"/>
  <c r="N308" i="1"/>
  <c r="L308" i="1"/>
  <c r="N300" i="1"/>
  <c r="L300" i="1"/>
  <c r="N292" i="1"/>
  <c r="L292" i="1"/>
  <c r="N284" i="1"/>
  <c r="L284" i="1"/>
  <c r="N276" i="1"/>
  <c r="L276" i="1"/>
  <c r="N268" i="1"/>
  <c r="L268" i="1"/>
  <c r="N260" i="1"/>
  <c r="L260" i="1"/>
  <c r="N252" i="1"/>
  <c r="L252" i="1"/>
  <c r="N244" i="1"/>
  <c r="L244" i="1"/>
  <c r="N236" i="1"/>
  <c r="L236" i="1"/>
  <c r="N228" i="1"/>
  <c r="L228" i="1"/>
  <c r="N220" i="1"/>
  <c r="L220" i="1"/>
  <c r="N212" i="1"/>
  <c r="L212" i="1"/>
  <c r="N204" i="1"/>
  <c r="L204" i="1"/>
  <c r="N196" i="1"/>
  <c r="L196" i="1"/>
  <c r="N188" i="1"/>
  <c r="L188" i="1"/>
  <c r="N180" i="1"/>
  <c r="L180" i="1"/>
  <c r="N172" i="1"/>
  <c r="L172" i="1"/>
  <c r="N164" i="1"/>
  <c r="L164" i="1"/>
  <c r="N156" i="1"/>
  <c r="L156" i="1"/>
  <c r="N148" i="1"/>
  <c r="L148" i="1"/>
  <c r="N140" i="1"/>
  <c r="L140" i="1"/>
  <c r="N132" i="1"/>
  <c r="L132" i="1"/>
  <c r="N124" i="1"/>
  <c r="L124" i="1"/>
  <c r="N116" i="1"/>
  <c r="L116" i="1"/>
  <c r="N108" i="1"/>
  <c r="L108" i="1"/>
  <c r="N100" i="1"/>
  <c r="L100" i="1"/>
  <c r="N92" i="1"/>
  <c r="L92" i="1"/>
  <c r="N84" i="1"/>
  <c r="L84" i="1"/>
  <c r="N76" i="1"/>
  <c r="L76" i="1"/>
  <c r="N68" i="1"/>
  <c r="L68" i="1"/>
  <c r="N60" i="1"/>
  <c r="L60" i="1"/>
  <c r="N52" i="1"/>
  <c r="L52" i="1"/>
  <c r="N44" i="1"/>
  <c r="L44" i="1"/>
  <c r="N36" i="1"/>
  <c r="L36" i="1"/>
  <c r="N28" i="1"/>
  <c r="L28" i="1"/>
  <c r="N20" i="1"/>
  <c r="L20" i="1"/>
  <c r="N12" i="1"/>
  <c r="L12" i="1"/>
  <c r="N4" i="1"/>
  <c r="L4" i="1"/>
  <c r="L1251" i="1"/>
  <c r="L1243" i="1"/>
  <c r="L1235" i="1"/>
  <c r="L1227" i="1"/>
  <c r="L1219" i="1"/>
  <c r="L1211" i="1"/>
  <c r="L1203" i="1"/>
  <c r="L1195" i="1"/>
  <c r="L1187" i="1"/>
  <c r="L1179" i="1"/>
  <c r="L1171" i="1"/>
  <c r="L1163" i="1"/>
  <c r="L1155" i="1"/>
  <c r="L1147" i="1"/>
  <c r="L1139" i="1"/>
  <c r="L1131" i="1"/>
  <c r="L1123" i="1"/>
  <c r="L1115" i="1"/>
  <c r="L1107" i="1"/>
  <c r="L1099" i="1"/>
  <c r="L1091" i="1"/>
  <c r="L1059" i="1"/>
  <c r="L1027" i="1"/>
  <c r="L995" i="1"/>
  <c r="L963" i="1"/>
  <c r="L931" i="1"/>
  <c r="L899" i="1"/>
  <c r="L867" i="1"/>
  <c r="L835" i="1"/>
  <c r="L803" i="1"/>
  <c r="L771" i="1"/>
  <c r="L739" i="1"/>
  <c r="L707" i="1"/>
  <c r="L671" i="1"/>
  <c r="L620" i="1"/>
  <c r="L570" i="1"/>
  <c r="L517" i="1"/>
  <c r="L403" i="1"/>
  <c r="L253" i="1"/>
  <c r="N1047" i="1"/>
  <c r="L1047" i="1"/>
  <c r="N983" i="1"/>
  <c r="L983" i="1"/>
  <c r="N927" i="1"/>
  <c r="L927" i="1"/>
  <c r="N871" i="1"/>
  <c r="L871" i="1"/>
  <c r="N815" i="1"/>
  <c r="L815" i="1"/>
  <c r="N743" i="1"/>
  <c r="L743" i="1"/>
  <c r="N679" i="1"/>
  <c r="L679" i="1"/>
  <c r="N615" i="1"/>
  <c r="L615" i="1"/>
  <c r="N487" i="1"/>
  <c r="L487" i="1"/>
  <c r="N415" i="1"/>
  <c r="L415" i="1"/>
  <c r="N359" i="1"/>
  <c r="L359" i="1"/>
  <c r="N271" i="1"/>
  <c r="L271" i="1"/>
  <c r="N199" i="1"/>
  <c r="L199" i="1"/>
  <c r="N143" i="1"/>
  <c r="L143" i="1"/>
  <c r="N63" i="1"/>
  <c r="L63" i="1"/>
  <c r="N675" i="1"/>
  <c r="L675" i="1"/>
  <c r="N667" i="1"/>
  <c r="L667" i="1"/>
  <c r="N651" i="1"/>
  <c r="L651" i="1"/>
  <c r="N643" i="1"/>
  <c r="L643" i="1"/>
  <c r="N635" i="1"/>
  <c r="L635" i="1"/>
  <c r="N627" i="1"/>
  <c r="L627" i="1"/>
  <c r="N611" i="1"/>
  <c r="L611" i="1"/>
  <c r="N603" i="1"/>
  <c r="L603" i="1"/>
  <c r="N587" i="1"/>
  <c r="L587" i="1"/>
  <c r="N579" i="1"/>
  <c r="L579" i="1"/>
  <c r="N571" i="1"/>
  <c r="L571" i="1"/>
  <c r="N563" i="1"/>
  <c r="L563" i="1"/>
  <c r="N547" i="1"/>
  <c r="L547" i="1"/>
  <c r="N539" i="1"/>
  <c r="L539" i="1"/>
  <c r="N523" i="1"/>
  <c r="L523" i="1"/>
  <c r="N515" i="1"/>
  <c r="L515" i="1"/>
  <c r="N507" i="1"/>
  <c r="L507" i="1"/>
  <c r="N499" i="1"/>
  <c r="L499" i="1"/>
  <c r="N491" i="1"/>
  <c r="L491" i="1"/>
  <c r="N483" i="1"/>
  <c r="L483" i="1"/>
  <c r="N475" i="1"/>
  <c r="L475" i="1"/>
  <c r="N459" i="1"/>
  <c r="L459" i="1"/>
  <c r="N443" i="1"/>
  <c r="L443" i="1"/>
  <c r="N427" i="1"/>
  <c r="L427" i="1"/>
  <c r="N411" i="1"/>
  <c r="L411" i="1"/>
  <c r="N395" i="1"/>
  <c r="L395" i="1"/>
  <c r="N379" i="1"/>
  <c r="L379" i="1"/>
  <c r="N363" i="1"/>
  <c r="L363" i="1"/>
  <c r="N347" i="1"/>
  <c r="L347" i="1"/>
  <c r="N331" i="1"/>
  <c r="L331" i="1"/>
  <c r="N315" i="1"/>
  <c r="L315" i="1"/>
  <c r="N299" i="1"/>
  <c r="L299" i="1"/>
  <c r="N291" i="1"/>
  <c r="L291" i="1"/>
  <c r="N283" i="1"/>
  <c r="L283" i="1"/>
  <c r="N275" i="1"/>
  <c r="L275" i="1"/>
  <c r="N267" i="1"/>
  <c r="L267" i="1"/>
  <c r="N259" i="1"/>
  <c r="L259" i="1"/>
  <c r="N251" i="1"/>
  <c r="L251" i="1"/>
  <c r="N243" i="1"/>
  <c r="L243" i="1"/>
  <c r="N235" i="1"/>
  <c r="L235" i="1"/>
  <c r="N227" i="1"/>
  <c r="L227" i="1"/>
  <c r="N219" i="1"/>
  <c r="L219" i="1"/>
  <c r="N211" i="1"/>
  <c r="L211" i="1"/>
  <c r="N203" i="1"/>
  <c r="L203" i="1"/>
  <c r="N195" i="1"/>
  <c r="L195" i="1"/>
  <c r="N179" i="1"/>
  <c r="L179" i="1"/>
  <c r="N171" i="1"/>
  <c r="L171" i="1"/>
  <c r="N163" i="1"/>
  <c r="L163" i="1"/>
  <c r="N155" i="1"/>
  <c r="L155" i="1"/>
  <c r="N147" i="1"/>
  <c r="L147" i="1"/>
  <c r="N139" i="1"/>
  <c r="L139" i="1"/>
  <c r="N131" i="1"/>
  <c r="L131" i="1"/>
  <c r="N115" i="1"/>
  <c r="L115" i="1"/>
  <c r="N107" i="1"/>
  <c r="L107" i="1"/>
  <c r="N99" i="1"/>
  <c r="L99" i="1"/>
  <c r="N91" i="1"/>
  <c r="L91" i="1"/>
  <c r="N83" i="1"/>
  <c r="L83" i="1"/>
  <c r="N75" i="1"/>
  <c r="L75" i="1"/>
  <c r="N67" i="1"/>
  <c r="L67" i="1"/>
  <c r="N51" i="1"/>
  <c r="L51" i="1"/>
  <c r="N43" i="1"/>
  <c r="L43" i="1"/>
  <c r="N35" i="1"/>
  <c r="L35" i="1"/>
  <c r="N27" i="1"/>
  <c r="L27" i="1"/>
  <c r="N19" i="1"/>
  <c r="L19" i="1"/>
  <c r="N11" i="1"/>
  <c r="L11" i="1"/>
  <c r="N3" i="1"/>
  <c r="L3" i="1"/>
  <c r="L1250" i="1"/>
  <c r="L1242" i="1"/>
  <c r="L1234" i="1"/>
  <c r="L1226" i="1"/>
  <c r="L1218" i="1"/>
  <c r="L1210" i="1"/>
  <c r="L1202" i="1"/>
  <c r="L1194" i="1"/>
  <c r="L1186" i="1"/>
  <c r="L1178" i="1"/>
  <c r="L1170" i="1"/>
  <c r="L1162" i="1"/>
  <c r="L1154" i="1"/>
  <c r="L1146" i="1"/>
  <c r="L1138" i="1"/>
  <c r="L1130" i="1"/>
  <c r="L1122" i="1"/>
  <c r="L1114" i="1"/>
  <c r="L1106" i="1"/>
  <c r="L1098" i="1"/>
  <c r="L1090" i="1"/>
  <c r="L1058" i="1"/>
  <c r="L1026" i="1"/>
  <c r="L994" i="1"/>
  <c r="L962" i="1"/>
  <c r="L930" i="1"/>
  <c r="L898" i="1"/>
  <c r="L866" i="1"/>
  <c r="L834" i="1"/>
  <c r="L802" i="1"/>
  <c r="L770" i="1"/>
  <c r="L738" i="1"/>
  <c r="L706" i="1"/>
  <c r="L669" i="1"/>
  <c r="L619" i="1"/>
  <c r="L567" i="1"/>
  <c r="L506" i="1"/>
  <c r="L387" i="1"/>
  <c r="L221" i="1"/>
  <c r="N1055" i="1"/>
  <c r="L1055" i="1"/>
  <c r="N999" i="1"/>
  <c r="L999" i="1"/>
  <c r="N943" i="1"/>
  <c r="L943" i="1"/>
  <c r="N887" i="1"/>
  <c r="L887" i="1"/>
  <c r="N831" i="1"/>
  <c r="L831" i="1"/>
  <c r="N775" i="1"/>
  <c r="L775" i="1"/>
  <c r="N719" i="1"/>
  <c r="L719" i="1"/>
  <c r="N663" i="1"/>
  <c r="L663" i="1"/>
  <c r="N559" i="1"/>
  <c r="L559" i="1"/>
  <c r="N503" i="1"/>
  <c r="L503" i="1"/>
  <c r="N447" i="1"/>
  <c r="L447" i="1"/>
  <c r="N391" i="1"/>
  <c r="L391" i="1"/>
  <c r="N343" i="1"/>
  <c r="L343" i="1"/>
  <c r="N303" i="1"/>
  <c r="L303" i="1"/>
  <c r="N247" i="1"/>
  <c r="L247" i="1"/>
  <c r="N191" i="1"/>
  <c r="L191" i="1"/>
  <c r="N127" i="1"/>
  <c r="L127" i="1"/>
  <c r="N71" i="1"/>
  <c r="L71" i="1"/>
  <c r="N15" i="1"/>
  <c r="L15" i="1"/>
  <c r="N674" i="1"/>
  <c r="L674" i="1"/>
  <c r="N666" i="1"/>
  <c r="L666" i="1"/>
  <c r="N650" i="1"/>
  <c r="L650" i="1"/>
  <c r="N642" i="1"/>
  <c r="L642" i="1"/>
  <c r="N626" i="1"/>
  <c r="L626" i="1"/>
  <c r="N618" i="1"/>
  <c r="L618" i="1"/>
  <c r="N610" i="1"/>
  <c r="L610" i="1"/>
  <c r="N602" i="1"/>
  <c r="L602" i="1"/>
  <c r="N586" i="1"/>
  <c r="L586" i="1"/>
  <c r="N578" i="1"/>
  <c r="L578" i="1"/>
  <c r="N562" i="1"/>
  <c r="L562" i="1"/>
  <c r="N554" i="1"/>
  <c r="L554" i="1"/>
  <c r="N546" i="1"/>
  <c r="L546" i="1"/>
  <c r="N538" i="1"/>
  <c r="L538" i="1"/>
  <c r="N522" i="1"/>
  <c r="L522" i="1"/>
  <c r="N514" i="1"/>
  <c r="L514" i="1"/>
  <c r="N498" i="1"/>
  <c r="L498" i="1"/>
  <c r="N490" i="1"/>
  <c r="L490" i="1"/>
  <c r="N482" i="1"/>
  <c r="L482" i="1"/>
  <c r="N474" i="1"/>
  <c r="L474" i="1"/>
  <c r="N466" i="1"/>
  <c r="L466" i="1"/>
  <c r="N458" i="1"/>
  <c r="L458" i="1"/>
  <c r="N450" i="1"/>
  <c r="L450" i="1"/>
  <c r="N442" i="1"/>
  <c r="L442" i="1"/>
  <c r="N434" i="1"/>
  <c r="L434" i="1"/>
  <c r="N426" i="1"/>
  <c r="L426" i="1"/>
  <c r="N418" i="1"/>
  <c r="L418" i="1"/>
  <c r="N410" i="1"/>
  <c r="L410" i="1"/>
  <c r="N402" i="1"/>
  <c r="L402" i="1"/>
  <c r="N394" i="1"/>
  <c r="L394" i="1"/>
  <c r="N386" i="1"/>
  <c r="L386" i="1"/>
  <c r="N378" i="1"/>
  <c r="L378" i="1"/>
  <c r="N370" i="1"/>
  <c r="L370" i="1"/>
  <c r="N362" i="1"/>
  <c r="L362" i="1"/>
  <c r="N354" i="1"/>
  <c r="L354" i="1"/>
  <c r="N346" i="1"/>
  <c r="L346" i="1"/>
  <c r="N338" i="1"/>
  <c r="L338" i="1"/>
  <c r="N330" i="1"/>
  <c r="L330" i="1"/>
  <c r="N322" i="1"/>
  <c r="L322" i="1"/>
  <c r="N314" i="1"/>
  <c r="L314" i="1"/>
  <c r="N306" i="1"/>
  <c r="L306" i="1"/>
  <c r="N298" i="1"/>
  <c r="L298" i="1"/>
  <c r="N290" i="1"/>
  <c r="L290" i="1"/>
  <c r="N282" i="1"/>
  <c r="L282" i="1"/>
  <c r="N274" i="1"/>
  <c r="L274" i="1"/>
  <c r="N266" i="1"/>
  <c r="L266" i="1"/>
  <c r="N258" i="1"/>
  <c r="L258" i="1"/>
  <c r="N250" i="1"/>
  <c r="L250" i="1"/>
  <c r="N242" i="1"/>
  <c r="L242" i="1"/>
  <c r="N234" i="1"/>
  <c r="L234" i="1"/>
  <c r="N226" i="1"/>
  <c r="L226" i="1"/>
  <c r="N218" i="1"/>
  <c r="L218" i="1"/>
  <c r="N210" i="1"/>
  <c r="L210" i="1"/>
  <c r="N202" i="1"/>
  <c r="L202" i="1"/>
  <c r="N194" i="1"/>
  <c r="L194" i="1"/>
  <c r="N186" i="1"/>
  <c r="L186" i="1"/>
  <c r="N178" i="1"/>
  <c r="L178" i="1"/>
  <c r="N170" i="1"/>
  <c r="L170" i="1"/>
  <c r="N162" i="1"/>
  <c r="L162" i="1"/>
  <c r="N154" i="1"/>
  <c r="L154" i="1"/>
  <c r="N146" i="1"/>
  <c r="L146" i="1"/>
  <c r="N138" i="1"/>
  <c r="L138" i="1"/>
  <c r="N130" i="1"/>
  <c r="L130" i="1"/>
  <c r="N122" i="1"/>
  <c r="L122" i="1"/>
  <c r="N114" i="1"/>
  <c r="L114" i="1"/>
  <c r="N106" i="1"/>
  <c r="L106" i="1"/>
  <c r="N98" i="1"/>
  <c r="L98" i="1"/>
  <c r="N90" i="1"/>
  <c r="L90" i="1"/>
  <c r="N82" i="1"/>
  <c r="L82" i="1"/>
  <c r="N74" i="1"/>
  <c r="L74" i="1"/>
  <c r="N66" i="1"/>
  <c r="L66" i="1"/>
  <c r="N58" i="1"/>
  <c r="L58" i="1"/>
  <c r="N50" i="1"/>
  <c r="L50" i="1"/>
  <c r="N42" i="1"/>
  <c r="L42" i="1"/>
  <c r="N34" i="1"/>
  <c r="L34" i="1"/>
  <c r="N26" i="1"/>
  <c r="L26" i="1"/>
  <c r="N18" i="1"/>
  <c r="L18" i="1"/>
  <c r="N10" i="1"/>
  <c r="L10" i="1"/>
  <c r="L1249" i="1"/>
  <c r="L1241" i="1"/>
  <c r="L1233" i="1"/>
  <c r="L1225" i="1"/>
  <c r="L1217" i="1"/>
  <c r="L1209" i="1"/>
  <c r="L1201" i="1"/>
  <c r="L1193" i="1"/>
  <c r="L1185" i="1"/>
  <c r="L1177" i="1"/>
  <c r="L1169" i="1"/>
  <c r="L1161" i="1"/>
  <c r="L1153" i="1"/>
  <c r="L1145" i="1"/>
  <c r="L1137" i="1"/>
  <c r="L1129" i="1"/>
  <c r="L1121" i="1"/>
  <c r="L1113" i="1"/>
  <c r="L1105" i="1"/>
  <c r="L1097" i="1"/>
  <c r="L1083" i="1"/>
  <c r="L1051" i="1"/>
  <c r="L1019" i="1"/>
  <c r="L987" i="1"/>
  <c r="L955" i="1"/>
  <c r="L923" i="1"/>
  <c r="L891" i="1"/>
  <c r="L859" i="1"/>
  <c r="L827" i="1"/>
  <c r="L795" i="1"/>
  <c r="L763" i="1"/>
  <c r="L731" i="1"/>
  <c r="L699" i="1"/>
  <c r="L659" i="1"/>
  <c r="L607" i="1"/>
  <c r="L556" i="1"/>
  <c r="L492" i="1"/>
  <c r="L371" i="1"/>
  <c r="L187" i="1"/>
  <c r="N1087" i="1"/>
  <c r="L1087" i="1"/>
  <c r="N1031" i="1"/>
  <c r="L1031" i="1"/>
  <c r="N967" i="1"/>
  <c r="L967" i="1"/>
  <c r="N903" i="1"/>
  <c r="L903" i="1"/>
  <c r="N847" i="1"/>
  <c r="L847" i="1"/>
  <c r="N791" i="1"/>
  <c r="L791" i="1"/>
  <c r="N735" i="1"/>
  <c r="L735" i="1"/>
  <c r="N687" i="1"/>
  <c r="L687" i="1"/>
  <c r="N511" i="1"/>
  <c r="L511" i="1"/>
  <c r="N455" i="1"/>
  <c r="L455" i="1"/>
  <c r="N399" i="1"/>
  <c r="L399" i="1"/>
  <c r="N335" i="1"/>
  <c r="L335" i="1"/>
  <c r="N279" i="1"/>
  <c r="L279" i="1"/>
  <c r="N215" i="1"/>
  <c r="L215" i="1"/>
  <c r="N151" i="1"/>
  <c r="L151" i="1"/>
  <c r="N95" i="1"/>
  <c r="L95" i="1"/>
  <c r="N39" i="1"/>
  <c r="L39" i="1"/>
  <c r="N1089" i="1"/>
  <c r="L1089" i="1"/>
  <c r="N1081" i="1"/>
  <c r="L1081" i="1"/>
  <c r="N1073" i="1"/>
  <c r="L1073" i="1"/>
  <c r="N1065" i="1"/>
  <c r="L1065" i="1"/>
  <c r="N1057" i="1"/>
  <c r="L1057" i="1"/>
  <c r="N1049" i="1"/>
  <c r="L1049" i="1"/>
  <c r="N1041" i="1"/>
  <c r="L1041" i="1"/>
  <c r="N1033" i="1"/>
  <c r="L1033" i="1"/>
  <c r="N1025" i="1"/>
  <c r="L1025" i="1"/>
  <c r="N1017" i="1"/>
  <c r="L1017" i="1"/>
  <c r="N1009" i="1"/>
  <c r="L1009" i="1"/>
  <c r="N1001" i="1"/>
  <c r="L1001" i="1"/>
  <c r="N993" i="1"/>
  <c r="L993" i="1"/>
  <c r="N985" i="1"/>
  <c r="L985" i="1"/>
  <c r="N977" i="1"/>
  <c r="L977" i="1"/>
  <c r="N969" i="1"/>
  <c r="L969" i="1"/>
  <c r="N961" i="1"/>
  <c r="L961" i="1"/>
  <c r="N953" i="1"/>
  <c r="L953" i="1"/>
  <c r="N945" i="1"/>
  <c r="L945" i="1"/>
  <c r="N937" i="1"/>
  <c r="L937" i="1"/>
  <c r="N929" i="1"/>
  <c r="L929" i="1"/>
  <c r="N921" i="1"/>
  <c r="L921" i="1"/>
  <c r="N913" i="1"/>
  <c r="L913" i="1"/>
  <c r="N905" i="1"/>
  <c r="L905" i="1"/>
  <c r="N897" i="1"/>
  <c r="L897" i="1"/>
  <c r="N889" i="1"/>
  <c r="L889" i="1"/>
  <c r="N881" i="1"/>
  <c r="L881" i="1"/>
  <c r="N873" i="1"/>
  <c r="L873" i="1"/>
  <c r="N865" i="1"/>
  <c r="L865" i="1"/>
  <c r="N857" i="1"/>
  <c r="L857" i="1"/>
  <c r="N849" i="1"/>
  <c r="L849" i="1"/>
  <c r="N841" i="1"/>
  <c r="L841" i="1"/>
  <c r="N833" i="1"/>
  <c r="L833" i="1"/>
  <c r="N825" i="1"/>
  <c r="L825" i="1"/>
  <c r="N817" i="1"/>
  <c r="L817" i="1"/>
  <c r="N809" i="1"/>
  <c r="L809" i="1"/>
  <c r="N801" i="1"/>
  <c r="L801" i="1"/>
  <c r="N793" i="1"/>
  <c r="L793" i="1"/>
  <c r="N785" i="1"/>
  <c r="L785" i="1"/>
  <c r="N777" i="1"/>
  <c r="L777" i="1"/>
  <c r="N769" i="1"/>
  <c r="L769" i="1"/>
  <c r="N761" i="1"/>
  <c r="L761" i="1"/>
  <c r="N753" i="1"/>
  <c r="L753" i="1"/>
  <c r="N745" i="1"/>
  <c r="L745" i="1"/>
  <c r="N737" i="1"/>
  <c r="L737" i="1"/>
  <c r="N729" i="1"/>
  <c r="L729" i="1"/>
  <c r="N721" i="1"/>
  <c r="L721" i="1"/>
  <c r="N713" i="1"/>
  <c r="L713" i="1"/>
  <c r="N705" i="1"/>
  <c r="L705" i="1"/>
  <c r="N697" i="1"/>
  <c r="L697" i="1"/>
  <c r="N689" i="1"/>
  <c r="L689" i="1"/>
  <c r="N681" i="1"/>
  <c r="L681" i="1"/>
  <c r="N673" i="1"/>
  <c r="L673" i="1"/>
  <c r="N665" i="1"/>
  <c r="L665" i="1"/>
  <c r="N657" i="1"/>
  <c r="L657" i="1"/>
  <c r="N649" i="1"/>
  <c r="L649" i="1"/>
  <c r="N641" i="1"/>
  <c r="L641" i="1"/>
  <c r="N633" i="1"/>
  <c r="L633" i="1"/>
  <c r="N625" i="1"/>
  <c r="L625" i="1"/>
  <c r="N617" i="1"/>
  <c r="L617" i="1"/>
  <c r="N609" i="1"/>
  <c r="L609" i="1"/>
  <c r="N601" i="1"/>
  <c r="L601" i="1"/>
  <c r="N593" i="1"/>
  <c r="L593" i="1"/>
  <c r="N585" i="1"/>
  <c r="L585" i="1"/>
  <c r="N577" i="1"/>
  <c r="L577" i="1"/>
  <c r="N569" i="1"/>
  <c r="L569" i="1"/>
  <c r="N561" i="1"/>
  <c r="L561" i="1"/>
  <c r="N553" i="1"/>
  <c r="L553" i="1"/>
  <c r="N545" i="1"/>
  <c r="L545" i="1"/>
  <c r="N537" i="1"/>
  <c r="L537" i="1"/>
  <c r="N529" i="1"/>
  <c r="L529" i="1"/>
  <c r="N521" i="1"/>
  <c r="L521" i="1"/>
  <c r="N513" i="1"/>
  <c r="L513" i="1"/>
  <c r="N505" i="1"/>
  <c r="L505" i="1"/>
  <c r="N497" i="1"/>
  <c r="L497" i="1"/>
  <c r="N489" i="1"/>
  <c r="L489" i="1"/>
  <c r="N481" i="1"/>
  <c r="L481" i="1"/>
  <c r="N473" i="1"/>
  <c r="L473" i="1"/>
  <c r="N465" i="1"/>
  <c r="L465" i="1"/>
  <c r="N457" i="1"/>
  <c r="L457" i="1"/>
  <c r="N449" i="1"/>
  <c r="L449" i="1"/>
  <c r="N441" i="1"/>
  <c r="L441" i="1"/>
  <c r="N433" i="1"/>
  <c r="L433" i="1"/>
  <c r="N425" i="1"/>
  <c r="L425" i="1"/>
  <c r="N417" i="1"/>
  <c r="L417" i="1"/>
  <c r="N409" i="1"/>
  <c r="L409" i="1"/>
  <c r="N401" i="1"/>
  <c r="L401" i="1"/>
  <c r="N393" i="1"/>
  <c r="L393" i="1"/>
  <c r="N385" i="1"/>
  <c r="L385" i="1"/>
  <c r="N377" i="1"/>
  <c r="L377" i="1"/>
  <c r="N369" i="1"/>
  <c r="L369" i="1"/>
  <c r="N361" i="1"/>
  <c r="L361" i="1"/>
  <c r="N353" i="1"/>
  <c r="L353" i="1"/>
  <c r="N345" i="1"/>
  <c r="L345" i="1"/>
  <c r="N337" i="1"/>
  <c r="L337" i="1"/>
  <c r="N329" i="1"/>
  <c r="L329" i="1"/>
  <c r="N321" i="1"/>
  <c r="L321" i="1"/>
  <c r="N313" i="1"/>
  <c r="L313" i="1"/>
  <c r="N305" i="1"/>
  <c r="L305" i="1"/>
  <c r="N297" i="1"/>
  <c r="L297" i="1"/>
  <c r="N289" i="1"/>
  <c r="L289" i="1"/>
  <c r="N281" i="1"/>
  <c r="L281" i="1"/>
  <c r="N273" i="1"/>
  <c r="L273" i="1"/>
  <c r="N265" i="1"/>
  <c r="L265" i="1"/>
  <c r="N257" i="1"/>
  <c r="L257" i="1"/>
  <c r="N249" i="1"/>
  <c r="L249" i="1"/>
  <c r="N241" i="1"/>
  <c r="L241" i="1"/>
  <c r="N233" i="1"/>
  <c r="L233" i="1"/>
  <c r="N225" i="1"/>
  <c r="L225" i="1"/>
  <c r="N217" i="1"/>
  <c r="L217" i="1"/>
  <c r="N209" i="1"/>
  <c r="L209" i="1"/>
  <c r="N201" i="1"/>
  <c r="L201" i="1"/>
  <c r="N193" i="1"/>
  <c r="L193" i="1"/>
  <c r="N185" i="1"/>
  <c r="L185" i="1"/>
  <c r="N177" i="1"/>
  <c r="L177" i="1"/>
  <c r="N169" i="1"/>
  <c r="L169" i="1"/>
  <c r="N161" i="1"/>
  <c r="L161" i="1"/>
  <c r="N153" i="1"/>
  <c r="L153" i="1"/>
  <c r="N145" i="1"/>
  <c r="L145" i="1"/>
  <c r="N137" i="1"/>
  <c r="L137" i="1"/>
  <c r="N129" i="1"/>
  <c r="L129" i="1"/>
  <c r="N121" i="1"/>
  <c r="L121" i="1"/>
  <c r="N113" i="1"/>
  <c r="L113" i="1"/>
  <c r="N105" i="1"/>
  <c r="L105" i="1"/>
  <c r="N97" i="1"/>
  <c r="L97" i="1"/>
  <c r="N89" i="1"/>
  <c r="L89" i="1"/>
  <c r="N81" i="1"/>
  <c r="L81" i="1"/>
  <c r="N73" i="1"/>
  <c r="L73" i="1"/>
  <c r="N65" i="1"/>
  <c r="L65" i="1"/>
  <c r="N57" i="1"/>
  <c r="L57" i="1"/>
  <c r="N49" i="1"/>
  <c r="L49" i="1"/>
  <c r="N41" i="1"/>
  <c r="L41" i="1"/>
  <c r="N33" i="1"/>
  <c r="L33" i="1"/>
  <c r="N25" i="1"/>
  <c r="L25" i="1"/>
  <c r="N17" i="1"/>
  <c r="L17" i="1"/>
  <c r="N9" i="1"/>
  <c r="L9" i="1"/>
  <c r="L1248" i="1"/>
  <c r="L1240" i="1"/>
  <c r="L1232" i="1"/>
  <c r="L1224" i="1"/>
  <c r="L1216" i="1"/>
  <c r="L1208" i="1"/>
  <c r="L1200" i="1"/>
  <c r="L1192" i="1"/>
  <c r="L1184" i="1"/>
  <c r="L1176" i="1"/>
  <c r="L1168" i="1"/>
  <c r="L1160" i="1"/>
  <c r="L1152" i="1"/>
  <c r="L1144" i="1"/>
  <c r="L1136" i="1"/>
  <c r="L1128" i="1"/>
  <c r="L1120" i="1"/>
  <c r="L1112" i="1"/>
  <c r="L1104" i="1"/>
  <c r="L1096" i="1"/>
  <c r="L1082" i="1"/>
  <c r="L1050" i="1"/>
  <c r="L1018" i="1"/>
  <c r="L986" i="1"/>
  <c r="L954" i="1"/>
  <c r="L922" i="1"/>
  <c r="L890" i="1"/>
  <c r="L858" i="1"/>
  <c r="L826" i="1"/>
  <c r="L794" i="1"/>
  <c r="L762" i="1"/>
  <c r="L730" i="1"/>
  <c r="L698" i="1"/>
  <c r="L658" i="1"/>
  <c r="L605" i="1"/>
  <c r="L555" i="1"/>
  <c r="L479" i="1"/>
  <c r="L355" i="1"/>
  <c r="L123" i="1"/>
  <c r="N1063" i="1"/>
  <c r="L1063" i="1"/>
  <c r="N1007" i="1"/>
  <c r="L1007" i="1"/>
  <c r="N959" i="1"/>
  <c r="L959" i="1"/>
  <c r="N911" i="1"/>
  <c r="L911" i="1"/>
  <c r="N855" i="1"/>
  <c r="L855" i="1"/>
  <c r="N799" i="1"/>
  <c r="L799" i="1"/>
  <c r="N751" i="1"/>
  <c r="L751" i="1"/>
  <c r="N695" i="1"/>
  <c r="L695" i="1"/>
  <c r="N639" i="1"/>
  <c r="L639" i="1"/>
  <c r="N583" i="1"/>
  <c r="L583" i="1"/>
  <c r="N527" i="1"/>
  <c r="L527" i="1"/>
  <c r="N471" i="1"/>
  <c r="L471" i="1"/>
  <c r="N423" i="1"/>
  <c r="L423" i="1"/>
  <c r="N367" i="1"/>
  <c r="L367" i="1"/>
  <c r="N311" i="1"/>
  <c r="L311" i="1"/>
  <c r="N255" i="1"/>
  <c r="L255" i="1"/>
  <c r="N207" i="1"/>
  <c r="L207" i="1"/>
  <c r="N167" i="1"/>
  <c r="L167" i="1"/>
  <c r="N119" i="1"/>
  <c r="L119" i="1"/>
  <c r="N79" i="1"/>
  <c r="L79" i="1"/>
  <c r="N23" i="1"/>
  <c r="L23" i="1"/>
  <c r="N1088" i="1"/>
  <c r="L1088" i="1"/>
  <c r="N1080" i="1"/>
  <c r="L1080" i="1"/>
  <c r="N1072" i="1"/>
  <c r="L1072" i="1"/>
  <c r="N1064" i="1"/>
  <c r="L1064" i="1"/>
  <c r="N1056" i="1"/>
  <c r="L1056" i="1"/>
  <c r="N1048" i="1"/>
  <c r="L1048" i="1"/>
  <c r="N1040" i="1"/>
  <c r="L1040" i="1"/>
  <c r="N1032" i="1"/>
  <c r="L1032" i="1"/>
  <c r="N1024" i="1"/>
  <c r="L1024" i="1"/>
  <c r="N1016" i="1"/>
  <c r="L1016" i="1"/>
  <c r="N1008" i="1"/>
  <c r="L1008" i="1"/>
  <c r="N1000" i="1"/>
  <c r="L1000" i="1"/>
  <c r="N992" i="1"/>
  <c r="L992" i="1"/>
  <c r="N984" i="1"/>
  <c r="L984" i="1"/>
  <c r="N976" i="1"/>
  <c r="L976" i="1"/>
  <c r="N968" i="1"/>
  <c r="L968" i="1"/>
  <c r="N960" i="1"/>
  <c r="L960" i="1"/>
  <c r="N952" i="1"/>
  <c r="L952" i="1"/>
  <c r="N944" i="1"/>
  <c r="L944" i="1"/>
  <c r="N936" i="1"/>
  <c r="L936" i="1"/>
  <c r="N928" i="1"/>
  <c r="L928" i="1"/>
  <c r="N920" i="1"/>
  <c r="L920" i="1"/>
  <c r="N912" i="1"/>
  <c r="L912" i="1"/>
  <c r="N904" i="1"/>
  <c r="L904" i="1"/>
  <c r="N896" i="1"/>
  <c r="L896" i="1"/>
  <c r="N888" i="1"/>
  <c r="L888" i="1"/>
  <c r="N880" i="1"/>
  <c r="L880" i="1"/>
  <c r="N872" i="1"/>
  <c r="L872" i="1"/>
  <c r="N864" i="1"/>
  <c r="L864" i="1"/>
  <c r="N856" i="1"/>
  <c r="L856" i="1"/>
  <c r="N848" i="1"/>
  <c r="L848" i="1"/>
  <c r="N840" i="1"/>
  <c r="L840" i="1"/>
  <c r="N832" i="1"/>
  <c r="L832" i="1"/>
  <c r="N824" i="1"/>
  <c r="L824" i="1"/>
  <c r="N816" i="1"/>
  <c r="L816" i="1"/>
  <c r="N808" i="1"/>
  <c r="L808" i="1"/>
  <c r="N800" i="1"/>
  <c r="L800" i="1"/>
  <c r="N792" i="1"/>
  <c r="L792" i="1"/>
  <c r="N784" i="1"/>
  <c r="L784" i="1"/>
  <c r="N776" i="1"/>
  <c r="L776" i="1"/>
  <c r="N768" i="1"/>
  <c r="L768" i="1"/>
  <c r="N760" i="1"/>
  <c r="L760" i="1"/>
  <c r="N752" i="1"/>
  <c r="L752" i="1"/>
  <c r="N744" i="1"/>
  <c r="L744" i="1"/>
  <c r="N736" i="1"/>
  <c r="L736" i="1"/>
  <c r="N728" i="1"/>
  <c r="L728" i="1"/>
  <c r="N720" i="1"/>
  <c r="L720" i="1"/>
  <c r="N712" i="1"/>
  <c r="L712" i="1"/>
  <c r="N704" i="1"/>
  <c r="L704" i="1"/>
  <c r="N696" i="1"/>
  <c r="L696" i="1"/>
  <c r="N688" i="1"/>
  <c r="L688" i="1"/>
  <c r="N680" i="1"/>
  <c r="L680" i="1"/>
  <c r="N672" i="1"/>
  <c r="L672" i="1"/>
  <c r="N664" i="1"/>
  <c r="L664" i="1"/>
  <c r="N656" i="1"/>
  <c r="L656" i="1"/>
  <c r="N648" i="1"/>
  <c r="L648" i="1"/>
  <c r="N640" i="1"/>
  <c r="L640" i="1"/>
  <c r="N632" i="1"/>
  <c r="L632" i="1"/>
  <c r="N624" i="1"/>
  <c r="L624" i="1"/>
  <c r="N616" i="1"/>
  <c r="L616" i="1"/>
  <c r="N608" i="1"/>
  <c r="L608" i="1"/>
  <c r="N600" i="1"/>
  <c r="L600" i="1"/>
  <c r="N592" i="1"/>
  <c r="L592" i="1"/>
  <c r="N584" i="1"/>
  <c r="L584" i="1"/>
  <c r="N576" i="1"/>
  <c r="L576" i="1"/>
  <c r="N568" i="1"/>
  <c r="L568" i="1"/>
  <c r="N560" i="1"/>
  <c r="L560" i="1"/>
  <c r="N552" i="1"/>
  <c r="L552" i="1"/>
  <c r="N544" i="1"/>
  <c r="L544" i="1"/>
  <c r="N536" i="1"/>
  <c r="L536" i="1"/>
  <c r="N528" i="1"/>
  <c r="L528" i="1"/>
  <c r="N520" i="1"/>
  <c r="L520" i="1"/>
  <c r="N512" i="1"/>
  <c r="L512" i="1"/>
  <c r="N504" i="1"/>
  <c r="L504" i="1"/>
  <c r="N496" i="1"/>
  <c r="L496" i="1"/>
  <c r="N488" i="1"/>
  <c r="L488" i="1"/>
  <c r="N480" i="1"/>
  <c r="L480" i="1"/>
  <c r="N472" i="1"/>
  <c r="L472" i="1"/>
  <c r="N464" i="1"/>
  <c r="L464" i="1"/>
  <c r="N456" i="1"/>
  <c r="L456" i="1"/>
  <c r="N448" i="1"/>
  <c r="L448" i="1"/>
  <c r="N440" i="1"/>
  <c r="L440" i="1"/>
  <c r="N432" i="1"/>
  <c r="L432" i="1"/>
  <c r="N424" i="1"/>
  <c r="L424" i="1"/>
  <c r="N416" i="1"/>
  <c r="L416" i="1"/>
  <c r="N408" i="1"/>
  <c r="L408" i="1"/>
  <c r="N400" i="1"/>
  <c r="L400" i="1"/>
  <c r="N392" i="1"/>
  <c r="L392" i="1"/>
  <c r="N384" i="1"/>
  <c r="L384" i="1"/>
  <c r="N376" i="1"/>
  <c r="L376" i="1"/>
  <c r="N368" i="1"/>
  <c r="L368" i="1"/>
  <c r="N360" i="1"/>
  <c r="L360" i="1"/>
  <c r="N352" i="1"/>
  <c r="L352" i="1"/>
  <c r="N344" i="1"/>
  <c r="L344" i="1"/>
  <c r="N336" i="1"/>
  <c r="L336" i="1"/>
  <c r="N328" i="1"/>
  <c r="L328" i="1"/>
  <c r="N320" i="1"/>
  <c r="L320" i="1"/>
  <c r="N312" i="1"/>
  <c r="L312" i="1"/>
  <c r="N304" i="1"/>
  <c r="L304" i="1"/>
  <c r="N296" i="1"/>
  <c r="L296" i="1"/>
  <c r="N288" i="1"/>
  <c r="L288" i="1"/>
  <c r="N280" i="1"/>
  <c r="L280" i="1"/>
  <c r="N272" i="1"/>
  <c r="L272" i="1"/>
  <c r="N264" i="1"/>
  <c r="L264" i="1"/>
  <c r="N256" i="1"/>
  <c r="L256" i="1"/>
  <c r="N248" i="1"/>
  <c r="L248" i="1"/>
  <c r="N240" i="1"/>
  <c r="L240" i="1"/>
  <c r="N232" i="1"/>
  <c r="L232" i="1"/>
  <c r="N224" i="1"/>
  <c r="L224" i="1"/>
  <c r="N216" i="1"/>
  <c r="L216" i="1"/>
  <c r="N208" i="1"/>
  <c r="L208" i="1"/>
  <c r="N200" i="1"/>
  <c r="L200" i="1"/>
  <c r="N192" i="1"/>
  <c r="L192" i="1"/>
  <c r="N184" i="1"/>
  <c r="L184" i="1"/>
  <c r="N176" i="1"/>
  <c r="L176" i="1"/>
  <c r="N168" i="1"/>
  <c r="L168" i="1"/>
  <c r="N160" i="1"/>
  <c r="L160" i="1"/>
  <c r="N152" i="1"/>
  <c r="L152" i="1"/>
  <c r="N144" i="1"/>
  <c r="L144" i="1"/>
  <c r="N136" i="1"/>
  <c r="L136" i="1"/>
  <c r="N128" i="1"/>
  <c r="L128" i="1"/>
  <c r="N120" i="1"/>
  <c r="L120" i="1"/>
  <c r="N112" i="1"/>
  <c r="L112" i="1"/>
  <c r="N104" i="1"/>
  <c r="L104" i="1"/>
  <c r="N96" i="1"/>
  <c r="L96" i="1"/>
  <c r="N88" i="1"/>
  <c r="L88" i="1"/>
  <c r="N80" i="1"/>
  <c r="L80" i="1"/>
  <c r="N72" i="1"/>
  <c r="L72" i="1"/>
  <c r="N64" i="1"/>
  <c r="L64" i="1"/>
  <c r="N56" i="1"/>
  <c r="L56" i="1"/>
  <c r="N48" i="1"/>
  <c r="L48" i="1"/>
  <c r="N40" i="1"/>
  <c r="L40" i="1"/>
  <c r="N32" i="1"/>
  <c r="L32" i="1"/>
  <c r="N24" i="1"/>
  <c r="L24" i="1"/>
  <c r="N16" i="1"/>
  <c r="L16" i="1"/>
  <c r="N8" i="1"/>
  <c r="L8" i="1"/>
  <c r="L1247" i="1"/>
  <c r="L1239" i="1"/>
  <c r="L1231" i="1"/>
  <c r="L1223" i="1"/>
  <c r="L1215" i="1"/>
  <c r="L1207" i="1"/>
  <c r="L1199" i="1"/>
  <c r="L1191" i="1"/>
  <c r="L1183" i="1"/>
  <c r="L1175" i="1"/>
  <c r="L1167" i="1"/>
  <c r="L1159" i="1"/>
  <c r="L1151" i="1"/>
  <c r="L1143" i="1"/>
  <c r="L1135" i="1"/>
  <c r="L1127" i="1"/>
  <c r="L1119" i="1"/>
  <c r="L1111" i="1"/>
  <c r="L1103" i="1"/>
  <c r="L1095" i="1"/>
  <c r="L1075" i="1"/>
  <c r="L1043" i="1"/>
  <c r="L1011" i="1"/>
  <c r="L979" i="1"/>
  <c r="L947" i="1"/>
  <c r="L915" i="1"/>
  <c r="L883" i="1"/>
  <c r="L851" i="1"/>
  <c r="L819" i="1"/>
  <c r="L787" i="1"/>
  <c r="L755" i="1"/>
  <c r="L723" i="1"/>
  <c r="L691" i="1"/>
  <c r="L645" i="1"/>
  <c r="L595" i="1"/>
  <c r="L543" i="1"/>
  <c r="L467" i="1"/>
  <c r="L339" i="1"/>
  <c r="L59" i="1"/>
</calcChain>
</file>

<file path=xl/sharedStrings.xml><?xml version="1.0" encoding="utf-8"?>
<sst xmlns="http://schemas.openxmlformats.org/spreadsheetml/2006/main" count="263" uniqueCount="59">
  <si>
    <t>Index</t>
  </si>
  <si>
    <t>Incoming Calls</t>
  </si>
  <si>
    <t>Answered Calls</t>
  </si>
  <si>
    <t>Abandoned Calls</t>
  </si>
  <si>
    <t>Answer Speed (AVG)</t>
  </si>
  <si>
    <t>Talk Duration (AVG)</t>
  </si>
  <si>
    <t>Service Level (20 Seconds)</t>
  </si>
  <si>
    <t>Answer Speed (AVG) Min</t>
  </si>
  <si>
    <t>Answer Speed (AVG) Sec</t>
  </si>
  <si>
    <t>Talk Duration (AVG) Min</t>
  </si>
  <si>
    <t>Talk Duration (AVG) Sec</t>
  </si>
  <si>
    <t>Calls Date</t>
  </si>
  <si>
    <t>Service Level (20 Seconds) # of Calls</t>
  </si>
  <si>
    <t>Est SL20S</t>
  </si>
  <si>
    <t>Row Labels</t>
  </si>
  <si>
    <t>Grand Total</t>
  </si>
  <si>
    <t>2021</t>
  </si>
  <si>
    <t>2022</t>
  </si>
  <si>
    <t>2023</t>
  </si>
  <si>
    <t>2024</t>
  </si>
  <si>
    <t>Qtr1</t>
  </si>
  <si>
    <t>Years (Calls Date)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</si>
  <si>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</si>
  <si>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</si>
  <si>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</si>
  <si>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</si>
  <si>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</si>
  <si>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</si>
  <si>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</si>
  <si>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</si>
  <si>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</si>
  <si>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</si>
  <si>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</si>
  <si>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</si>
  <si>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</si>
  <si>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Quarters (Calls Date)</t>
  </si>
  <si>
    <t>Sum of Incoming Calls</t>
  </si>
  <si>
    <t>Sum of Answered Calls</t>
  </si>
  <si>
    <t>Column Labels</t>
  </si>
  <si>
    <t>Sum of % Abandoned Calls</t>
  </si>
  <si>
    <t>Answer Time Min</t>
  </si>
  <si>
    <t>Sum of Answer Speed (AVG) Seconds</t>
  </si>
  <si>
    <t>Talk Time Min</t>
  </si>
  <si>
    <t>Months (Calls Date)</t>
  </si>
  <si>
    <t>Answer Rate %</t>
  </si>
  <si>
    <t>Total</t>
  </si>
  <si>
    <t>Answer Rate %2</t>
  </si>
  <si>
    <t>90%-98%</t>
  </si>
  <si>
    <t>99%</t>
  </si>
  <si>
    <t>80%-89%</t>
  </si>
  <si>
    <t>70-79%</t>
  </si>
  <si>
    <t>60%-69%</t>
  </si>
  <si>
    <t>51%-59%</t>
  </si>
  <si>
    <t>50%</t>
  </si>
  <si>
    <t>Call Year</t>
  </si>
  <si>
    <t>Call Day</t>
  </si>
  <si>
    <t>Call Month #</t>
  </si>
  <si>
    <t>Call Month Year</t>
  </si>
  <si>
    <t>7 day 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</si>
</sst>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_);\(0.00\)"/>
    <numFmt numFmtId="165" formatCode="0_);\(0\)"/>
    <numFmt numFmtId="166" formatCode="0.0%"/>
    <numFmt numFmtId="167" formatCode="[$-409]mmm\-yy;@"/>
    <numFmt numFmtId="168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0" fontId="0" fillId="0" borderId="0" xfId="0" applyNumberFormat="1"/>
    <xf numFmtId="21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6" fontId="0" fillId="0" borderId="0" xfId="0" applyNumberFormat="1"/>
    <xf numFmtId="43" fontId="0" fillId="0" borderId="0" xfId="1" applyFont="1"/>
    <xf numFmtId="1" fontId="0" fillId="0" borderId="0" xfId="0" applyNumberFormat="1"/>
    <xf numFmtId="9" fontId="0" fillId="0" borderId="0" xfId="43" applyFont="1"/>
    <xf numFmtId="167" fontId="0" fillId="0" borderId="0" xfId="0" applyNumberFormat="1"/>
    <xf numFmtId="14" fontId="0" fillId="0" borderId="0" xfId="0" applyNumberFormat="1" applyAlignment="1">
      <alignment horizontal="left"/>
    </xf>
    <xf numFmtId="168" fontId="0" fillId="0" borderId="0" xfId="1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Answered!PivotTable1</c:name>
    <c:fmtId val="1"/>
  </c:pivotSource>
  <c:chart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66538011092859E-2"/>
          <c:y val="0.23542777104784979"/>
          <c:w val="0.83905698916348315"/>
          <c:h val="0.55856034221683826"/>
        </c:manualLayout>
      </c:layout>
      <c:lineChart>
        <c:grouping val="standard"/>
        <c:varyColors val="0"/>
        <c:ser>
          <c:idx val="0"/>
          <c:order val="0"/>
          <c:tx>
            <c:strRef>
              <c:f>'Calls Answered'!$B$52:$B$53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Answered'!$B$54:$B$66</c:f>
              <c:numCache>
                <c:formatCode>General</c:formatCode>
                <c:ptCount val="12"/>
                <c:pt idx="0">
                  <c:v>5805</c:v>
                </c:pt>
                <c:pt idx="1">
                  <c:v>5372</c:v>
                </c:pt>
                <c:pt idx="2">
                  <c:v>4418</c:v>
                </c:pt>
                <c:pt idx="3">
                  <c:v>4785</c:v>
                </c:pt>
                <c:pt idx="4">
                  <c:v>5379</c:v>
                </c:pt>
                <c:pt idx="5">
                  <c:v>3570</c:v>
                </c:pt>
                <c:pt idx="6">
                  <c:v>5801</c:v>
                </c:pt>
                <c:pt idx="7">
                  <c:v>5889</c:v>
                </c:pt>
                <c:pt idx="8">
                  <c:v>4894</c:v>
                </c:pt>
                <c:pt idx="9">
                  <c:v>6459</c:v>
                </c:pt>
                <c:pt idx="10">
                  <c:v>4788</c:v>
                </c:pt>
                <c:pt idx="11">
                  <c:v>6634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B-4C21-881B-AFBFE718C175}"/>
            </c:ext>
          </c:extLst>
        </c:ser>
        <c:ser>
          <c:idx val="1"/>
          <c:order val="1"/>
          <c:tx>
            <c:strRef>
              <c:f>'Calls Answered'!$C$52:$C$53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Answered'!$C$54:$C$66</c:f>
              <c:numCache>
                <c:formatCode>General</c:formatCode>
                <c:ptCount val="12"/>
                <c:pt idx="0">
                  <c:v>5001</c:v>
                </c:pt>
                <c:pt idx="1">
                  <c:v>3567</c:v>
                </c:pt>
                <c:pt idx="2">
                  <c:v>3277</c:v>
                </c:pt>
                <c:pt idx="3">
                  <c:v>3146</c:v>
                </c:pt>
                <c:pt idx="4">
                  <c:v>3419</c:v>
                </c:pt>
                <c:pt idx="5">
                  <c:v>4346</c:v>
                </c:pt>
                <c:pt idx="6">
                  <c:v>4454</c:v>
                </c:pt>
                <c:pt idx="7">
                  <c:v>3641</c:v>
                </c:pt>
                <c:pt idx="8">
                  <c:v>3614</c:v>
                </c:pt>
                <c:pt idx="9">
                  <c:v>4225</c:v>
                </c:pt>
                <c:pt idx="10">
                  <c:v>6240</c:v>
                </c:pt>
                <c:pt idx="11">
                  <c:v>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B-4C21-881B-AFBFE718C175}"/>
            </c:ext>
          </c:extLst>
        </c:ser>
        <c:ser>
          <c:idx val="2"/>
          <c:order val="2"/>
          <c:tx>
            <c:strRef>
              <c:f>'Calls Answered'!$D$52:$D$53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Answered'!$D$54:$D$66</c:f>
              <c:numCache>
                <c:formatCode>General</c:formatCode>
                <c:ptCount val="12"/>
                <c:pt idx="0">
                  <c:v>4887</c:v>
                </c:pt>
                <c:pt idx="1">
                  <c:v>8692</c:v>
                </c:pt>
                <c:pt idx="2">
                  <c:v>11052</c:v>
                </c:pt>
                <c:pt idx="3">
                  <c:v>17976</c:v>
                </c:pt>
                <c:pt idx="4">
                  <c:v>9417</c:v>
                </c:pt>
                <c:pt idx="5">
                  <c:v>9922</c:v>
                </c:pt>
                <c:pt idx="6">
                  <c:v>9973</c:v>
                </c:pt>
                <c:pt idx="7">
                  <c:v>5866</c:v>
                </c:pt>
                <c:pt idx="8">
                  <c:v>4969</c:v>
                </c:pt>
                <c:pt idx="9">
                  <c:v>5106</c:v>
                </c:pt>
                <c:pt idx="10">
                  <c:v>4683</c:v>
                </c:pt>
                <c:pt idx="11">
                  <c:v>7981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FB-4C21-881B-AFBFE718C175}"/>
            </c:ext>
          </c:extLst>
        </c:ser>
        <c:ser>
          <c:idx val="3"/>
          <c:order val="3"/>
          <c:tx>
            <c:strRef>
              <c:f>'Calls Answered'!$E$52:$E$53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Answered'!$E$54:$E$66</c:f>
              <c:numCache>
                <c:formatCode>General</c:formatCode>
                <c:ptCount val="12"/>
                <c:pt idx="0">
                  <c:v>7617</c:v>
                </c:pt>
                <c:pt idx="1">
                  <c:v>7992</c:v>
                </c:pt>
                <c:pt idx="2">
                  <c:v>4548</c:v>
                </c:pt>
                <c:pt idx="3">
                  <c:v>6548</c:v>
                </c:pt>
                <c:pt idx="4">
                  <c:v>5492</c:v>
                </c:pt>
                <c:pt idx="5">
                  <c:v>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FB-4C21-881B-AFBFE718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507295"/>
        <c:axId val="1490495775"/>
      </c:lineChart>
      <c:catAx>
        <c:axId val="14905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95775"/>
        <c:crosses val="autoZero"/>
        <c:auto val="1"/>
        <c:lblAlgn val="ctr"/>
        <c:lblOffset val="100"/>
        <c:noMultiLvlLbl val="0"/>
      </c:catAx>
      <c:valAx>
        <c:axId val="14904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0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095673189366178"/>
          <c:y val="5.1413881748071976E-3"/>
          <c:w val="8.7420441256724102E-2"/>
          <c:h val="0.901792603688035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66538011092859E-2"/>
          <c:y val="0.23542777104784979"/>
          <c:w val="0.76806817763308122"/>
          <c:h val="0.55856034221683826"/>
        </c:manualLayout>
      </c:layout>
      <c:lineChart>
        <c:grouping val="standard"/>
        <c:varyColors val="0"/>
        <c:ser>
          <c:idx val="0"/>
          <c:order val="0"/>
          <c:tx>
            <c:strRef>
              <c:f>'Calls Answered'!$B$52:$B$53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Answered'!$B$54:$B$66</c:f>
              <c:numCache>
                <c:formatCode>General</c:formatCode>
                <c:ptCount val="12"/>
                <c:pt idx="0">
                  <c:v>5805</c:v>
                </c:pt>
                <c:pt idx="1">
                  <c:v>5372</c:v>
                </c:pt>
                <c:pt idx="2">
                  <c:v>4418</c:v>
                </c:pt>
                <c:pt idx="3">
                  <c:v>4785</c:v>
                </c:pt>
                <c:pt idx="4">
                  <c:v>5379</c:v>
                </c:pt>
                <c:pt idx="5">
                  <c:v>3570</c:v>
                </c:pt>
                <c:pt idx="6">
                  <c:v>5801</c:v>
                </c:pt>
                <c:pt idx="7">
                  <c:v>5889</c:v>
                </c:pt>
                <c:pt idx="8">
                  <c:v>4894</c:v>
                </c:pt>
                <c:pt idx="9">
                  <c:v>6459</c:v>
                </c:pt>
                <c:pt idx="10">
                  <c:v>4788</c:v>
                </c:pt>
                <c:pt idx="11">
                  <c:v>6634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0-4696-9BEB-627A0A4FE107}"/>
            </c:ext>
          </c:extLst>
        </c:ser>
        <c:ser>
          <c:idx val="1"/>
          <c:order val="1"/>
          <c:tx>
            <c:strRef>
              <c:f>'Calls Answered'!$C$52:$C$53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Answered'!$C$54:$C$66</c:f>
              <c:numCache>
                <c:formatCode>General</c:formatCode>
                <c:ptCount val="12"/>
                <c:pt idx="0">
                  <c:v>5001</c:v>
                </c:pt>
                <c:pt idx="1">
                  <c:v>3567</c:v>
                </c:pt>
                <c:pt idx="2">
                  <c:v>3277</c:v>
                </c:pt>
                <c:pt idx="3">
                  <c:v>3146</c:v>
                </c:pt>
                <c:pt idx="4">
                  <c:v>3419</c:v>
                </c:pt>
                <c:pt idx="5">
                  <c:v>4346</c:v>
                </c:pt>
                <c:pt idx="6">
                  <c:v>4454</c:v>
                </c:pt>
                <c:pt idx="7">
                  <c:v>3641</c:v>
                </c:pt>
                <c:pt idx="8">
                  <c:v>3614</c:v>
                </c:pt>
                <c:pt idx="9">
                  <c:v>4225</c:v>
                </c:pt>
                <c:pt idx="10">
                  <c:v>6240</c:v>
                </c:pt>
                <c:pt idx="11">
                  <c:v>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40-4696-9BEB-627A0A4FE107}"/>
            </c:ext>
          </c:extLst>
        </c:ser>
        <c:ser>
          <c:idx val="2"/>
          <c:order val="2"/>
          <c:tx>
            <c:strRef>
              <c:f>'Calls Answered'!$D$52:$D$53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Answered'!$D$54:$D$66</c:f>
              <c:numCache>
                <c:formatCode>General</c:formatCode>
                <c:ptCount val="12"/>
                <c:pt idx="0">
                  <c:v>4887</c:v>
                </c:pt>
                <c:pt idx="1">
                  <c:v>8692</c:v>
                </c:pt>
                <c:pt idx="2">
                  <c:v>11052</c:v>
                </c:pt>
                <c:pt idx="3">
                  <c:v>17976</c:v>
                </c:pt>
                <c:pt idx="4">
                  <c:v>9417</c:v>
                </c:pt>
                <c:pt idx="5">
                  <c:v>9922</c:v>
                </c:pt>
                <c:pt idx="6">
                  <c:v>9973</c:v>
                </c:pt>
                <c:pt idx="7">
                  <c:v>5866</c:v>
                </c:pt>
                <c:pt idx="8">
                  <c:v>4969</c:v>
                </c:pt>
                <c:pt idx="9">
                  <c:v>5106</c:v>
                </c:pt>
                <c:pt idx="10">
                  <c:v>4683</c:v>
                </c:pt>
                <c:pt idx="11">
                  <c:v>7981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40-4696-9BEB-627A0A4FE107}"/>
            </c:ext>
          </c:extLst>
        </c:ser>
        <c:ser>
          <c:idx val="3"/>
          <c:order val="3"/>
          <c:tx>
            <c:strRef>
              <c:f>'Calls Answered'!$E$52:$E$53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Answered'!$E$54:$E$66</c:f>
              <c:numCache>
                <c:formatCode>General</c:formatCode>
                <c:ptCount val="12"/>
                <c:pt idx="0">
                  <c:v>7617</c:v>
                </c:pt>
                <c:pt idx="1">
                  <c:v>7992</c:v>
                </c:pt>
                <c:pt idx="2">
                  <c:v>4548</c:v>
                </c:pt>
                <c:pt idx="3">
                  <c:v>6548</c:v>
                </c:pt>
                <c:pt idx="4">
                  <c:v>5492</c:v>
                </c:pt>
                <c:pt idx="5">
                  <c:v>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40-4696-9BEB-627A0A4FE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507295"/>
        <c:axId val="1490495775"/>
      </c:lineChart>
      <c:catAx>
        <c:axId val="14905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95775"/>
        <c:crosses val="autoZero"/>
        <c:auto val="1"/>
        <c:lblAlgn val="ctr"/>
        <c:lblOffset val="100"/>
        <c:noMultiLvlLbl val="0"/>
      </c:catAx>
      <c:valAx>
        <c:axId val="14904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0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20599759005098"/>
          <c:y val="0"/>
          <c:w val="0.16571264010670467"/>
          <c:h val="0.901792603688035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Answered!PivotTable6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771147824513308E-2"/>
          <c:y val="0.22481044036162146"/>
          <c:w val="0.82930202045097334"/>
          <c:h val="0.56732939632545931"/>
        </c:manualLayout>
      </c:layout>
      <c:lineChart>
        <c:grouping val="standard"/>
        <c:varyColors val="0"/>
        <c:ser>
          <c:idx val="0"/>
          <c:order val="0"/>
          <c:tx>
            <c:strRef>
              <c:f>'Calls Answered'!$Q$52:$Q$53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Answered'!$P$54:$P$66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Answered'!$Q$54:$Q$66</c:f>
              <c:numCache>
                <c:formatCode>#,##0</c:formatCode>
                <c:ptCount val="12"/>
                <c:pt idx="0">
                  <c:v>5468</c:v>
                </c:pt>
                <c:pt idx="1">
                  <c:v>5222</c:v>
                </c:pt>
                <c:pt idx="2">
                  <c:v>4291</c:v>
                </c:pt>
                <c:pt idx="3">
                  <c:v>4680</c:v>
                </c:pt>
                <c:pt idx="4">
                  <c:v>5244</c:v>
                </c:pt>
                <c:pt idx="5">
                  <c:v>3439</c:v>
                </c:pt>
                <c:pt idx="6">
                  <c:v>5522</c:v>
                </c:pt>
                <c:pt idx="7">
                  <c:v>5424</c:v>
                </c:pt>
                <c:pt idx="8">
                  <c:v>4667</c:v>
                </c:pt>
                <c:pt idx="9">
                  <c:v>6101</c:v>
                </c:pt>
                <c:pt idx="10">
                  <c:v>4470</c:v>
                </c:pt>
                <c:pt idx="11">
                  <c:v>6116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7-4B3D-A448-E14F9BD018A1}"/>
            </c:ext>
          </c:extLst>
        </c:ser>
        <c:ser>
          <c:idx val="1"/>
          <c:order val="1"/>
          <c:tx>
            <c:strRef>
              <c:f>'Calls Answered'!$R$52:$R$53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Answered'!$P$54:$P$66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Answered'!$R$54:$R$66</c:f>
              <c:numCache>
                <c:formatCode>#,##0</c:formatCode>
                <c:ptCount val="12"/>
                <c:pt idx="0">
                  <c:v>4586</c:v>
                </c:pt>
                <c:pt idx="1">
                  <c:v>3317</c:v>
                </c:pt>
                <c:pt idx="2">
                  <c:v>3041</c:v>
                </c:pt>
                <c:pt idx="3">
                  <c:v>2969</c:v>
                </c:pt>
                <c:pt idx="4">
                  <c:v>3137</c:v>
                </c:pt>
                <c:pt idx="5">
                  <c:v>3965</c:v>
                </c:pt>
                <c:pt idx="6">
                  <c:v>4061</c:v>
                </c:pt>
                <c:pt idx="7">
                  <c:v>3512</c:v>
                </c:pt>
                <c:pt idx="8">
                  <c:v>3465</c:v>
                </c:pt>
                <c:pt idx="9">
                  <c:v>4031</c:v>
                </c:pt>
                <c:pt idx="10">
                  <c:v>4203</c:v>
                </c:pt>
                <c:pt idx="11">
                  <c:v>5777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87-4B3D-A448-E14F9BD018A1}"/>
            </c:ext>
          </c:extLst>
        </c:ser>
        <c:ser>
          <c:idx val="2"/>
          <c:order val="2"/>
          <c:tx>
            <c:strRef>
              <c:f>'Calls Answered'!$S$52:$S$53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Answered'!$P$54:$P$66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Answered'!$S$54:$S$66</c:f>
              <c:numCache>
                <c:formatCode>#,##0</c:formatCode>
                <c:ptCount val="12"/>
                <c:pt idx="0">
                  <c:v>4542</c:v>
                </c:pt>
                <c:pt idx="1">
                  <c:v>7609</c:v>
                </c:pt>
                <c:pt idx="2">
                  <c:v>7960</c:v>
                </c:pt>
                <c:pt idx="3">
                  <c:v>12164</c:v>
                </c:pt>
                <c:pt idx="4">
                  <c:v>8028</c:v>
                </c:pt>
                <c:pt idx="5">
                  <c:v>8430</c:v>
                </c:pt>
                <c:pt idx="6">
                  <c:v>8008</c:v>
                </c:pt>
                <c:pt idx="7">
                  <c:v>5136</c:v>
                </c:pt>
                <c:pt idx="8">
                  <c:v>4525</c:v>
                </c:pt>
                <c:pt idx="9">
                  <c:v>4544</c:v>
                </c:pt>
                <c:pt idx="10">
                  <c:v>4398</c:v>
                </c:pt>
                <c:pt idx="11">
                  <c:v>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7-4B3D-A448-E14F9BD018A1}"/>
            </c:ext>
          </c:extLst>
        </c:ser>
        <c:ser>
          <c:idx val="3"/>
          <c:order val="3"/>
          <c:tx>
            <c:strRef>
              <c:f>'Calls Answered'!$T$52:$T$53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Answered'!$P$54:$P$66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Answered'!$T$54:$T$66</c:f>
              <c:numCache>
                <c:formatCode>#,##0</c:formatCode>
                <c:ptCount val="12"/>
                <c:pt idx="0">
                  <c:v>7308</c:v>
                </c:pt>
                <c:pt idx="1">
                  <c:v>7735</c:v>
                </c:pt>
                <c:pt idx="2">
                  <c:v>4375</c:v>
                </c:pt>
                <c:pt idx="3">
                  <c:v>6301</c:v>
                </c:pt>
                <c:pt idx="4">
                  <c:v>5318</c:v>
                </c:pt>
                <c:pt idx="5">
                  <c:v>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87-4B3D-A448-E14F9BD01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108096"/>
        <c:axId val="1282095616"/>
      </c:lineChart>
      <c:catAx>
        <c:axId val="128210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95616"/>
        <c:crosses val="autoZero"/>
        <c:auto val="1"/>
        <c:lblAlgn val="ctr"/>
        <c:lblOffset val="100"/>
        <c:noMultiLvlLbl val="0"/>
      </c:catAx>
      <c:valAx>
        <c:axId val="12820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0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504551555009115"/>
          <c:y val="0"/>
          <c:w val="9.7749788964565085E-2"/>
          <c:h val="0.8936574074074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Answered!PivotTable8</c:name>
    <c:fmtId val="19"/>
  </c:pivotSource>
  <c:chart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10620578857699E-2"/>
          <c:y val="0.25307656068666767"/>
          <c:w val="0.80948659980095994"/>
          <c:h val="0.54941045923936682"/>
        </c:manualLayout>
      </c:layout>
      <c:lineChart>
        <c:grouping val="standard"/>
        <c:varyColors val="0"/>
        <c:ser>
          <c:idx val="0"/>
          <c:order val="0"/>
          <c:tx>
            <c:strRef>
              <c:f>'Calls Answered'!$AF$52:$AF$53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Answered'!$AE$54:$AE$66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Answered'!$AF$54:$AF$66</c:f>
              <c:numCache>
                <c:formatCode>0.0%</c:formatCode>
                <c:ptCount val="12"/>
                <c:pt idx="0">
                  <c:v>5.805340223944875E-2</c:v>
                </c:pt>
                <c:pt idx="1">
                  <c:v>2.7922561429635145E-2</c:v>
                </c:pt>
                <c:pt idx="2">
                  <c:v>2.8746038931643278E-2</c:v>
                </c:pt>
                <c:pt idx="3">
                  <c:v>2.1943573667711599E-2</c:v>
                </c:pt>
                <c:pt idx="4">
                  <c:v>2.509760178471835E-2</c:v>
                </c:pt>
                <c:pt idx="5">
                  <c:v>3.6694677871148461E-2</c:v>
                </c:pt>
                <c:pt idx="6">
                  <c:v>4.8095156007584898E-2</c:v>
                </c:pt>
                <c:pt idx="7">
                  <c:v>7.8960774325012736E-2</c:v>
                </c:pt>
                <c:pt idx="8">
                  <c:v>4.6383326522272172E-2</c:v>
                </c:pt>
                <c:pt idx="9">
                  <c:v>5.5426536615575166E-2</c:v>
                </c:pt>
                <c:pt idx="10">
                  <c:v>6.6416040100250623E-2</c:v>
                </c:pt>
                <c:pt idx="11">
                  <c:v>7.8082604763340363E-2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A-4478-9460-3BE50C6A0495}"/>
            </c:ext>
          </c:extLst>
        </c:ser>
        <c:ser>
          <c:idx val="1"/>
          <c:order val="1"/>
          <c:tx>
            <c:strRef>
              <c:f>'Calls Answered'!$AG$52:$AG$53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Answered'!$AE$54:$AE$66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Answered'!$AG$54:$AG$66</c:f>
              <c:numCache>
                <c:formatCode>0.0%</c:formatCode>
                <c:ptCount val="12"/>
                <c:pt idx="0">
                  <c:v>8.2983403319336138E-2</c:v>
                </c:pt>
                <c:pt idx="1">
                  <c:v>7.0086907765629383E-2</c:v>
                </c:pt>
                <c:pt idx="2">
                  <c:v>7.2017088800732376E-2</c:v>
                </c:pt>
                <c:pt idx="3">
                  <c:v>5.6261919898283531E-2</c:v>
                </c:pt>
                <c:pt idx="4">
                  <c:v>8.2480257385200345E-2</c:v>
                </c:pt>
                <c:pt idx="5">
                  <c:v>8.7666820064427053E-2</c:v>
                </c:pt>
                <c:pt idx="6">
                  <c:v>8.8235294117647065E-2</c:v>
                </c:pt>
                <c:pt idx="7">
                  <c:v>3.542982697061247E-2</c:v>
                </c:pt>
                <c:pt idx="8">
                  <c:v>4.1228555617044825E-2</c:v>
                </c:pt>
                <c:pt idx="9">
                  <c:v>4.5917159763313613E-2</c:v>
                </c:pt>
                <c:pt idx="10">
                  <c:v>0.3264423076923077</c:v>
                </c:pt>
                <c:pt idx="11">
                  <c:v>8.6929034297455354E-2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A-4478-9460-3BE50C6A0495}"/>
            </c:ext>
          </c:extLst>
        </c:ser>
        <c:ser>
          <c:idx val="2"/>
          <c:order val="2"/>
          <c:tx>
            <c:strRef>
              <c:f>'Calls Answered'!$AH$52:$AH$53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Answered'!$AE$54:$AE$66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Answered'!$AH$54:$AH$66</c:f>
              <c:numCache>
                <c:formatCode>0.0%</c:formatCode>
                <c:ptCount val="12"/>
                <c:pt idx="0">
                  <c:v>7.0595457335788828E-2</c:v>
                </c:pt>
                <c:pt idx="1">
                  <c:v>0.12459733087896917</c:v>
                </c:pt>
                <c:pt idx="2">
                  <c:v>0.27976836771625047</c:v>
                </c:pt>
                <c:pt idx="3">
                  <c:v>0.32331998219848684</c:v>
                </c:pt>
                <c:pt idx="4">
                  <c:v>0.1474992035680153</c:v>
                </c:pt>
                <c:pt idx="5">
                  <c:v>0.15037290868776457</c:v>
                </c:pt>
                <c:pt idx="6">
                  <c:v>0.19703198636318059</c:v>
                </c:pt>
                <c:pt idx="7">
                  <c:v>0.12444595976815548</c:v>
                </c:pt>
                <c:pt idx="8">
                  <c:v>8.935399476755887E-2</c:v>
                </c:pt>
                <c:pt idx="9">
                  <c:v>0.11006658832745789</c:v>
                </c:pt>
                <c:pt idx="10">
                  <c:v>6.0858424087123636E-2</c:v>
                </c:pt>
                <c:pt idx="11">
                  <c:v>5.2374389174288938E-2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A-4478-9460-3BE50C6A0495}"/>
            </c:ext>
          </c:extLst>
        </c:ser>
        <c:ser>
          <c:idx val="3"/>
          <c:order val="3"/>
          <c:tx>
            <c:strRef>
              <c:f>'Calls Answered'!$AI$52:$AI$53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Answered'!$AE$54:$AE$66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Answered'!$AI$54:$AI$66</c:f>
              <c:numCache>
                <c:formatCode>0.0%</c:formatCode>
                <c:ptCount val="12"/>
                <c:pt idx="0">
                  <c:v>4.0567152422213468E-2</c:v>
                </c:pt>
                <c:pt idx="1">
                  <c:v>3.2157157157157154E-2</c:v>
                </c:pt>
                <c:pt idx="2">
                  <c:v>3.8038698328935798E-2</c:v>
                </c:pt>
                <c:pt idx="3">
                  <c:v>3.7721441661576052E-2</c:v>
                </c:pt>
                <c:pt idx="4">
                  <c:v>3.1682447195921337E-2</c:v>
                </c:pt>
                <c:pt idx="5">
                  <c:v>3.1613976705490848E-2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CA-4478-9460-3BE50C6A0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517744"/>
        <c:axId val="1291518704"/>
      </c:lineChart>
      <c:catAx>
        <c:axId val="129151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18704"/>
        <c:crosses val="autoZero"/>
        <c:auto val="1"/>
        <c:lblAlgn val="ctr"/>
        <c:lblOffset val="100"/>
        <c:noMultiLvlLbl val="0"/>
      </c:catAx>
      <c:valAx>
        <c:axId val="12915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1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28165591830023"/>
          <c:y val="3.3788819162085537E-2"/>
          <c:w val="9.5213694575881025E-2"/>
          <c:h val="0.82360928951433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66538011092859E-2"/>
          <c:y val="0.23542777104784979"/>
          <c:w val="0.83339518203788887"/>
          <c:h val="0.55856034221683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'Calls Answered'!$B$52:$B$53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Answered'!$B$54:$B$66</c:f>
              <c:numCache>
                <c:formatCode>General</c:formatCode>
                <c:ptCount val="12"/>
                <c:pt idx="0">
                  <c:v>5805</c:v>
                </c:pt>
                <c:pt idx="1">
                  <c:v>5372</c:v>
                </c:pt>
                <c:pt idx="2">
                  <c:v>4418</c:v>
                </c:pt>
                <c:pt idx="3">
                  <c:v>4785</c:v>
                </c:pt>
                <c:pt idx="4">
                  <c:v>5379</c:v>
                </c:pt>
                <c:pt idx="5">
                  <c:v>3570</c:v>
                </c:pt>
                <c:pt idx="6">
                  <c:v>5801</c:v>
                </c:pt>
                <c:pt idx="7">
                  <c:v>5889</c:v>
                </c:pt>
                <c:pt idx="8">
                  <c:v>4894</c:v>
                </c:pt>
                <c:pt idx="9">
                  <c:v>6459</c:v>
                </c:pt>
                <c:pt idx="10">
                  <c:v>4788</c:v>
                </c:pt>
                <c:pt idx="11">
                  <c:v>6634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2-4DC0-BE51-89D67AFB2E1F}"/>
            </c:ext>
          </c:extLst>
        </c:ser>
        <c:ser>
          <c:idx val="1"/>
          <c:order val="1"/>
          <c:tx>
            <c:strRef>
              <c:f>'Calls Answered'!$C$52:$C$53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Answered'!$C$54:$C$66</c:f>
              <c:numCache>
                <c:formatCode>General</c:formatCode>
                <c:ptCount val="12"/>
                <c:pt idx="0">
                  <c:v>5001</c:v>
                </c:pt>
                <c:pt idx="1">
                  <c:v>3567</c:v>
                </c:pt>
                <c:pt idx="2">
                  <c:v>3277</c:v>
                </c:pt>
                <c:pt idx="3">
                  <c:v>3146</c:v>
                </c:pt>
                <c:pt idx="4">
                  <c:v>3419</c:v>
                </c:pt>
                <c:pt idx="5">
                  <c:v>4346</c:v>
                </c:pt>
                <c:pt idx="6">
                  <c:v>4454</c:v>
                </c:pt>
                <c:pt idx="7">
                  <c:v>3641</c:v>
                </c:pt>
                <c:pt idx="8">
                  <c:v>3614</c:v>
                </c:pt>
                <c:pt idx="9">
                  <c:v>4225</c:v>
                </c:pt>
                <c:pt idx="10">
                  <c:v>6240</c:v>
                </c:pt>
                <c:pt idx="11">
                  <c:v>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2-4DC0-BE51-89D67AFB2E1F}"/>
            </c:ext>
          </c:extLst>
        </c:ser>
        <c:ser>
          <c:idx val="2"/>
          <c:order val="2"/>
          <c:tx>
            <c:strRef>
              <c:f>'Calls Answered'!$D$52:$D$53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Answered'!$D$54:$D$66</c:f>
              <c:numCache>
                <c:formatCode>General</c:formatCode>
                <c:ptCount val="12"/>
                <c:pt idx="0">
                  <c:v>4887</c:v>
                </c:pt>
                <c:pt idx="1">
                  <c:v>8692</c:v>
                </c:pt>
                <c:pt idx="2">
                  <c:v>11052</c:v>
                </c:pt>
                <c:pt idx="3">
                  <c:v>17976</c:v>
                </c:pt>
                <c:pt idx="4">
                  <c:v>9417</c:v>
                </c:pt>
                <c:pt idx="5">
                  <c:v>9922</c:v>
                </c:pt>
                <c:pt idx="6">
                  <c:v>9973</c:v>
                </c:pt>
                <c:pt idx="7">
                  <c:v>5866</c:v>
                </c:pt>
                <c:pt idx="8">
                  <c:v>4969</c:v>
                </c:pt>
                <c:pt idx="9">
                  <c:v>5106</c:v>
                </c:pt>
                <c:pt idx="10">
                  <c:v>4683</c:v>
                </c:pt>
                <c:pt idx="11">
                  <c:v>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A2-4DC0-BE51-89D67AFB2E1F}"/>
            </c:ext>
          </c:extLst>
        </c:ser>
        <c:ser>
          <c:idx val="3"/>
          <c:order val="3"/>
          <c:tx>
            <c:strRef>
              <c:f>'Calls Answered'!$E$52:$E$53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Answered'!$E$54:$E$66</c:f>
              <c:numCache>
                <c:formatCode>General</c:formatCode>
                <c:ptCount val="12"/>
                <c:pt idx="0">
                  <c:v>7617</c:v>
                </c:pt>
                <c:pt idx="1">
                  <c:v>7992</c:v>
                </c:pt>
                <c:pt idx="2">
                  <c:v>4548</c:v>
                </c:pt>
                <c:pt idx="3">
                  <c:v>6548</c:v>
                </c:pt>
                <c:pt idx="4">
                  <c:v>5492</c:v>
                </c:pt>
                <c:pt idx="5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A2-4DC0-BE51-89D67AFB2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0507295"/>
        <c:axId val="1490495775"/>
      </c:barChart>
      <c:catAx>
        <c:axId val="14905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95775"/>
        <c:crosses val="autoZero"/>
        <c:auto val="1"/>
        <c:lblAlgn val="ctr"/>
        <c:lblOffset val="100"/>
        <c:noMultiLvlLbl val="0"/>
      </c:catAx>
      <c:valAx>
        <c:axId val="14904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0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293100491151478"/>
          <c:y val="5.1413881748071976E-3"/>
          <c:w val="0.10706899508848523"/>
          <c:h val="0.85495681507058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Answered!PivotTable1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66538011092859E-2"/>
          <c:y val="0.23542777104784979"/>
          <c:w val="0.76806817763308122"/>
          <c:h val="0.55856034221683826"/>
        </c:manualLayout>
      </c:layout>
      <c:lineChart>
        <c:grouping val="standard"/>
        <c:varyColors val="0"/>
        <c:ser>
          <c:idx val="0"/>
          <c:order val="0"/>
          <c:tx>
            <c:strRef>
              <c:f>'Calls Answered'!$B$52:$B$53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Answered'!$B$54:$B$66</c:f>
              <c:numCache>
                <c:formatCode>General</c:formatCode>
                <c:ptCount val="12"/>
                <c:pt idx="0">
                  <c:v>5805</c:v>
                </c:pt>
                <c:pt idx="1">
                  <c:v>5372</c:v>
                </c:pt>
                <c:pt idx="2">
                  <c:v>4418</c:v>
                </c:pt>
                <c:pt idx="3">
                  <c:v>4785</c:v>
                </c:pt>
                <c:pt idx="4">
                  <c:v>5379</c:v>
                </c:pt>
                <c:pt idx="5">
                  <c:v>3570</c:v>
                </c:pt>
                <c:pt idx="6">
                  <c:v>5801</c:v>
                </c:pt>
                <c:pt idx="7">
                  <c:v>5889</c:v>
                </c:pt>
                <c:pt idx="8">
                  <c:v>4894</c:v>
                </c:pt>
                <c:pt idx="9">
                  <c:v>6459</c:v>
                </c:pt>
                <c:pt idx="10">
                  <c:v>4788</c:v>
                </c:pt>
                <c:pt idx="11">
                  <c:v>6634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3-444A-93F8-02D9209A012E}"/>
            </c:ext>
          </c:extLst>
        </c:ser>
        <c:ser>
          <c:idx val="1"/>
          <c:order val="1"/>
          <c:tx>
            <c:strRef>
              <c:f>'Calls Answered'!$C$52:$C$53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Answered'!$C$54:$C$66</c:f>
              <c:numCache>
                <c:formatCode>General</c:formatCode>
                <c:ptCount val="12"/>
                <c:pt idx="0">
                  <c:v>5001</c:v>
                </c:pt>
                <c:pt idx="1">
                  <c:v>3567</c:v>
                </c:pt>
                <c:pt idx="2">
                  <c:v>3277</c:v>
                </c:pt>
                <c:pt idx="3">
                  <c:v>3146</c:v>
                </c:pt>
                <c:pt idx="4">
                  <c:v>3419</c:v>
                </c:pt>
                <c:pt idx="5">
                  <c:v>4346</c:v>
                </c:pt>
                <c:pt idx="6">
                  <c:v>4454</c:v>
                </c:pt>
                <c:pt idx="7">
                  <c:v>3641</c:v>
                </c:pt>
                <c:pt idx="8">
                  <c:v>3614</c:v>
                </c:pt>
                <c:pt idx="9">
                  <c:v>4225</c:v>
                </c:pt>
                <c:pt idx="10">
                  <c:v>6240</c:v>
                </c:pt>
                <c:pt idx="11">
                  <c:v>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23-444A-93F8-02D9209A012E}"/>
            </c:ext>
          </c:extLst>
        </c:ser>
        <c:ser>
          <c:idx val="2"/>
          <c:order val="2"/>
          <c:tx>
            <c:strRef>
              <c:f>'Calls Answered'!$D$52:$D$53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Answered'!$D$54:$D$66</c:f>
              <c:numCache>
                <c:formatCode>General</c:formatCode>
                <c:ptCount val="12"/>
                <c:pt idx="0">
                  <c:v>4887</c:v>
                </c:pt>
                <c:pt idx="1">
                  <c:v>8692</c:v>
                </c:pt>
                <c:pt idx="2">
                  <c:v>11052</c:v>
                </c:pt>
                <c:pt idx="3">
                  <c:v>17976</c:v>
                </c:pt>
                <c:pt idx="4">
                  <c:v>9417</c:v>
                </c:pt>
                <c:pt idx="5">
                  <c:v>9922</c:v>
                </c:pt>
                <c:pt idx="6">
                  <c:v>9973</c:v>
                </c:pt>
                <c:pt idx="7">
                  <c:v>5866</c:v>
                </c:pt>
                <c:pt idx="8">
                  <c:v>4969</c:v>
                </c:pt>
                <c:pt idx="9">
                  <c:v>5106</c:v>
                </c:pt>
                <c:pt idx="10">
                  <c:v>4683</c:v>
                </c:pt>
                <c:pt idx="11">
                  <c:v>7981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23-444A-93F8-02D9209A012E}"/>
            </c:ext>
          </c:extLst>
        </c:ser>
        <c:ser>
          <c:idx val="3"/>
          <c:order val="3"/>
          <c:tx>
            <c:strRef>
              <c:f>'Calls Answered'!$E$52:$E$53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Answered'!$E$54:$E$66</c:f>
              <c:numCache>
                <c:formatCode>General</c:formatCode>
                <c:ptCount val="12"/>
                <c:pt idx="0">
                  <c:v>7617</c:v>
                </c:pt>
                <c:pt idx="1">
                  <c:v>7992</c:v>
                </c:pt>
                <c:pt idx="2">
                  <c:v>4548</c:v>
                </c:pt>
                <c:pt idx="3">
                  <c:v>6548</c:v>
                </c:pt>
                <c:pt idx="4">
                  <c:v>5492</c:v>
                </c:pt>
                <c:pt idx="5">
                  <c:v>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23-444A-93F8-02D9209A0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507295"/>
        <c:axId val="1490495775"/>
      </c:lineChart>
      <c:catAx>
        <c:axId val="14905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95775"/>
        <c:crosses val="autoZero"/>
        <c:auto val="1"/>
        <c:lblAlgn val="ctr"/>
        <c:lblOffset val="100"/>
        <c:noMultiLvlLbl val="0"/>
      </c:catAx>
      <c:valAx>
        <c:axId val="14904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0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20599759005098"/>
          <c:y val="0"/>
          <c:w val="0.16571264010670467"/>
          <c:h val="0.901792603688035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Answered!PivotTable6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771147824513308E-2"/>
          <c:y val="0.22481044036162146"/>
          <c:w val="0.85726711124469757"/>
          <c:h val="0.56732939632545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'Calls Answered'!$Q$52:$Q$53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'Calls Answered'!$P$54:$P$66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Answered'!$Q$54:$Q$66</c:f>
              <c:numCache>
                <c:formatCode>#,##0</c:formatCode>
                <c:ptCount val="12"/>
                <c:pt idx="0">
                  <c:v>5468</c:v>
                </c:pt>
                <c:pt idx="1">
                  <c:v>5222</c:v>
                </c:pt>
                <c:pt idx="2">
                  <c:v>4291</c:v>
                </c:pt>
                <c:pt idx="3">
                  <c:v>4680</c:v>
                </c:pt>
                <c:pt idx="4">
                  <c:v>5244</c:v>
                </c:pt>
                <c:pt idx="5">
                  <c:v>3439</c:v>
                </c:pt>
                <c:pt idx="6">
                  <c:v>5522</c:v>
                </c:pt>
                <c:pt idx="7">
                  <c:v>5424</c:v>
                </c:pt>
                <c:pt idx="8">
                  <c:v>4667</c:v>
                </c:pt>
                <c:pt idx="9">
                  <c:v>6101</c:v>
                </c:pt>
                <c:pt idx="10">
                  <c:v>4470</c:v>
                </c:pt>
                <c:pt idx="11">
                  <c:v>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0-44C0-8129-95931F1D82BE}"/>
            </c:ext>
          </c:extLst>
        </c:ser>
        <c:ser>
          <c:idx val="1"/>
          <c:order val="1"/>
          <c:tx>
            <c:strRef>
              <c:f>'Calls Answered'!$R$52:$R$53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'Calls Answered'!$P$54:$P$66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Answered'!$R$54:$R$66</c:f>
              <c:numCache>
                <c:formatCode>#,##0</c:formatCode>
                <c:ptCount val="12"/>
                <c:pt idx="0">
                  <c:v>4586</c:v>
                </c:pt>
                <c:pt idx="1">
                  <c:v>3317</c:v>
                </c:pt>
                <c:pt idx="2">
                  <c:v>3041</c:v>
                </c:pt>
                <c:pt idx="3">
                  <c:v>2969</c:v>
                </c:pt>
                <c:pt idx="4">
                  <c:v>3137</c:v>
                </c:pt>
                <c:pt idx="5">
                  <c:v>3965</c:v>
                </c:pt>
                <c:pt idx="6">
                  <c:v>4061</c:v>
                </c:pt>
                <c:pt idx="7">
                  <c:v>3512</c:v>
                </c:pt>
                <c:pt idx="8">
                  <c:v>3465</c:v>
                </c:pt>
                <c:pt idx="9">
                  <c:v>4031</c:v>
                </c:pt>
                <c:pt idx="10">
                  <c:v>4203</c:v>
                </c:pt>
                <c:pt idx="11">
                  <c:v>5777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0-44C0-8129-95931F1D82BE}"/>
            </c:ext>
          </c:extLst>
        </c:ser>
        <c:ser>
          <c:idx val="2"/>
          <c:order val="2"/>
          <c:tx>
            <c:strRef>
              <c:f>'Calls Answered'!$S$52:$S$53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'Calls Answered'!$P$54:$P$66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Answered'!$S$54:$S$66</c:f>
              <c:numCache>
                <c:formatCode>#,##0</c:formatCode>
                <c:ptCount val="12"/>
                <c:pt idx="0">
                  <c:v>4542</c:v>
                </c:pt>
                <c:pt idx="1">
                  <c:v>7609</c:v>
                </c:pt>
                <c:pt idx="2">
                  <c:v>7960</c:v>
                </c:pt>
                <c:pt idx="3">
                  <c:v>12164</c:v>
                </c:pt>
                <c:pt idx="4">
                  <c:v>8028</c:v>
                </c:pt>
                <c:pt idx="5">
                  <c:v>8430</c:v>
                </c:pt>
                <c:pt idx="6">
                  <c:v>8008</c:v>
                </c:pt>
                <c:pt idx="7">
                  <c:v>5136</c:v>
                </c:pt>
                <c:pt idx="8">
                  <c:v>4525</c:v>
                </c:pt>
                <c:pt idx="9">
                  <c:v>4544</c:v>
                </c:pt>
                <c:pt idx="10">
                  <c:v>4398</c:v>
                </c:pt>
                <c:pt idx="11">
                  <c:v>7563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0-44C0-8129-95931F1D82BE}"/>
            </c:ext>
          </c:extLst>
        </c:ser>
        <c:ser>
          <c:idx val="3"/>
          <c:order val="3"/>
          <c:tx>
            <c:strRef>
              <c:f>'Calls Answered'!$T$52:$T$53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'Calls Answered'!$P$54:$P$66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Answered'!$T$54:$T$66</c:f>
              <c:numCache>
                <c:formatCode>#,##0</c:formatCode>
                <c:ptCount val="12"/>
                <c:pt idx="0">
                  <c:v>7308</c:v>
                </c:pt>
                <c:pt idx="1">
                  <c:v>7735</c:v>
                </c:pt>
                <c:pt idx="2">
                  <c:v>4375</c:v>
                </c:pt>
                <c:pt idx="3">
                  <c:v>6301</c:v>
                </c:pt>
                <c:pt idx="4">
                  <c:v>5318</c:v>
                </c:pt>
                <c:pt idx="5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0-44C0-8129-95931F1D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2108096"/>
        <c:axId val="1282095616"/>
      </c:barChart>
      <c:catAx>
        <c:axId val="128210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95616"/>
        <c:crosses val="autoZero"/>
        <c:auto val="1"/>
        <c:lblAlgn val="ctr"/>
        <c:lblOffset val="100"/>
        <c:noMultiLvlLbl val="0"/>
      </c:catAx>
      <c:valAx>
        <c:axId val="12820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0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503306181452836"/>
          <c:y val="0"/>
          <c:w val="9.4966938185471722E-2"/>
          <c:h val="0.8890177252554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Answered!PivotTable8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10620578857699E-2"/>
          <c:y val="0.25307656068666767"/>
          <c:w val="0.84104119699654711"/>
          <c:h val="0.549410459239366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'Calls Answered'!$AF$52:$AF$53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'Calls Answered'!$AE$54:$AE$66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Answered'!$AF$54:$AF$66</c:f>
              <c:numCache>
                <c:formatCode>0.0%</c:formatCode>
                <c:ptCount val="12"/>
                <c:pt idx="0">
                  <c:v>5.805340223944875E-2</c:v>
                </c:pt>
                <c:pt idx="1">
                  <c:v>2.7922561429635145E-2</c:v>
                </c:pt>
                <c:pt idx="2">
                  <c:v>2.8746038931643278E-2</c:v>
                </c:pt>
                <c:pt idx="3">
                  <c:v>2.1943573667711599E-2</c:v>
                </c:pt>
                <c:pt idx="4">
                  <c:v>2.509760178471835E-2</c:v>
                </c:pt>
                <c:pt idx="5">
                  <c:v>3.6694677871148461E-2</c:v>
                </c:pt>
                <c:pt idx="6">
                  <c:v>4.8095156007584898E-2</c:v>
                </c:pt>
                <c:pt idx="7">
                  <c:v>7.8960774325012736E-2</c:v>
                </c:pt>
                <c:pt idx="8">
                  <c:v>4.6383326522272172E-2</c:v>
                </c:pt>
                <c:pt idx="9">
                  <c:v>5.5426536615575166E-2</c:v>
                </c:pt>
                <c:pt idx="10">
                  <c:v>6.6416040100250623E-2</c:v>
                </c:pt>
                <c:pt idx="11">
                  <c:v>7.8082604763340363E-2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3-4C71-8993-1E973D11D4C4}"/>
            </c:ext>
          </c:extLst>
        </c:ser>
        <c:ser>
          <c:idx val="1"/>
          <c:order val="1"/>
          <c:tx>
            <c:strRef>
              <c:f>'Calls Answered'!$AG$52:$AG$53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'Calls Answered'!$AE$54:$AE$66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Answered'!$AG$54:$AG$66</c:f>
              <c:numCache>
                <c:formatCode>0.0%</c:formatCode>
                <c:ptCount val="12"/>
                <c:pt idx="0">
                  <c:v>8.2983403319336138E-2</c:v>
                </c:pt>
                <c:pt idx="1">
                  <c:v>7.0086907765629383E-2</c:v>
                </c:pt>
                <c:pt idx="2">
                  <c:v>7.2017088800732376E-2</c:v>
                </c:pt>
                <c:pt idx="3">
                  <c:v>5.6261919898283531E-2</c:v>
                </c:pt>
                <c:pt idx="4">
                  <c:v>8.2480257385200345E-2</c:v>
                </c:pt>
                <c:pt idx="5">
                  <c:v>8.7666820064427053E-2</c:v>
                </c:pt>
                <c:pt idx="6">
                  <c:v>8.8235294117647065E-2</c:v>
                </c:pt>
                <c:pt idx="7">
                  <c:v>3.542982697061247E-2</c:v>
                </c:pt>
                <c:pt idx="8">
                  <c:v>4.1228555617044825E-2</c:v>
                </c:pt>
                <c:pt idx="9">
                  <c:v>4.5917159763313613E-2</c:v>
                </c:pt>
                <c:pt idx="10">
                  <c:v>0.3264423076923077</c:v>
                </c:pt>
                <c:pt idx="11">
                  <c:v>8.6929034297455354E-2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3-4C71-8993-1E973D11D4C4}"/>
            </c:ext>
          </c:extLst>
        </c:ser>
        <c:ser>
          <c:idx val="2"/>
          <c:order val="2"/>
          <c:tx>
            <c:strRef>
              <c:f>'Calls Answered'!$AH$52:$AH$53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'Calls Answered'!$AE$54:$AE$66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Answered'!$AH$54:$AH$66</c:f>
              <c:numCache>
                <c:formatCode>0.0%</c:formatCode>
                <c:ptCount val="12"/>
                <c:pt idx="0">
                  <c:v>7.0595457335788828E-2</c:v>
                </c:pt>
                <c:pt idx="1">
                  <c:v>0.12459733087896917</c:v>
                </c:pt>
                <c:pt idx="2">
                  <c:v>0.27976836771625047</c:v>
                </c:pt>
                <c:pt idx="3">
                  <c:v>0.32331998219848684</c:v>
                </c:pt>
                <c:pt idx="4">
                  <c:v>0.1474992035680153</c:v>
                </c:pt>
                <c:pt idx="5">
                  <c:v>0.15037290868776457</c:v>
                </c:pt>
                <c:pt idx="6">
                  <c:v>0.19703198636318059</c:v>
                </c:pt>
                <c:pt idx="7">
                  <c:v>0.12444595976815548</c:v>
                </c:pt>
                <c:pt idx="8">
                  <c:v>8.935399476755887E-2</c:v>
                </c:pt>
                <c:pt idx="9">
                  <c:v>0.11006658832745789</c:v>
                </c:pt>
                <c:pt idx="10">
                  <c:v>6.0858424087123636E-2</c:v>
                </c:pt>
                <c:pt idx="11">
                  <c:v>5.2374389174288938E-2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3-4C71-8993-1E973D11D4C4}"/>
            </c:ext>
          </c:extLst>
        </c:ser>
        <c:ser>
          <c:idx val="3"/>
          <c:order val="3"/>
          <c:tx>
            <c:strRef>
              <c:f>'Calls Answered'!$AI$52:$AI$53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'Calls Answered'!$AE$54:$AE$66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'Calls Answered'!$AI$54:$AI$66</c:f>
              <c:numCache>
                <c:formatCode>0.0%</c:formatCode>
                <c:ptCount val="12"/>
                <c:pt idx="0">
                  <c:v>4.0567152422213468E-2</c:v>
                </c:pt>
                <c:pt idx="1">
                  <c:v>3.2157157157157154E-2</c:v>
                </c:pt>
                <c:pt idx="2">
                  <c:v>3.8038698328935798E-2</c:v>
                </c:pt>
                <c:pt idx="3">
                  <c:v>3.7721441661576052E-2</c:v>
                </c:pt>
                <c:pt idx="4">
                  <c:v>3.1682447195921337E-2</c:v>
                </c:pt>
                <c:pt idx="5">
                  <c:v>3.1613976705490848E-2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3-4C71-8993-1E973D11D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1517744"/>
        <c:axId val="1291518704"/>
      </c:barChart>
      <c:catAx>
        <c:axId val="129151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18704"/>
        <c:crosses val="autoZero"/>
        <c:auto val="1"/>
        <c:lblAlgn val="ctr"/>
        <c:lblOffset val="100"/>
        <c:noMultiLvlLbl val="0"/>
      </c:catAx>
      <c:valAx>
        <c:axId val="12915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1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699395290205898"/>
          <c:y val="3.3788819162085537E-2"/>
          <c:w val="9.3006047097941066E-2"/>
          <c:h val="0.81813531400826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Answered!PivotTable13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65821711599381E-2"/>
              <c:y val="-6.543796720422685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494936556334413E-2"/>
              <c:y val="-4.4942174845149445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891087500916815"/>
                  <c:h val="8.3522718304647289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0807295759595083E-2"/>
              <c:y val="-3.8026982316358378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032086812868255E-2"/>
              <c:y val="-2.1074657722835607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4940075161446926E-2"/>
              <c:y val="-9.2109868420558148E-3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569183806759641E-3"/>
              <c:y val="-4.740357400820608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2786710184865025E-2"/>
              <c:y val="-9.1450956537119914E-3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'Calls Answered'!$AY$31:$AY$32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48D-4DC2-8CE1-F7A608A818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8D-4DC2-8CE1-F7A608A818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48D-4DC2-8CE1-F7A608A818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8D-4DC2-8CE1-F7A608A818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48D-4DC2-8CE1-F7A608A818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48D-4DC2-8CE1-F7A608A818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8D-4DC2-8CE1-F7A608A81883}"/>
              </c:ext>
            </c:extLst>
          </c:dPt>
          <c:dLbls>
            <c:dLbl>
              <c:idx val="0"/>
              <c:layout>
                <c:manualLayout>
                  <c:x val="1.0807295759595083E-2"/>
                  <c:y val="-3.802698231635837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8D-4DC2-8CE1-F7A608A81883}"/>
                </c:ext>
              </c:extLst>
            </c:dLbl>
            <c:dLbl>
              <c:idx val="1"/>
              <c:layout>
                <c:manualLayout>
                  <c:x val="1.4032086812868255E-2"/>
                  <c:y val="-2.107465772283560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8D-4DC2-8CE1-F7A608A81883}"/>
                </c:ext>
              </c:extLst>
            </c:dLbl>
            <c:dLbl>
              <c:idx val="2"/>
              <c:layout>
                <c:manualLayout>
                  <c:x val="-3.4940075161446926E-2"/>
                  <c:y val="-9.2109868420558148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8D-4DC2-8CE1-F7A608A81883}"/>
                </c:ext>
              </c:extLst>
            </c:dLbl>
            <c:dLbl>
              <c:idx val="3"/>
              <c:layout>
                <c:manualLayout>
                  <c:x val="4.9569183806759641E-3"/>
                  <c:y val="-4.740357400820608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8D-4DC2-8CE1-F7A608A81883}"/>
                </c:ext>
              </c:extLst>
            </c:dLbl>
            <c:dLbl>
              <c:idx val="4"/>
              <c:layout>
                <c:manualLayout>
                  <c:x val="4.2786710184865025E-2"/>
                  <c:y val="-9.1450956537119914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8D-4DC2-8CE1-F7A608A81883}"/>
                </c:ext>
              </c:extLst>
            </c:dLbl>
            <c:dLbl>
              <c:idx val="5"/>
              <c:layout>
                <c:manualLayout>
                  <c:x val="3.065821711599381E-2"/>
                  <c:y val="-6.543796720422685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8D-4DC2-8CE1-F7A608A81883}"/>
                </c:ext>
              </c:extLst>
            </c:dLbl>
            <c:dLbl>
              <c:idx val="6"/>
              <c:layout>
                <c:manualLayout>
                  <c:x val="-3.0494936556334413E-2"/>
                  <c:y val="-4.4942174845149445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891087500916815"/>
                      <c:h val="8.3522718304647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48D-4DC2-8CE1-F7A608A8188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'Calls Answered'!$AX$33:$AX$40</c:f>
              <c:strCache>
                <c:ptCount val="7"/>
                <c:pt idx="0">
                  <c:v>50%</c:v>
                </c:pt>
                <c:pt idx="1">
                  <c:v>51%-59%</c:v>
                </c:pt>
                <c:pt idx="2">
                  <c:v>60%-69%</c:v>
                </c:pt>
                <c:pt idx="3">
                  <c:v>70-79%</c:v>
                </c:pt>
                <c:pt idx="4">
                  <c:v>80%-89%</c:v>
                </c:pt>
                <c:pt idx="5">
                  <c:v>90%-98%</c:v>
                </c:pt>
                <c:pt idx="6">
                  <c:v>99%</c:v>
                </c:pt>
              </c:strCache>
            </c:strRef>
          </c:cat>
          <c:val>
            <c:numRef>
              <c:f>'Calls Answered'!$AY$33:$AY$40</c:f>
              <c:numCache>
                <c:formatCode>General</c:formatCode>
                <c:ptCount val="7"/>
                <c:pt idx="0">
                  <c:v>729</c:v>
                </c:pt>
                <c:pt idx="1">
                  <c:v>945</c:v>
                </c:pt>
                <c:pt idx="2">
                  <c:v>1200</c:v>
                </c:pt>
                <c:pt idx="3">
                  <c:v>2227</c:v>
                </c:pt>
                <c:pt idx="4">
                  <c:v>7078</c:v>
                </c:pt>
                <c:pt idx="5">
                  <c:v>7802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D-4DC2-8CE1-F7A608A81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00993479255505"/>
          <c:y val="9.7489896475673243E-2"/>
          <c:w val="0.25435640391593933"/>
          <c:h val="0.86753967062924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Data.xlsx]Calls Answered!PivotTable3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'Calls Answered'!$CI$8:$CI$9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Answered'!$CH$10:$CH$106</c:f>
              <c:strCache>
                <c:ptCount val="96"/>
                <c:pt idx="0">
                  <c:v>3/1/2024</c:v>
                </c:pt>
                <c:pt idx="1">
                  <c:v>3/2/2024</c:v>
                </c:pt>
                <c:pt idx="2">
                  <c:v>3/3/2024</c:v>
                </c:pt>
                <c:pt idx="3">
                  <c:v>3/4/2024</c:v>
                </c:pt>
                <c:pt idx="4">
                  <c:v>3/5/2024</c:v>
                </c:pt>
                <c:pt idx="5">
                  <c:v>3/6/2024</c:v>
                </c:pt>
                <c:pt idx="6">
                  <c:v>3/7/2024</c:v>
                </c:pt>
                <c:pt idx="7">
                  <c:v>3/8/2024</c:v>
                </c:pt>
                <c:pt idx="8">
                  <c:v>3/9/2024</c:v>
                </c:pt>
                <c:pt idx="9">
                  <c:v>3/10/2024</c:v>
                </c:pt>
                <c:pt idx="10">
                  <c:v>3/11/2024</c:v>
                </c:pt>
                <c:pt idx="11">
                  <c:v>3/12/2024</c:v>
                </c:pt>
                <c:pt idx="12">
                  <c:v>3/13/2024</c:v>
                </c:pt>
                <c:pt idx="13">
                  <c:v>3/14/2024</c:v>
                </c:pt>
                <c:pt idx="14">
                  <c:v>3/15/2024</c:v>
                </c:pt>
                <c:pt idx="15">
                  <c:v>3/16/2024</c:v>
                </c:pt>
                <c:pt idx="16">
                  <c:v>3/17/2024</c:v>
                </c:pt>
                <c:pt idx="17">
                  <c:v>3/18/2024</c:v>
                </c:pt>
                <c:pt idx="18">
                  <c:v>3/19/2024</c:v>
                </c:pt>
                <c:pt idx="19">
                  <c:v>3/20/2024</c:v>
                </c:pt>
                <c:pt idx="20">
                  <c:v>3/21/2024</c:v>
                </c:pt>
                <c:pt idx="21">
                  <c:v>3/22/2024</c:v>
                </c:pt>
                <c:pt idx="22">
                  <c:v>3/23/2024</c:v>
                </c:pt>
                <c:pt idx="23">
                  <c:v>3/24/2024</c:v>
                </c:pt>
                <c:pt idx="24">
                  <c:v>3/25/2024</c:v>
                </c:pt>
                <c:pt idx="25">
                  <c:v>3/26/2024</c:v>
                </c:pt>
                <c:pt idx="26">
                  <c:v>3/27/2024</c:v>
                </c:pt>
                <c:pt idx="27">
                  <c:v>3/28/2024</c:v>
                </c:pt>
                <c:pt idx="28">
                  <c:v>3/29/2024</c:v>
                </c:pt>
                <c:pt idx="29">
                  <c:v>3/30/2024</c:v>
                </c:pt>
                <c:pt idx="30">
                  <c:v>3/31/2024</c:v>
                </c:pt>
                <c:pt idx="31">
                  <c:v>4/1/2024</c:v>
                </c:pt>
                <c:pt idx="32">
                  <c:v>4/2/2024</c:v>
                </c:pt>
                <c:pt idx="33">
                  <c:v>4/3/2024</c:v>
                </c:pt>
                <c:pt idx="34">
                  <c:v>4/4/2024</c:v>
                </c:pt>
                <c:pt idx="35">
                  <c:v>4/5/2024</c:v>
                </c:pt>
                <c:pt idx="36">
                  <c:v>4/6/2024</c:v>
                </c:pt>
                <c:pt idx="37">
                  <c:v>4/7/2024</c:v>
                </c:pt>
                <c:pt idx="38">
                  <c:v>4/8/2024</c:v>
                </c:pt>
                <c:pt idx="39">
                  <c:v>4/9/2024</c:v>
                </c:pt>
                <c:pt idx="40">
                  <c:v>4/10/2024</c:v>
                </c:pt>
                <c:pt idx="41">
                  <c:v>4/11/2024</c:v>
                </c:pt>
                <c:pt idx="42">
                  <c:v>4/12/2024</c:v>
                </c:pt>
                <c:pt idx="43">
                  <c:v>4/13/2024</c:v>
                </c:pt>
                <c:pt idx="44">
                  <c:v>4/14/2024</c:v>
                </c:pt>
                <c:pt idx="45">
                  <c:v>4/15/2024</c:v>
                </c:pt>
                <c:pt idx="46">
                  <c:v>4/16/2024</c:v>
                </c:pt>
                <c:pt idx="47">
                  <c:v>4/17/2024</c:v>
                </c:pt>
                <c:pt idx="48">
                  <c:v>4/18/2024</c:v>
                </c:pt>
                <c:pt idx="49">
                  <c:v>4/19/2024</c:v>
                </c:pt>
                <c:pt idx="50">
                  <c:v>4/20/2024</c:v>
                </c:pt>
                <c:pt idx="51">
                  <c:v>4/21/2024</c:v>
                </c:pt>
                <c:pt idx="52">
                  <c:v>4/22/2024</c:v>
                </c:pt>
                <c:pt idx="53">
                  <c:v>4/23/2024</c:v>
                </c:pt>
                <c:pt idx="54">
                  <c:v>4/24/2024</c:v>
                </c:pt>
                <c:pt idx="55">
                  <c:v>4/25/2024</c:v>
                </c:pt>
                <c:pt idx="56">
                  <c:v>4/26/2024</c:v>
                </c:pt>
                <c:pt idx="57">
                  <c:v>4/27/2024</c:v>
                </c:pt>
                <c:pt idx="58">
                  <c:v>4/28/2024</c:v>
                </c:pt>
                <c:pt idx="59">
                  <c:v>4/29/2024</c:v>
                </c:pt>
                <c:pt idx="60">
                  <c:v>4/30/2024</c:v>
                </c:pt>
                <c:pt idx="61">
                  <c:v>5/1/2024</c:v>
                </c:pt>
                <c:pt idx="62">
                  <c:v>5/2/2024</c:v>
                </c:pt>
                <c:pt idx="63">
                  <c:v>5/3/2024</c:v>
                </c:pt>
                <c:pt idx="64">
                  <c:v>5/4/2024</c:v>
                </c:pt>
                <c:pt idx="65">
                  <c:v>5/5/2024</c:v>
                </c:pt>
                <c:pt idx="66">
                  <c:v>5/6/2024</c:v>
                </c:pt>
                <c:pt idx="67">
                  <c:v>5/7/2024</c:v>
                </c:pt>
                <c:pt idx="68">
                  <c:v>5/8/2024</c:v>
                </c:pt>
                <c:pt idx="69">
                  <c:v>5/9/2024</c:v>
                </c:pt>
                <c:pt idx="70">
                  <c:v>5/10/2024</c:v>
                </c:pt>
                <c:pt idx="71">
                  <c:v>5/11/2024</c:v>
                </c:pt>
                <c:pt idx="72">
                  <c:v>5/12/2024</c:v>
                </c:pt>
                <c:pt idx="73">
                  <c:v>5/13/2024</c:v>
                </c:pt>
                <c:pt idx="74">
                  <c:v>5/14/2024</c:v>
                </c:pt>
                <c:pt idx="75">
                  <c:v>5/15/2024</c:v>
                </c:pt>
                <c:pt idx="76">
                  <c:v>5/16/2024</c:v>
                </c:pt>
                <c:pt idx="77">
                  <c:v>5/17/2024</c:v>
                </c:pt>
                <c:pt idx="78">
                  <c:v>5/18/2024</c:v>
                </c:pt>
                <c:pt idx="79">
                  <c:v>5/19/2024</c:v>
                </c:pt>
                <c:pt idx="80">
                  <c:v>5/20/2024</c:v>
                </c:pt>
                <c:pt idx="81">
                  <c:v>5/21/2024</c:v>
                </c:pt>
                <c:pt idx="82">
                  <c:v>5/22/2024</c:v>
                </c:pt>
                <c:pt idx="83">
                  <c:v>5/23/2024</c:v>
                </c:pt>
                <c:pt idx="84">
                  <c:v>5/24/2024</c:v>
                </c:pt>
                <c:pt idx="85">
                  <c:v>5/25/2024</c:v>
                </c:pt>
                <c:pt idx="86">
                  <c:v>5/26/2024</c:v>
                </c:pt>
                <c:pt idx="87">
                  <c:v>5/27/2024</c:v>
                </c:pt>
                <c:pt idx="88">
                  <c:v>5/28/2024</c:v>
                </c:pt>
                <c:pt idx="89">
                  <c:v>5/29/2024</c:v>
                </c:pt>
                <c:pt idx="90">
                  <c:v>5/30/2024</c:v>
                </c:pt>
                <c:pt idx="91">
                  <c:v>5/31/2024</c:v>
                </c:pt>
                <c:pt idx="92">
                  <c:v>6/1/2024</c:v>
                </c:pt>
                <c:pt idx="93">
                  <c:v>6/2/2024</c:v>
                </c:pt>
                <c:pt idx="94">
                  <c:v>6/3/2024</c:v>
                </c:pt>
                <c:pt idx="95">
                  <c:v>6/4/2024</c:v>
                </c:pt>
              </c:strCache>
            </c:strRef>
          </c:cat>
          <c:val>
            <c:numRef>
              <c:f>'Calls Answered'!$CI$10:$CI$106</c:f>
              <c:numCache>
                <c:formatCode>General</c:formatCode>
                <c:ptCount val="96"/>
                <c:pt idx="0">
                  <c:v>241</c:v>
                </c:pt>
                <c:pt idx="1">
                  <c:v>280</c:v>
                </c:pt>
                <c:pt idx="2">
                  <c:v>294</c:v>
                </c:pt>
                <c:pt idx="3">
                  <c:v>290</c:v>
                </c:pt>
                <c:pt idx="4">
                  <c:v>32</c:v>
                </c:pt>
                <c:pt idx="5">
                  <c:v>270</c:v>
                </c:pt>
                <c:pt idx="6">
                  <c:v>212</c:v>
                </c:pt>
                <c:pt idx="7">
                  <c:v>246</c:v>
                </c:pt>
                <c:pt idx="8">
                  <c:v>194</c:v>
                </c:pt>
                <c:pt idx="9">
                  <c:v>179</c:v>
                </c:pt>
                <c:pt idx="10">
                  <c:v>67</c:v>
                </c:pt>
                <c:pt idx="11">
                  <c:v>27</c:v>
                </c:pt>
                <c:pt idx="12">
                  <c:v>190</c:v>
                </c:pt>
                <c:pt idx="13">
                  <c:v>213</c:v>
                </c:pt>
                <c:pt idx="14">
                  <c:v>208</c:v>
                </c:pt>
                <c:pt idx="15">
                  <c:v>166</c:v>
                </c:pt>
                <c:pt idx="16">
                  <c:v>169</c:v>
                </c:pt>
                <c:pt idx="17">
                  <c:v>175</c:v>
                </c:pt>
                <c:pt idx="18">
                  <c:v>43</c:v>
                </c:pt>
                <c:pt idx="19">
                  <c:v>24</c:v>
                </c:pt>
                <c:pt idx="20">
                  <c:v>26</c:v>
                </c:pt>
                <c:pt idx="21">
                  <c:v>42</c:v>
                </c:pt>
                <c:pt idx="22">
                  <c:v>37</c:v>
                </c:pt>
                <c:pt idx="23">
                  <c:v>60</c:v>
                </c:pt>
                <c:pt idx="24">
                  <c:v>82</c:v>
                </c:pt>
                <c:pt idx="25">
                  <c:v>31</c:v>
                </c:pt>
                <c:pt idx="26">
                  <c:v>178</c:v>
                </c:pt>
                <c:pt idx="27">
                  <c:v>183</c:v>
                </c:pt>
                <c:pt idx="28">
                  <c:v>39</c:v>
                </c:pt>
                <c:pt idx="29">
                  <c:v>170</c:v>
                </c:pt>
                <c:pt idx="3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D-4380-9A07-C55E2B3B9CA4}"/>
            </c:ext>
          </c:extLst>
        </c:ser>
        <c:ser>
          <c:idx val="1"/>
          <c:order val="1"/>
          <c:tx>
            <c:strRef>
              <c:f>'Calls Answered'!$CJ$8:$CJ$9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Answered'!$CH$10:$CH$106</c:f>
              <c:strCache>
                <c:ptCount val="96"/>
                <c:pt idx="0">
                  <c:v>3/1/2024</c:v>
                </c:pt>
                <c:pt idx="1">
                  <c:v>3/2/2024</c:v>
                </c:pt>
                <c:pt idx="2">
                  <c:v>3/3/2024</c:v>
                </c:pt>
                <c:pt idx="3">
                  <c:v>3/4/2024</c:v>
                </c:pt>
                <c:pt idx="4">
                  <c:v>3/5/2024</c:v>
                </c:pt>
                <c:pt idx="5">
                  <c:v>3/6/2024</c:v>
                </c:pt>
                <c:pt idx="6">
                  <c:v>3/7/2024</c:v>
                </c:pt>
                <c:pt idx="7">
                  <c:v>3/8/2024</c:v>
                </c:pt>
                <c:pt idx="8">
                  <c:v>3/9/2024</c:v>
                </c:pt>
                <c:pt idx="9">
                  <c:v>3/10/2024</c:v>
                </c:pt>
                <c:pt idx="10">
                  <c:v>3/11/2024</c:v>
                </c:pt>
                <c:pt idx="11">
                  <c:v>3/12/2024</c:v>
                </c:pt>
                <c:pt idx="12">
                  <c:v>3/13/2024</c:v>
                </c:pt>
                <c:pt idx="13">
                  <c:v>3/14/2024</c:v>
                </c:pt>
                <c:pt idx="14">
                  <c:v>3/15/2024</c:v>
                </c:pt>
                <c:pt idx="15">
                  <c:v>3/16/2024</c:v>
                </c:pt>
                <c:pt idx="16">
                  <c:v>3/17/2024</c:v>
                </c:pt>
                <c:pt idx="17">
                  <c:v>3/18/2024</c:v>
                </c:pt>
                <c:pt idx="18">
                  <c:v>3/19/2024</c:v>
                </c:pt>
                <c:pt idx="19">
                  <c:v>3/20/2024</c:v>
                </c:pt>
                <c:pt idx="20">
                  <c:v>3/21/2024</c:v>
                </c:pt>
                <c:pt idx="21">
                  <c:v>3/22/2024</c:v>
                </c:pt>
                <c:pt idx="22">
                  <c:v>3/23/2024</c:v>
                </c:pt>
                <c:pt idx="23">
                  <c:v>3/24/2024</c:v>
                </c:pt>
                <c:pt idx="24">
                  <c:v>3/25/2024</c:v>
                </c:pt>
                <c:pt idx="25">
                  <c:v>3/26/2024</c:v>
                </c:pt>
                <c:pt idx="26">
                  <c:v>3/27/2024</c:v>
                </c:pt>
                <c:pt idx="27">
                  <c:v>3/28/2024</c:v>
                </c:pt>
                <c:pt idx="28">
                  <c:v>3/29/2024</c:v>
                </c:pt>
                <c:pt idx="29">
                  <c:v>3/30/2024</c:v>
                </c:pt>
                <c:pt idx="30">
                  <c:v>3/31/2024</c:v>
                </c:pt>
                <c:pt idx="31">
                  <c:v>4/1/2024</c:v>
                </c:pt>
                <c:pt idx="32">
                  <c:v>4/2/2024</c:v>
                </c:pt>
                <c:pt idx="33">
                  <c:v>4/3/2024</c:v>
                </c:pt>
                <c:pt idx="34">
                  <c:v>4/4/2024</c:v>
                </c:pt>
                <c:pt idx="35">
                  <c:v>4/5/2024</c:v>
                </c:pt>
                <c:pt idx="36">
                  <c:v>4/6/2024</c:v>
                </c:pt>
                <c:pt idx="37">
                  <c:v>4/7/2024</c:v>
                </c:pt>
                <c:pt idx="38">
                  <c:v>4/8/2024</c:v>
                </c:pt>
                <c:pt idx="39">
                  <c:v>4/9/2024</c:v>
                </c:pt>
                <c:pt idx="40">
                  <c:v>4/10/2024</c:v>
                </c:pt>
                <c:pt idx="41">
                  <c:v>4/11/2024</c:v>
                </c:pt>
                <c:pt idx="42">
                  <c:v>4/12/2024</c:v>
                </c:pt>
                <c:pt idx="43">
                  <c:v>4/13/2024</c:v>
                </c:pt>
                <c:pt idx="44">
                  <c:v>4/14/2024</c:v>
                </c:pt>
                <c:pt idx="45">
                  <c:v>4/15/2024</c:v>
                </c:pt>
                <c:pt idx="46">
                  <c:v>4/16/2024</c:v>
                </c:pt>
                <c:pt idx="47">
                  <c:v>4/17/2024</c:v>
                </c:pt>
                <c:pt idx="48">
                  <c:v>4/18/2024</c:v>
                </c:pt>
                <c:pt idx="49">
                  <c:v>4/19/2024</c:v>
                </c:pt>
                <c:pt idx="50">
                  <c:v>4/20/2024</c:v>
                </c:pt>
                <c:pt idx="51">
                  <c:v>4/21/2024</c:v>
                </c:pt>
                <c:pt idx="52">
                  <c:v>4/22/2024</c:v>
                </c:pt>
                <c:pt idx="53">
                  <c:v>4/23/2024</c:v>
                </c:pt>
                <c:pt idx="54">
                  <c:v>4/24/2024</c:v>
                </c:pt>
                <c:pt idx="55">
                  <c:v>4/25/2024</c:v>
                </c:pt>
                <c:pt idx="56">
                  <c:v>4/26/2024</c:v>
                </c:pt>
                <c:pt idx="57">
                  <c:v>4/27/2024</c:v>
                </c:pt>
                <c:pt idx="58">
                  <c:v>4/28/2024</c:v>
                </c:pt>
                <c:pt idx="59">
                  <c:v>4/29/2024</c:v>
                </c:pt>
                <c:pt idx="60">
                  <c:v>4/30/2024</c:v>
                </c:pt>
                <c:pt idx="61">
                  <c:v>5/1/2024</c:v>
                </c:pt>
                <c:pt idx="62">
                  <c:v>5/2/2024</c:v>
                </c:pt>
                <c:pt idx="63">
                  <c:v>5/3/2024</c:v>
                </c:pt>
                <c:pt idx="64">
                  <c:v>5/4/2024</c:v>
                </c:pt>
                <c:pt idx="65">
                  <c:v>5/5/2024</c:v>
                </c:pt>
                <c:pt idx="66">
                  <c:v>5/6/2024</c:v>
                </c:pt>
                <c:pt idx="67">
                  <c:v>5/7/2024</c:v>
                </c:pt>
                <c:pt idx="68">
                  <c:v>5/8/2024</c:v>
                </c:pt>
                <c:pt idx="69">
                  <c:v>5/9/2024</c:v>
                </c:pt>
                <c:pt idx="70">
                  <c:v>5/10/2024</c:v>
                </c:pt>
                <c:pt idx="71">
                  <c:v>5/11/2024</c:v>
                </c:pt>
                <c:pt idx="72">
                  <c:v>5/12/2024</c:v>
                </c:pt>
                <c:pt idx="73">
                  <c:v>5/13/2024</c:v>
                </c:pt>
                <c:pt idx="74">
                  <c:v>5/14/2024</c:v>
                </c:pt>
                <c:pt idx="75">
                  <c:v>5/15/2024</c:v>
                </c:pt>
                <c:pt idx="76">
                  <c:v>5/16/2024</c:v>
                </c:pt>
                <c:pt idx="77">
                  <c:v>5/17/2024</c:v>
                </c:pt>
                <c:pt idx="78">
                  <c:v>5/18/2024</c:v>
                </c:pt>
                <c:pt idx="79">
                  <c:v>5/19/2024</c:v>
                </c:pt>
                <c:pt idx="80">
                  <c:v>5/20/2024</c:v>
                </c:pt>
                <c:pt idx="81">
                  <c:v>5/21/2024</c:v>
                </c:pt>
                <c:pt idx="82">
                  <c:v>5/22/2024</c:v>
                </c:pt>
                <c:pt idx="83">
                  <c:v>5/23/2024</c:v>
                </c:pt>
                <c:pt idx="84">
                  <c:v>5/24/2024</c:v>
                </c:pt>
                <c:pt idx="85">
                  <c:v>5/25/2024</c:v>
                </c:pt>
                <c:pt idx="86">
                  <c:v>5/26/2024</c:v>
                </c:pt>
                <c:pt idx="87">
                  <c:v>5/27/2024</c:v>
                </c:pt>
                <c:pt idx="88">
                  <c:v>5/28/2024</c:v>
                </c:pt>
                <c:pt idx="89">
                  <c:v>5/29/2024</c:v>
                </c:pt>
                <c:pt idx="90">
                  <c:v>5/30/2024</c:v>
                </c:pt>
                <c:pt idx="91">
                  <c:v>5/31/2024</c:v>
                </c:pt>
                <c:pt idx="92">
                  <c:v>6/1/2024</c:v>
                </c:pt>
                <c:pt idx="93">
                  <c:v>6/2/2024</c:v>
                </c:pt>
                <c:pt idx="94">
                  <c:v>6/3/2024</c:v>
                </c:pt>
                <c:pt idx="95">
                  <c:v>6/4/2024</c:v>
                </c:pt>
              </c:strCache>
            </c:strRef>
          </c:cat>
          <c:val>
            <c:numRef>
              <c:f>'Calls Answered'!$CJ$10:$CJ$106</c:f>
              <c:numCache>
                <c:formatCode>General</c:formatCode>
                <c:ptCount val="96"/>
                <c:pt idx="31">
                  <c:v>24</c:v>
                </c:pt>
                <c:pt idx="32">
                  <c:v>7</c:v>
                </c:pt>
                <c:pt idx="33">
                  <c:v>181</c:v>
                </c:pt>
                <c:pt idx="34">
                  <c:v>209</c:v>
                </c:pt>
                <c:pt idx="35">
                  <c:v>180</c:v>
                </c:pt>
                <c:pt idx="36">
                  <c:v>221</c:v>
                </c:pt>
                <c:pt idx="37">
                  <c:v>254</c:v>
                </c:pt>
                <c:pt idx="38">
                  <c:v>627</c:v>
                </c:pt>
                <c:pt idx="39">
                  <c:v>167</c:v>
                </c:pt>
                <c:pt idx="40">
                  <c:v>599</c:v>
                </c:pt>
                <c:pt idx="41">
                  <c:v>304</c:v>
                </c:pt>
                <c:pt idx="42">
                  <c:v>267</c:v>
                </c:pt>
                <c:pt idx="43">
                  <c:v>286</c:v>
                </c:pt>
                <c:pt idx="44">
                  <c:v>196</c:v>
                </c:pt>
                <c:pt idx="45">
                  <c:v>191</c:v>
                </c:pt>
                <c:pt idx="46">
                  <c:v>60</c:v>
                </c:pt>
                <c:pt idx="47">
                  <c:v>215</c:v>
                </c:pt>
                <c:pt idx="48">
                  <c:v>221</c:v>
                </c:pt>
                <c:pt idx="49">
                  <c:v>201</c:v>
                </c:pt>
                <c:pt idx="50">
                  <c:v>205</c:v>
                </c:pt>
                <c:pt idx="51">
                  <c:v>201</c:v>
                </c:pt>
                <c:pt idx="52">
                  <c:v>140</c:v>
                </c:pt>
                <c:pt idx="53">
                  <c:v>29</c:v>
                </c:pt>
                <c:pt idx="54">
                  <c:v>398</c:v>
                </c:pt>
                <c:pt idx="55">
                  <c:v>255</c:v>
                </c:pt>
                <c:pt idx="56">
                  <c:v>283</c:v>
                </c:pt>
                <c:pt idx="57">
                  <c:v>230</c:v>
                </c:pt>
                <c:pt idx="58">
                  <c:v>185</c:v>
                </c:pt>
                <c:pt idx="59">
                  <c:v>197</c:v>
                </c:pt>
                <c:pt idx="6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AD-4380-9A07-C55E2B3B9CA4}"/>
            </c:ext>
          </c:extLst>
        </c:ser>
        <c:ser>
          <c:idx val="2"/>
          <c:order val="2"/>
          <c:tx>
            <c:strRef>
              <c:f>'Calls Answered'!$CK$8:$CK$9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Answered'!$CH$10:$CH$106</c:f>
              <c:strCache>
                <c:ptCount val="96"/>
                <c:pt idx="0">
                  <c:v>3/1/2024</c:v>
                </c:pt>
                <c:pt idx="1">
                  <c:v>3/2/2024</c:v>
                </c:pt>
                <c:pt idx="2">
                  <c:v>3/3/2024</c:v>
                </c:pt>
                <c:pt idx="3">
                  <c:v>3/4/2024</c:v>
                </c:pt>
                <c:pt idx="4">
                  <c:v>3/5/2024</c:v>
                </c:pt>
                <c:pt idx="5">
                  <c:v>3/6/2024</c:v>
                </c:pt>
                <c:pt idx="6">
                  <c:v>3/7/2024</c:v>
                </c:pt>
                <c:pt idx="7">
                  <c:v>3/8/2024</c:v>
                </c:pt>
                <c:pt idx="8">
                  <c:v>3/9/2024</c:v>
                </c:pt>
                <c:pt idx="9">
                  <c:v>3/10/2024</c:v>
                </c:pt>
                <c:pt idx="10">
                  <c:v>3/11/2024</c:v>
                </c:pt>
                <c:pt idx="11">
                  <c:v>3/12/2024</c:v>
                </c:pt>
                <c:pt idx="12">
                  <c:v>3/13/2024</c:v>
                </c:pt>
                <c:pt idx="13">
                  <c:v>3/14/2024</c:v>
                </c:pt>
                <c:pt idx="14">
                  <c:v>3/15/2024</c:v>
                </c:pt>
                <c:pt idx="15">
                  <c:v>3/16/2024</c:v>
                </c:pt>
                <c:pt idx="16">
                  <c:v>3/17/2024</c:v>
                </c:pt>
                <c:pt idx="17">
                  <c:v>3/18/2024</c:v>
                </c:pt>
                <c:pt idx="18">
                  <c:v>3/19/2024</c:v>
                </c:pt>
                <c:pt idx="19">
                  <c:v>3/20/2024</c:v>
                </c:pt>
                <c:pt idx="20">
                  <c:v>3/21/2024</c:v>
                </c:pt>
                <c:pt idx="21">
                  <c:v>3/22/2024</c:v>
                </c:pt>
                <c:pt idx="22">
                  <c:v>3/23/2024</c:v>
                </c:pt>
                <c:pt idx="23">
                  <c:v>3/24/2024</c:v>
                </c:pt>
                <c:pt idx="24">
                  <c:v>3/25/2024</c:v>
                </c:pt>
                <c:pt idx="25">
                  <c:v>3/26/2024</c:v>
                </c:pt>
                <c:pt idx="26">
                  <c:v>3/27/2024</c:v>
                </c:pt>
                <c:pt idx="27">
                  <c:v>3/28/2024</c:v>
                </c:pt>
                <c:pt idx="28">
                  <c:v>3/29/2024</c:v>
                </c:pt>
                <c:pt idx="29">
                  <c:v>3/30/2024</c:v>
                </c:pt>
                <c:pt idx="30">
                  <c:v>3/31/2024</c:v>
                </c:pt>
                <c:pt idx="31">
                  <c:v>4/1/2024</c:v>
                </c:pt>
                <c:pt idx="32">
                  <c:v>4/2/2024</c:v>
                </c:pt>
                <c:pt idx="33">
                  <c:v>4/3/2024</c:v>
                </c:pt>
                <c:pt idx="34">
                  <c:v>4/4/2024</c:v>
                </c:pt>
                <c:pt idx="35">
                  <c:v>4/5/2024</c:v>
                </c:pt>
                <c:pt idx="36">
                  <c:v>4/6/2024</c:v>
                </c:pt>
                <c:pt idx="37">
                  <c:v>4/7/2024</c:v>
                </c:pt>
                <c:pt idx="38">
                  <c:v>4/8/2024</c:v>
                </c:pt>
                <c:pt idx="39">
                  <c:v>4/9/2024</c:v>
                </c:pt>
                <c:pt idx="40">
                  <c:v>4/10/2024</c:v>
                </c:pt>
                <c:pt idx="41">
                  <c:v>4/11/2024</c:v>
                </c:pt>
                <c:pt idx="42">
                  <c:v>4/12/2024</c:v>
                </c:pt>
                <c:pt idx="43">
                  <c:v>4/13/2024</c:v>
                </c:pt>
                <c:pt idx="44">
                  <c:v>4/14/2024</c:v>
                </c:pt>
                <c:pt idx="45">
                  <c:v>4/15/2024</c:v>
                </c:pt>
                <c:pt idx="46">
                  <c:v>4/16/2024</c:v>
                </c:pt>
                <c:pt idx="47">
                  <c:v>4/17/2024</c:v>
                </c:pt>
                <c:pt idx="48">
                  <c:v>4/18/2024</c:v>
                </c:pt>
                <c:pt idx="49">
                  <c:v>4/19/2024</c:v>
                </c:pt>
                <c:pt idx="50">
                  <c:v>4/20/2024</c:v>
                </c:pt>
                <c:pt idx="51">
                  <c:v>4/21/2024</c:v>
                </c:pt>
                <c:pt idx="52">
                  <c:v>4/22/2024</c:v>
                </c:pt>
                <c:pt idx="53">
                  <c:v>4/23/2024</c:v>
                </c:pt>
                <c:pt idx="54">
                  <c:v>4/24/2024</c:v>
                </c:pt>
                <c:pt idx="55">
                  <c:v>4/25/2024</c:v>
                </c:pt>
                <c:pt idx="56">
                  <c:v>4/26/2024</c:v>
                </c:pt>
                <c:pt idx="57">
                  <c:v>4/27/2024</c:v>
                </c:pt>
                <c:pt idx="58">
                  <c:v>4/28/2024</c:v>
                </c:pt>
                <c:pt idx="59">
                  <c:v>4/29/2024</c:v>
                </c:pt>
                <c:pt idx="60">
                  <c:v>4/30/2024</c:v>
                </c:pt>
                <c:pt idx="61">
                  <c:v>5/1/2024</c:v>
                </c:pt>
                <c:pt idx="62">
                  <c:v>5/2/2024</c:v>
                </c:pt>
                <c:pt idx="63">
                  <c:v>5/3/2024</c:v>
                </c:pt>
                <c:pt idx="64">
                  <c:v>5/4/2024</c:v>
                </c:pt>
                <c:pt idx="65">
                  <c:v>5/5/2024</c:v>
                </c:pt>
                <c:pt idx="66">
                  <c:v>5/6/2024</c:v>
                </c:pt>
                <c:pt idx="67">
                  <c:v>5/7/2024</c:v>
                </c:pt>
                <c:pt idx="68">
                  <c:v>5/8/2024</c:v>
                </c:pt>
                <c:pt idx="69">
                  <c:v>5/9/2024</c:v>
                </c:pt>
                <c:pt idx="70">
                  <c:v>5/10/2024</c:v>
                </c:pt>
                <c:pt idx="71">
                  <c:v>5/11/2024</c:v>
                </c:pt>
                <c:pt idx="72">
                  <c:v>5/12/2024</c:v>
                </c:pt>
                <c:pt idx="73">
                  <c:v>5/13/2024</c:v>
                </c:pt>
                <c:pt idx="74">
                  <c:v>5/14/2024</c:v>
                </c:pt>
                <c:pt idx="75">
                  <c:v>5/15/2024</c:v>
                </c:pt>
                <c:pt idx="76">
                  <c:v>5/16/2024</c:v>
                </c:pt>
                <c:pt idx="77">
                  <c:v>5/17/2024</c:v>
                </c:pt>
                <c:pt idx="78">
                  <c:v>5/18/2024</c:v>
                </c:pt>
                <c:pt idx="79">
                  <c:v>5/19/2024</c:v>
                </c:pt>
                <c:pt idx="80">
                  <c:v>5/20/2024</c:v>
                </c:pt>
                <c:pt idx="81">
                  <c:v>5/21/2024</c:v>
                </c:pt>
                <c:pt idx="82">
                  <c:v>5/22/2024</c:v>
                </c:pt>
                <c:pt idx="83">
                  <c:v>5/23/2024</c:v>
                </c:pt>
                <c:pt idx="84">
                  <c:v>5/24/2024</c:v>
                </c:pt>
                <c:pt idx="85">
                  <c:v>5/25/2024</c:v>
                </c:pt>
                <c:pt idx="86">
                  <c:v>5/26/2024</c:v>
                </c:pt>
                <c:pt idx="87">
                  <c:v>5/27/2024</c:v>
                </c:pt>
                <c:pt idx="88">
                  <c:v>5/28/2024</c:v>
                </c:pt>
                <c:pt idx="89">
                  <c:v>5/29/2024</c:v>
                </c:pt>
                <c:pt idx="90">
                  <c:v>5/30/2024</c:v>
                </c:pt>
                <c:pt idx="91">
                  <c:v>5/31/2024</c:v>
                </c:pt>
                <c:pt idx="92">
                  <c:v>6/1/2024</c:v>
                </c:pt>
                <c:pt idx="93">
                  <c:v>6/2/2024</c:v>
                </c:pt>
                <c:pt idx="94">
                  <c:v>6/3/2024</c:v>
                </c:pt>
                <c:pt idx="95">
                  <c:v>6/4/2024</c:v>
                </c:pt>
              </c:strCache>
            </c:strRef>
          </c:cat>
          <c:val>
            <c:numRef>
              <c:f>'Calls Answered'!$CK$10:$CK$106</c:f>
              <c:numCache>
                <c:formatCode>General</c:formatCode>
                <c:ptCount val="96"/>
                <c:pt idx="61">
                  <c:v>230</c:v>
                </c:pt>
                <c:pt idx="62">
                  <c:v>232</c:v>
                </c:pt>
                <c:pt idx="63">
                  <c:v>237</c:v>
                </c:pt>
                <c:pt idx="64">
                  <c:v>42</c:v>
                </c:pt>
                <c:pt idx="65">
                  <c:v>215</c:v>
                </c:pt>
                <c:pt idx="66">
                  <c:v>153</c:v>
                </c:pt>
                <c:pt idx="67">
                  <c:v>39</c:v>
                </c:pt>
                <c:pt idx="68">
                  <c:v>334</c:v>
                </c:pt>
                <c:pt idx="69">
                  <c:v>236</c:v>
                </c:pt>
                <c:pt idx="70">
                  <c:v>186</c:v>
                </c:pt>
                <c:pt idx="71">
                  <c:v>202</c:v>
                </c:pt>
                <c:pt idx="72">
                  <c:v>185</c:v>
                </c:pt>
                <c:pt idx="73">
                  <c:v>38</c:v>
                </c:pt>
                <c:pt idx="74">
                  <c:v>25</c:v>
                </c:pt>
                <c:pt idx="75">
                  <c:v>203</c:v>
                </c:pt>
                <c:pt idx="76">
                  <c:v>296</c:v>
                </c:pt>
                <c:pt idx="77">
                  <c:v>233</c:v>
                </c:pt>
                <c:pt idx="78">
                  <c:v>198</c:v>
                </c:pt>
                <c:pt idx="79">
                  <c:v>181</c:v>
                </c:pt>
                <c:pt idx="80">
                  <c:v>166</c:v>
                </c:pt>
                <c:pt idx="81">
                  <c:v>19</c:v>
                </c:pt>
                <c:pt idx="82">
                  <c:v>196</c:v>
                </c:pt>
                <c:pt idx="83">
                  <c:v>176</c:v>
                </c:pt>
                <c:pt idx="84">
                  <c:v>221</c:v>
                </c:pt>
                <c:pt idx="85">
                  <c:v>196</c:v>
                </c:pt>
                <c:pt idx="86">
                  <c:v>211</c:v>
                </c:pt>
                <c:pt idx="87">
                  <c:v>201</c:v>
                </c:pt>
                <c:pt idx="88">
                  <c:v>23</c:v>
                </c:pt>
                <c:pt idx="89">
                  <c:v>225</c:v>
                </c:pt>
                <c:pt idx="90">
                  <c:v>202</c:v>
                </c:pt>
                <c:pt idx="91">
                  <c:v>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AD-4380-9A07-C55E2B3B9CA4}"/>
            </c:ext>
          </c:extLst>
        </c:ser>
        <c:ser>
          <c:idx val="3"/>
          <c:order val="3"/>
          <c:tx>
            <c:strRef>
              <c:f>'Calls Answered'!$CL$8:$CL$9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'Calls Answered'!$CH$10:$CH$106</c:f>
              <c:strCache>
                <c:ptCount val="96"/>
                <c:pt idx="0">
                  <c:v>3/1/2024</c:v>
                </c:pt>
                <c:pt idx="1">
                  <c:v>3/2/2024</c:v>
                </c:pt>
                <c:pt idx="2">
                  <c:v>3/3/2024</c:v>
                </c:pt>
                <c:pt idx="3">
                  <c:v>3/4/2024</c:v>
                </c:pt>
                <c:pt idx="4">
                  <c:v>3/5/2024</c:v>
                </c:pt>
                <c:pt idx="5">
                  <c:v>3/6/2024</c:v>
                </c:pt>
                <c:pt idx="6">
                  <c:v>3/7/2024</c:v>
                </c:pt>
                <c:pt idx="7">
                  <c:v>3/8/2024</c:v>
                </c:pt>
                <c:pt idx="8">
                  <c:v>3/9/2024</c:v>
                </c:pt>
                <c:pt idx="9">
                  <c:v>3/10/2024</c:v>
                </c:pt>
                <c:pt idx="10">
                  <c:v>3/11/2024</c:v>
                </c:pt>
                <c:pt idx="11">
                  <c:v>3/12/2024</c:v>
                </c:pt>
                <c:pt idx="12">
                  <c:v>3/13/2024</c:v>
                </c:pt>
                <c:pt idx="13">
                  <c:v>3/14/2024</c:v>
                </c:pt>
                <c:pt idx="14">
                  <c:v>3/15/2024</c:v>
                </c:pt>
                <c:pt idx="15">
                  <c:v>3/16/2024</c:v>
                </c:pt>
                <c:pt idx="16">
                  <c:v>3/17/2024</c:v>
                </c:pt>
                <c:pt idx="17">
                  <c:v>3/18/2024</c:v>
                </c:pt>
                <c:pt idx="18">
                  <c:v>3/19/2024</c:v>
                </c:pt>
                <c:pt idx="19">
                  <c:v>3/20/2024</c:v>
                </c:pt>
                <c:pt idx="20">
                  <c:v>3/21/2024</c:v>
                </c:pt>
                <c:pt idx="21">
                  <c:v>3/22/2024</c:v>
                </c:pt>
                <c:pt idx="22">
                  <c:v>3/23/2024</c:v>
                </c:pt>
                <c:pt idx="23">
                  <c:v>3/24/2024</c:v>
                </c:pt>
                <c:pt idx="24">
                  <c:v>3/25/2024</c:v>
                </c:pt>
                <c:pt idx="25">
                  <c:v>3/26/2024</c:v>
                </c:pt>
                <c:pt idx="26">
                  <c:v>3/27/2024</c:v>
                </c:pt>
                <c:pt idx="27">
                  <c:v>3/28/2024</c:v>
                </c:pt>
                <c:pt idx="28">
                  <c:v>3/29/2024</c:v>
                </c:pt>
                <c:pt idx="29">
                  <c:v>3/30/2024</c:v>
                </c:pt>
                <c:pt idx="30">
                  <c:v>3/31/2024</c:v>
                </c:pt>
                <c:pt idx="31">
                  <c:v>4/1/2024</c:v>
                </c:pt>
                <c:pt idx="32">
                  <c:v>4/2/2024</c:v>
                </c:pt>
                <c:pt idx="33">
                  <c:v>4/3/2024</c:v>
                </c:pt>
                <c:pt idx="34">
                  <c:v>4/4/2024</c:v>
                </c:pt>
                <c:pt idx="35">
                  <c:v>4/5/2024</c:v>
                </c:pt>
                <c:pt idx="36">
                  <c:v>4/6/2024</c:v>
                </c:pt>
                <c:pt idx="37">
                  <c:v>4/7/2024</c:v>
                </c:pt>
                <c:pt idx="38">
                  <c:v>4/8/2024</c:v>
                </c:pt>
                <c:pt idx="39">
                  <c:v>4/9/2024</c:v>
                </c:pt>
                <c:pt idx="40">
                  <c:v>4/10/2024</c:v>
                </c:pt>
                <c:pt idx="41">
                  <c:v>4/11/2024</c:v>
                </c:pt>
                <c:pt idx="42">
                  <c:v>4/12/2024</c:v>
                </c:pt>
                <c:pt idx="43">
                  <c:v>4/13/2024</c:v>
                </c:pt>
                <c:pt idx="44">
                  <c:v>4/14/2024</c:v>
                </c:pt>
                <c:pt idx="45">
                  <c:v>4/15/2024</c:v>
                </c:pt>
                <c:pt idx="46">
                  <c:v>4/16/2024</c:v>
                </c:pt>
                <c:pt idx="47">
                  <c:v>4/17/2024</c:v>
                </c:pt>
                <c:pt idx="48">
                  <c:v>4/18/2024</c:v>
                </c:pt>
                <c:pt idx="49">
                  <c:v>4/19/2024</c:v>
                </c:pt>
                <c:pt idx="50">
                  <c:v>4/20/2024</c:v>
                </c:pt>
                <c:pt idx="51">
                  <c:v>4/21/2024</c:v>
                </c:pt>
                <c:pt idx="52">
                  <c:v>4/22/2024</c:v>
                </c:pt>
                <c:pt idx="53">
                  <c:v>4/23/2024</c:v>
                </c:pt>
                <c:pt idx="54">
                  <c:v>4/24/2024</c:v>
                </c:pt>
                <c:pt idx="55">
                  <c:v>4/25/2024</c:v>
                </c:pt>
                <c:pt idx="56">
                  <c:v>4/26/2024</c:v>
                </c:pt>
                <c:pt idx="57">
                  <c:v>4/27/2024</c:v>
                </c:pt>
                <c:pt idx="58">
                  <c:v>4/28/2024</c:v>
                </c:pt>
                <c:pt idx="59">
                  <c:v>4/29/2024</c:v>
                </c:pt>
                <c:pt idx="60">
                  <c:v>4/30/2024</c:v>
                </c:pt>
                <c:pt idx="61">
                  <c:v>5/1/2024</c:v>
                </c:pt>
                <c:pt idx="62">
                  <c:v>5/2/2024</c:v>
                </c:pt>
                <c:pt idx="63">
                  <c:v>5/3/2024</c:v>
                </c:pt>
                <c:pt idx="64">
                  <c:v>5/4/2024</c:v>
                </c:pt>
                <c:pt idx="65">
                  <c:v>5/5/2024</c:v>
                </c:pt>
                <c:pt idx="66">
                  <c:v>5/6/2024</c:v>
                </c:pt>
                <c:pt idx="67">
                  <c:v>5/7/2024</c:v>
                </c:pt>
                <c:pt idx="68">
                  <c:v>5/8/2024</c:v>
                </c:pt>
                <c:pt idx="69">
                  <c:v>5/9/2024</c:v>
                </c:pt>
                <c:pt idx="70">
                  <c:v>5/10/2024</c:v>
                </c:pt>
                <c:pt idx="71">
                  <c:v>5/11/2024</c:v>
                </c:pt>
                <c:pt idx="72">
                  <c:v>5/12/2024</c:v>
                </c:pt>
                <c:pt idx="73">
                  <c:v>5/13/2024</c:v>
                </c:pt>
                <c:pt idx="74">
                  <c:v>5/14/2024</c:v>
                </c:pt>
                <c:pt idx="75">
                  <c:v>5/15/2024</c:v>
                </c:pt>
                <c:pt idx="76">
                  <c:v>5/16/2024</c:v>
                </c:pt>
                <c:pt idx="77">
                  <c:v>5/17/2024</c:v>
                </c:pt>
                <c:pt idx="78">
                  <c:v>5/18/2024</c:v>
                </c:pt>
                <c:pt idx="79">
                  <c:v>5/19/2024</c:v>
                </c:pt>
                <c:pt idx="80">
                  <c:v>5/20/2024</c:v>
                </c:pt>
                <c:pt idx="81">
                  <c:v>5/21/2024</c:v>
                </c:pt>
                <c:pt idx="82">
                  <c:v>5/22/2024</c:v>
                </c:pt>
                <c:pt idx="83">
                  <c:v>5/23/2024</c:v>
                </c:pt>
                <c:pt idx="84">
                  <c:v>5/24/2024</c:v>
                </c:pt>
                <c:pt idx="85">
                  <c:v>5/25/2024</c:v>
                </c:pt>
                <c:pt idx="86">
                  <c:v>5/26/2024</c:v>
                </c:pt>
                <c:pt idx="87">
                  <c:v>5/27/2024</c:v>
                </c:pt>
                <c:pt idx="88">
                  <c:v>5/28/2024</c:v>
                </c:pt>
                <c:pt idx="89">
                  <c:v>5/29/2024</c:v>
                </c:pt>
                <c:pt idx="90">
                  <c:v>5/30/2024</c:v>
                </c:pt>
                <c:pt idx="91">
                  <c:v>5/31/2024</c:v>
                </c:pt>
                <c:pt idx="92">
                  <c:v>6/1/2024</c:v>
                </c:pt>
                <c:pt idx="93">
                  <c:v>6/2/2024</c:v>
                </c:pt>
                <c:pt idx="94">
                  <c:v>6/3/2024</c:v>
                </c:pt>
                <c:pt idx="95">
                  <c:v>6/4/2024</c:v>
                </c:pt>
              </c:strCache>
            </c:strRef>
          </c:cat>
          <c:val>
            <c:numRef>
              <c:f>'Calls Answered'!$CL$10:$CL$106</c:f>
              <c:numCache>
                <c:formatCode>General</c:formatCode>
                <c:ptCount val="96"/>
                <c:pt idx="92">
                  <c:v>212</c:v>
                </c:pt>
                <c:pt idx="93">
                  <c:v>210</c:v>
                </c:pt>
                <c:pt idx="94">
                  <c:v>167</c:v>
                </c:pt>
                <c:pt idx="9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AD-4380-9A07-C55E2B3B9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247904"/>
        <c:axId val="1378451328"/>
      </c:lineChart>
      <c:catAx>
        <c:axId val="145324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451328"/>
        <c:crosses val="autoZero"/>
        <c:auto val="1"/>
        <c:lblAlgn val="ctr"/>
        <c:lblOffset val="100"/>
        <c:noMultiLvlLbl val="0"/>
      </c:catAx>
      <c:valAx>
        <c:axId val="137845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4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 Speed!PivotTable10</c:name>
    <c:fmtId val="9"/>
  </c:pivotSource>
  <c:chart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448093050623804E-2"/>
          <c:y val="0.24216337964441606"/>
          <c:w val="0.85712997783260558"/>
          <c:h val="0.5576784240924092"/>
        </c:manualLayout>
      </c:layout>
      <c:lineChart>
        <c:grouping val="standard"/>
        <c:varyColors val="0"/>
        <c:ser>
          <c:idx val="0"/>
          <c:order val="0"/>
          <c:tx>
            <c:strRef>
              <c:f>'Call Speed'!$B$53:$B$54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'Call Speed'!$A$55:$A$67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 Speed'!$B$55:$B$67</c:f>
              <c:numCache>
                <c:formatCode>0</c:formatCode>
                <c:ptCount val="12"/>
                <c:pt idx="0">
                  <c:v>15.157278712509152</c:v>
                </c:pt>
                <c:pt idx="1">
                  <c:v>12.963040980467252</c:v>
                </c:pt>
                <c:pt idx="2">
                  <c:v>10.972267536704731</c:v>
                </c:pt>
                <c:pt idx="3">
                  <c:v>11.162393162393158</c:v>
                </c:pt>
                <c:pt idx="4">
                  <c:v>15.194317315026696</c:v>
                </c:pt>
                <c:pt idx="5">
                  <c:v>18.643210235533587</c:v>
                </c:pt>
                <c:pt idx="6">
                  <c:v>20.171858022455634</c:v>
                </c:pt>
                <c:pt idx="7">
                  <c:v>24.352876106194692</c:v>
                </c:pt>
                <c:pt idx="8">
                  <c:v>21.152560531390616</c:v>
                </c:pt>
                <c:pt idx="9">
                  <c:v>24.660711358793641</c:v>
                </c:pt>
                <c:pt idx="10">
                  <c:v>24.578970917225949</c:v>
                </c:pt>
                <c:pt idx="11">
                  <c:v>32.418410725964684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8-497F-9D8F-94F51567D751}"/>
            </c:ext>
          </c:extLst>
        </c:ser>
        <c:ser>
          <c:idx val="1"/>
          <c:order val="1"/>
          <c:tx>
            <c:strRef>
              <c:f>'Call Speed'!$C$53:$C$54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'Call Speed'!$A$55:$A$67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 Speed'!$C$55:$C$67</c:f>
              <c:numCache>
                <c:formatCode>0</c:formatCode>
                <c:ptCount val="12"/>
                <c:pt idx="0">
                  <c:v>32.227867422590492</c:v>
                </c:pt>
                <c:pt idx="1">
                  <c:v>27.792885137172146</c:v>
                </c:pt>
                <c:pt idx="2">
                  <c:v>30.493258796448529</c:v>
                </c:pt>
                <c:pt idx="3">
                  <c:v>23.980801616705964</c:v>
                </c:pt>
                <c:pt idx="4">
                  <c:v>30.942301562001919</c:v>
                </c:pt>
                <c:pt idx="5">
                  <c:v>34.034300126103403</c:v>
                </c:pt>
                <c:pt idx="6">
                  <c:v>27.353114996306324</c:v>
                </c:pt>
                <c:pt idx="7">
                  <c:v>9.7457289293849652</c:v>
                </c:pt>
                <c:pt idx="8">
                  <c:v>14.198556998556997</c:v>
                </c:pt>
                <c:pt idx="9">
                  <c:v>17.770528404862318</c:v>
                </c:pt>
                <c:pt idx="10">
                  <c:v>54.680942184154176</c:v>
                </c:pt>
                <c:pt idx="11">
                  <c:v>29.084126709364718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8-497F-9D8F-94F51567D751}"/>
            </c:ext>
          </c:extLst>
        </c:ser>
        <c:ser>
          <c:idx val="2"/>
          <c:order val="2"/>
          <c:tx>
            <c:strRef>
              <c:f>'Call Speed'!$D$53:$D$54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'Call Speed'!$A$55:$A$67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 Speed'!$D$55:$D$67</c:f>
              <c:numCache>
                <c:formatCode>0</c:formatCode>
                <c:ptCount val="12"/>
                <c:pt idx="0">
                  <c:v>23.950242184059888</c:v>
                </c:pt>
                <c:pt idx="1">
                  <c:v>38.707451701931923</c:v>
                </c:pt>
                <c:pt idx="2">
                  <c:v>77.690075376884408</c:v>
                </c:pt>
                <c:pt idx="3">
                  <c:v>85.751561986188733</c:v>
                </c:pt>
                <c:pt idx="4">
                  <c:v>39.354260089686107</c:v>
                </c:pt>
                <c:pt idx="5">
                  <c:v>32.458956109134043</c:v>
                </c:pt>
                <c:pt idx="6">
                  <c:v>48.563186813186817</c:v>
                </c:pt>
                <c:pt idx="7">
                  <c:v>32.58605919003115</c:v>
                </c:pt>
                <c:pt idx="8">
                  <c:v>27.670497237569059</c:v>
                </c:pt>
                <c:pt idx="9">
                  <c:v>27.084286971830988</c:v>
                </c:pt>
                <c:pt idx="10">
                  <c:v>20.221919054115514</c:v>
                </c:pt>
                <c:pt idx="11">
                  <c:v>18.871479571598581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8-497F-9D8F-94F51567D751}"/>
            </c:ext>
          </c:extLst>
        </c:ser>
        <c:ser>
          <c:idx val="3"/>
          <c:order val="3"/>
          <c:tx>
            <c:strRef>
              <c:f>'Call Speed'!$E$53:$E$54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'Call Speed'!$A$55:$A$67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 Speed'!$E$55:$E$67</c:f>
              <c:numCache>
                <c:formatCode>0</c:formatCode>
                <c:ptCount val="12"/>
                <c:pt idx="0">
                  <c:v>14.420498084291189</c:v>
                </c:pt>
                <c:pt idx="1">
                  <c:v>13.424305106658046</c:v>
                </c:pt>
                <c:pt idx="2">
                  <c:v>11.067885714285714</c:v>
                </c:pt>
                <c:pt idx="3">
                  <c:v>15.32423424853198</c:v>
                </c:pt>
                <c:pt idx="4">
                  <c:v>10.227717186912374</c:v>
                </c:pt>
                <c:pt idx="5">
                  <c:v>12.204467353951889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38-497F-9D8F-94F51567D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745760"/>
        <c:axId val="1290747200"/>
      </c:lineChart>
      <c:catAx>
        <c:axId val="129074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47200"/>
        <c:crosses val="autoZero"/>
        <c:auto val="1"/>
        <c:lblAlgn val="ctr"/>
        <c:lblOffset val="100"/>
        <c:noMultiLvlLbl val="0"/>
      </c:catAx>
      <c:valAx>
        <c:axId val="12907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4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612720181067707"/>
          <c:y val="3.4725387120306241E-2"/>
          <c:w val="8.832366726187528E-2"/>
          <c:h val="0.850061502579913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Call Center Data.xlsx]Call Speed!PivotTable10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448093050623804E-2"/>
          <c:y val="0.23403872388143357"/>
          <c:w val="0.85712997783260558"/>
          <c:h val="0.579272557027484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'Call Speed'!$B$53:$B$54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'Call Speed'!$A$55:$A$67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 Speed'!$B$55:$B$67</c:f>
              <c:numCache>
                <c:formatCode>0</c:formatCode>
                <c:ptCount val="12"/>
                <c:pt idx="0">
                  <c:v>15.157278712509152</c:v>
                </c:pt>
                <c:pt idx="1">
                  <c:v>12.963040980467252</c:v>
                </c:pt>
                <c:pt idx="2">
                  <c:v>10.972267536704731</c:v>
                </c:pt>
                <c:pt idx="3">
                  <c:v>11.162393162393158</c:v>
                </c:pt>
                <c:pt idx="4">
                  <c:v>15.194317315026696</c:v>
                </c:pt>
                <c:pt idx="5">
                  <c:v>18.643210235533587</c:v>
                </c:pt>
                <c:pt idx="6">
                  <c:v>20.171858022455634</c:v>
                </c:pt>
                <c:pt idx="7">
                  <c:v>24.352876106194692</c:v>
                </c:pt>
                <c:pt idx="8">
                  <c:v>21.152560531390616</c:v>
                </c:pt>
                <c:pt idx="9">
                  <c:v>24.660711358793641</c:v>
                </c:pt>
                <c:pt idx="10">
                  <c:v>24.578970917225949</c:v>
                </c:pt>
                <c:pt idx="11">
                  <c:v>32.418410725964684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B-42F7-9C9C-908C5F2069B7}"/>
            </c:ext>
          </c:extLst>
        </c:ser>
        <c:ser>
          <c:idx val="1"/>
          <c:order val="1"/>
          <c:tx>
            <c:strRef>
              <c:f>'Call Speed'!$C$53:$C$54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'Call Speed'!$A$55:$A$67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 Speed'!$C$55:$C$67</c:f>
              <c:numCache>
                <c:formatCode>0</c:formatCode>
                <c:ptCount val="12"/>
                <c:pt idx="0">
                  <c:v>32.227867422590492</c:v>
                </c:pt>
                <c:pt idx="1">
                  <c:v>27.792885137172146</c:v>
                </c:pt>
                <c:pt idx="2">
                  <c:v>30.493258796448529</c:v>
                </c:pt>
                <c:pt idx="3">
                  <c:v>23.980801616705964</c:v>
                </c:pt>
                <c:pt idx="4">
                  <c:v>30.942301562001919</c:v>
                </c:pt>
                <c:pt idx="5">
                  <c:v>34.034300126103403</c:v>
                </c:pt>
                <c:pt idx="6">
                  <c:v>27.353114996306324</c:v>
                </c:pt>
                <c:pt idx="7">
                  <c:v>9.7457289293849652</c:v>
                </c:pt>
                <c:pt idx="8">
                  <c:v>14.198556998556997</c:v>
                </c:pt>
                <c:pt idx="9">
                  <c:v>17.770528404862318</c:v>
                </c:pt>
                <c:pt idx="10">
                  <c:v>54.680942184154176</c:v>
                </c:pt>
                <c:pt idx="11">
                  <c:v>29.084126709364718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B-42F7-9C9C-908C5F2069B7}"/>
            </c:ext>
          </c:extLst>
        </c:ser>
        <c:ser>
          <c:idx val="2"/>
          <c:order val="2"/>
          <c:tx>
            <c:strRef>
              <c:f>'Call Speed'!$D$53:$D$54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'Call Speed'!$A$55:$A$67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 Speed'!$D$55:$D$67</c:f>
              <c:numCache>
                <c:formatCode>0</c:formatCode>
                <c:ptCount val="12"/>
                <c:pt idx="0">
                  <c:v>23.950242184059888</c:v>
                </c:pt>
                <c:pt idx="1">
                  <c:v>38.707451701931923</c:v>
                </c:pt>
                <c:pt idx="2">
                  <c:v>77.690075376884408</c:v>
                </c:pt>
                <c:pt idx="3">
                  <c:v>85.751561986188733</c:v>
                </c:pt>
                <c:pt idx="4">
                  <c:v>39.354260089686107</c:v>
                </c:pt>
                <c:pt idx="5">
                  <c:v>32.458956109134043</c:v>
                </c:pt>
                <c:pt idx="6">
                  <c:v>48.563186813186817</c:v>
                </c:pt>
                <c:pt idx="7">
                  <c:v>32.58605919003115</c:v>
                </c:pt>
                <c:pt idx="8">
                  <c:v>27.670497237569059</c:v>
                </c:pt>
                <c:pt idx="9">
                  <c:v>27.084286971830988</c:v>
                </c:pt>
                <c:pt idx="10">
                  <c:v>20.221919054115514</c:v>
                </c:pt>
                <c:pt idx="11">
                  <c:v>18.871479571598581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B-42F7-9C9C-908C5F2069B7}"/>
            </c:ext>
          </c:extLst>
        </c:ser>
        <c:ser>
          <c:idx val="3"/>
          <c:order val="3"/>
          <c:tx>
            <c:strRef>
              <c:f>'Call Speed'!$E$53:$E$54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'Call Speed'!$A$55:$A$67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'Call Speed'!$E$55:$E$67</c:f>
              <c:numCache>
                <c:formatCode>0</c:formatCode>
                <c:ptCount val="12"/>
                <c:pt idx="0">
                  <c:v>14.420498084291189</c:v>
                </c:pt>
                <c:pt idx="1">
                  <c:v>13.424305106658046</c:v>
                </c:pt>
                <c:pt idx="2">
                  <c:v>11.067885714285714</c:v>
                </c:pt>
                <c:pt idx="3">
                  <c:v>15.32423424853198</c:v>
                </c:pt>
                <c:pt idx="4">
                  <c:v>10.227717186912374</c:v>
                </c:pt>
                <c:pt idx="5">
                  <c:v>12.204467353951889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B-42F7-9C9C-908C5F206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0745760"/>
        <c:axId val="1290747200"/>
      </c:barChart>
      <c:catAx>
        <c:axId val="129074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47200"/>
        <c:crosses val="autoZero"/>
        <c:auto val="1"/>
        <c:lblAlgn val="ctr"/>
        <c:lblOffset val="100"/>
        <c:noMultiLvlLbl val="0"/>
      </c:catAx>
      <c:valAx>
        <c:axId val="12907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4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66058593926823"/>
          <c:y val="3.4725387120306241E-2"/>
          <c:w val="0.10133941406073164"/>
          <c:h val="0.812955980356068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13</xdr:col>
      <xdr:colOff>399144</xdr:colOff>
      <xdr:row>12</xdr:row>
      <xdr:rowOff>145143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76432-D8CF-DB34-B14A-62502B4A5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0A4B8B-01DC-4643-8ACC-C3F8FF959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55562</xdr:colOff>
      <xdr:row>0</xdr:row>
      <xdr:rowOff>0</xdr:rowOff>
    </xdr:from>
    <xdr:to>
      <xdr:col>28</xdr:col>
      <xdr:colOff>399142</xdr:colOff>
      <xdr:row>12</xdr:row>
      <xdr:rowOff>136071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B026D2-D785-4AD9-7A5E-7AE9C755D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72572</xdr:colOff>
      <xdr:row>0</xdr:row>
      <xdr:rowOff>0</xdr:rowOff>
    </xdr:from>
    <xdr:to>
      <xdr:col>42</xdr:col>
      <xdr:colOff>417286</xdr:colOff>
      <xdr:row>12</xdr:row>
      <xdr:rowOff>145143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4D27CD3-2DC8-84EB-C5C9-9BBF6A4F9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14</xdr:row>
      <xdr:rowOff>54428</xdr:rowOff>
    </xdr:from>
    <xdr:to>
      <xdr:col>13</xdr:col>
      <xdr:colOff>399144</xdr:colOff>
      <xdr:row>27</xdr:row>
      <xdr:rowOff>81643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63784C6-50D0-4585-AD35-546E8BA3C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0</xdr:colOff>
      <xdr:row>27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90ABAF-75EB-42A5-9459-F5204E151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46490</xdr:colOff>
      <xdr:row>14</xdr:row>
      <xdr:rowOff>36285</xdr:rowOff>
    </xdr:from>
    <xdr:to>
      <xdr:col>28</xdr:col>
      <xdr:colOff>390072</xdr:colOff>
      <xdr:row>27</xdr:row>
      <xdr:rowOff>120951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85633E3-7E67-43E3-8247-37F33E5F4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54430</xdr:colOff>
      <xdr:row>14</xdr:row>
      <xdr:rowOff>63500</xdr:rowOff>
    </xdr:from>
    <xdr:to>
      <xdr:col>42</xdr:col>
      <xdr:colOff>417287</xdr:colOff>
      <xdr:row>27</xdr:row>
      <xdr:rowOff>126999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2E82C16-83A4-4729-8E7C-0E367A1C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54428</xdr:colOff>
      <xdr:row>0</xdr:row>
      <xdr:rowOff>27214</xdr:rowOff>
    </xdr:from>
    <xdr:to>
      <xdr:col>59</xdr:col>
      <xdr:colOff>27214</xdr:colOff>
      <xdr:row>22</xdr:row>
      <xdr:rowOff>27214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EA77BFF-13FD-2E4F-DB68-0B5A8685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68</xdr:col>
      <xdr:colOff>145141</xdr:colOff>
      <xdr:row>0</xdr:row>
      <xdr:rowOff>127000</xdr:rowOff>
    </xdr:from>
    <xdr:to>
      <xdr:col>80</xdr:col>
      <xdr:colOff>435428</xdr:colOff>
      <xdr:row>26</xdr:row>
      <xdr:rowOff>145142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2B38C2-D0D9-4D7B-B580-09D1FE2FA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87311</xdr:colOff>
      <xdr:row>0</xdr:row>
      <xdr:rowOff>73025</xdr:rowOff>
    </xdr:from>
    <xdr:to>
      <xdr:col>13</xdr:col>
      <xdr:colOff>373062</xdr:colOff>
      <xdr:row>13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51DF8-BC0F-2D2F-BAED-DF9D8D322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71438</xdr:colOff>
      <xdr:row>14</xdr:row>
      <xdr:rowOff>55563</xdr:rowOff>
    </xdr:from>
    <xdr:to>
      <xdr:col>13</xdr:col>
      <xdr:colOff>388939</xdr:colOff>
      <xdr:row>28</xdr:row>
      <xdr:rowOff>93662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C301C9-44C4-4033-9AE6-63CA6AEF8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Bailey" refreshedDate="45593.160983912036" createdVersion="8" refreshedVersion="8" minRefreshableVersion="3" recordCount="1252" xr:uid="{F7951218-D5CF-4927-AE8D-3C2CC85DCC84}">
  <cacheSource type="worksheet">
    <worksheetSource ref="A1:U1048576" sheet="Sample Formulas"/>
  </cacheSource>
  <cacheFields count="23">
    <cacheField name="Index" numFmtId="0">
      <sharedItems containsString="0" containsBlank="1" containsNumber="1" containsInteger="1" minValue="1" maxValue="1251"/>
    </cacheField>
    <cacheField name="Calls Date" numFmtId="0">
      <sharedItems containsNonDate="0" containsDate="1" containsString="0" containsBlank="1" minDate="2021-01-01T00:00:00" maxDate="2024-06-05T00:00:00" count="1252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m/>
      </sharedItems>
      <fieldGroup par="19"/>
    </cacheField>
    <cacheField name="Incoming Calls" numFmtId="0">
      <sharedItems containsString="0" containsBlank="1" containsNumber="1" containsInteger="1" minValue="5" maxValue="1575"/>
    </cacheField>
    <cacheField name="Answered Calls" numFmtId="0">
      <sharedItems containsString="0" containsBlank="1" containsNumber="1" containsInteger="1" minValue="5" maxValue="909"/>
    </cacheField>
    <cacheField name="Answer Rate %" numFmtId="9">
      <sharedItems containsString="0" containsBlank="1" containsNumber="1" minValue="0.22" maxValue="1" count="907">
        <n v="0.94"/>
        <n v="0.91"/>
        <n v="0.93"/>
        <n v="1"/>
        <n v="0.96"/>
        <n v="0.98"/>
        <n v="0.92"/>
        <n v="0.97"/>
        <n v="0.88"/>
        <n v="0.9"/>
        <n v="0.95"/>
        <n v="0.86"/>
        <n v="0.99"/>
        <n v="0.89"/>
        <n v="0.81"/>
        <n v="0.73"/>
        <n v="0.84"/>
        <n v="0.64"/>
        <n v="0.85"/>
        <n v="0.83"/>
        <n v="0.87"/>
        <n v="0.82"/>
        <n v="0.77"/>
        <n v="0.78"/>
        <n v="0.79"/>
        <n v="0.75"/>
        <n v="0.45"/>
        <n v="0.55000000000000004"/>
        <n v="0.63"/>
        <n v="0.24"/>
        <n v="0.23"/>
        <n v="0.22"/>
        <n v="0.32"/>
        <n v="0.66"/>
        <n v="0.8"/>
        <n v="0.72"/>
        <n v="0.5"/>
        <n v="0.51"/>
        <n v="0.56000000000000005"/>
        <n v="0.62"/>
        <n v="0.74"/>
        <n v="0.47"/>
        <n v="0.56999999999999995"/>
        <n v="0.42"/>
        <n v="0.76"/>
        <n v="0.67"/>
        <n v="0.6"/>
        <n v="0.69"/>
        <n v="0.53"/>
        <n v="0.59"/>
        <m/>
        <n v="0.94009216589861755" u="1"/>
        <n v="0.91666666666666663" u="1"/>
        <n v="0.93548387096774188" u="1"/>
        <n v="0.96507936507936509" u="1"/>
        <n v="0.96825396825396826" u="1"/>
        <n v="0.96244131455399062" u="1"/>
        <n v="0.91324200913242004" u="1"/>
        <n v="0.93800539083557954" u="1"/>
        <n v="0.98795180722891562" u="1"/>
        <n v="0.96103896103896103" u="1"/>
        <n v="0.96097560975609753" u="1"/>
        <n v="0.92603550295857984" u="1"/>
        <n v="0.96666666666666667" u="1"/>
        <n v="0.9336283185840708" u="1"/>
        <n v="0.93805309734513276" u="1"/>
        <n v="0.97777777777777775" u="1"/>
        <n v="0.88990825688073394" u="1"/>
        <n v="0.93048128342245995" u="1"/>
        <n v="0.96335078534031415" u="1"/>
        <n v="0.92553191489361697" u="1"/>
        <n v="0.90361445783132532" u="1"/>
        <n v="0.98275862068965514" u="1"/>
        <n v="0.95625000000000004" u="1"/>
        <n v="0.91860465116279066" u="1"/>
        <n v="0.94444444444444442" u="1"/>
        <n v="0.91428571428571426" u="1"/>
        <n v="0.96319018404907975" u="1"/>
        <n v="0.97902097902097907" u="1"/>
        <n v="0.96491228070175439" u="1"/>
        <n v="0.96089385474860334" u="1"/>
        <n v="0.94845360824742264" u="1"/>
        <n v="0.97512437810945274" u="1"/>
        <n v="0.8669724770642202" u="1"/>
        <n v="0.97938144329896903" u="1"/>
        <n v="0.96475770925110127" u="1"/>
        <n v="0.94890510948905105" u="1"/>
        <n v="0.99212598425196852" u="1"/>
        <n v="0.976303317535545" u="1"/>
        <n v="0.98936170212765961" u="1"/>
        <n v="0.99236641221374045" u="1"/>
        <n v="0.96923076923076923" u="1"/>
        <n v="0.99384615384615382" u="1"/>
        <n v="0.97872340425531912" u="1"/>
        <n v="0.98604651162790702" u="1"/>
        <n v="0.96808510638297873" u="1"/>
        <n v="0.98406374501992033" u="1"/>
        <n v="0.98342541436464093" u="1"/>
        <n v="0.93421052631578949" u="1"/>
        <n v="0.98787878787878791" u="1"/>
        <n v="0.96756756756756757" u="1"/>
        <n v="0.95348837209302328" u="1"/>
        <n v="0.89473684210526316" u="1"/>
        <n v="0.98514851485148514" u="1"/>
        <n v="0.97695852534562211" u="1"/>
        <n v="0.99111111111111116" u="1"/>
        <n v="0.98297872340425529" u="1"/>
        <n v="0.99504950495049505" u="1"/>
        <n v="0.90697674418604646" u="1"/>
        <n v="0.96391752577319589" u="1"/>
        <n v="0.95890410958904104" u="1"/>
        <n v="0.98639455782312924" u="1"/>
        <n v="0.99363057324840764" u="1"/>
        <n v="0.94736842105263153" u="1"/>
        <n v="0.97590361445783136" u="1"/>
        <n v="0.95575221238938057" u="1"/>
        <n v="0.97628458498023718" u="1"/>
        <n v="0.95714285714285718" u="1"/>
        <n v="0.95238095238095233" u="1"/>
        <n v="0.96969696969696972" u="1"/>
        <n v="0.95424836601307195" u="1"/>
        <n v="0.95744680851063835" u="1"/>
        <n v="0.97945205479452058" u="1"/>
        <n v="0.97222222222222221" u="1"/>
        <n v="0.98095238095238091" u="1"/>
        <n v="0.93442622950819676" u="1"/>
        <n v="0.98058252427184467" u="1"/>
        <n v="0.99484536082474229" u="1"/>
        <n v="0.970873786407767" u="1"/>
        <n v="0.98009950248756217" u="1"/>
        <n v="0.98019801980198018" u="1"/>
        <n v="0.96902654867256632" u="1"/>
        <n v="0.9760479041916168" u="1"/>
        <n v="0.97619047619047616" u="1"/>
        <n v="0.98734177215189878" u="1"/>
        <n v="0.98181818181818181" u="1"/>
        <n v="0.98324022346368711" u="1"/>
        <n v="0.99078341013824889" u="1"/>
        <n v="0.97660818713450293" u="1"/>
        <n v="0.95813953488372094" u="1"/>
        <n v="0.97247706422018354" u="1"/>
        <n v="0.98536585365853657" u="1"/>
        <n v="0.97435897435897434" u="1"/>
        <n v="0.97237569060773477" u="1"/>
        <n v="0.97169811320754718" u="1"/>
        <n v="0.96308724832214765" u="1"/>
        <n v="0.98717948717948723" u="1"/>
        <n v="0.97647058823529409" u="1"/>
        <n v="0.99655172413793103" u="1"/>
        <n v="0.94932432432432434" u="1"/>
        <n v="0.9884615384615385" u="1"/>
        <n v="0.96019900497512434" u="1"/>
        <n v="0.99242424242424243" u="1"/>
        <n v="0.9880239520958084" u="1"/>
        <n v="0.92941176470588238" u="1"/>
        <n v="0.96721311475409832" u="1"/>
        <n v="0.978494623655914" u="1"/>
        <n v="0.94964028776978415" u="1"/>
        <n v="0.98529411764705888" u="1"/>
        <n v="0.94495412844036697" u="1"/>
        <n v="0.97368421052631582" u="1"/>
        <n v="0.89583333333333337" u="1"/>
        <n v="0.9731182795698925" u="1"/>
        <n v="0.98901098901098905" u="1"/>
        <n v="0.97916666666666663" u="1"/>
        <n v="0.95483870967741935" u="1"/>
        <n v="0.98611111111111116" u="1"/>
        <n v="0.98780487804878048" u="1"/>
        <n v="0.96296296296296291" u="1"/>
        <n v="0.98870056497175141" u="1"/>
        <n v="0.97761194029850751" u="1"/>
        <n v="0.98816568047337283" u="1"/>
        <n v="0.98765432098765427" u="1"/>
        <n v="0.92993630573248409" u="1"/>
        <n v="0.92771084337349397" u="1"/>
        <n v="0.94827586206896552" u="1"/>
        <n v="0.98666666666666669" u="1"/>
        <n v="0.9907407407407407" u="1"/>
        <n v="0.96273291925465843" u="1"/>
        <n v="0.97419354838709682" u="1"/>
        <n v="0.93167701863354035" u="1"/>
        <n v="0.97727272727272729" u="1"/>
        <n v="0.97540983606557374" u="1"/>
        <n v="0.97175141242937857" u="1"/>
        <n v="0.99248120300751874" u="1"/>
        <n v="0.94350282485875703" u="1"/>
        <n v="0.97637795275590555" u="1"/>
        <n v="0.9932432432432432" u="1"/>
        <n v="0.95035460992907805" u="1"/>
        <n v="0.967741935483871" u="1"/>
        <n v="0.94545454545454544" u="1"/>
        <n v="0.98809523809523814" u="1"/>
        <n v="0.9494949494949495" u="1"/>
        <n v="0.95683453237410077" u="1"/>
        <n v="0.97826086956521741" u="1"/>
        <n v="0.94565217391304346" u="1"/>
        <n v="0.91787439613526567" u="1"/>
        <n v="0.94240837696335078" u="1"/>
        <n v="0.95774647887323938" u="1"/>
        <n v="0.9337474120082816" u="1"/>
        <n v="0.96160877513711152" u="1"/>
        <n v="0.98148148148148151" u="1"/>
        <n v="0.9490909090909091" u="1"/>
        <n v="0.95121951219512191" u="1"/>
        <n v="0.96250000000000002" u="1"/>
        <n v="0.97499999999999998" u="1"/>
        <n v="0.97402597402597402" u="1"/>
        <n v="0.95092024539877296" u="1"/>
        <n v="0.94767441860465118" u="1"/>
        <n v="0.9463414634146341" u="1"/>
        <n v="0.9438202247191011" u="1"/>
        <n v="0.93925233644859818" u="1"/>
        <n v="0.9526627218934911" u="1"/>
        <n v="0.91346153846153844" u="1"/>
        <n v="0.95726495726495731" u="1"/>
        <n v="0.9509803921568627" u="1"/>
        <n v="0.92647058823529416" u="1"/>
        <n v="0.93103448275862066" u="1"/>
        <n v="0.95209580838323349" u="1"/>
        <n v="0.98170731707317072" u="1"/>
        <n v="0.930379746835443" u="1"/>
        <n v="0.97575757575757571" u="1"/>
        <n v="0.96124031007751942" u="1"/>
        <n v="0.96129032258064517" u="1"/>
        <n v="0.9569377990430622" u="1"/>
        <n v="0.94560669456066948" u="1"/>
        <n v="0.91703056768558955" u="1"/>
        <n v="0.88659793814432986" u="1"/>
        <n v="0.88613861386138615" u="1"/>
        <n v="0.94776119402985071" u="1"/>
        <n v="0.94230769230769229" u="1"/>
        <n v="0.95893719806763289" u="1"/>
        <n v="0.93930635838150289" u="1"/>
        <n v="0.95721925133689845" u="1"/>
        <n v="0.91625615763546797" u="1"/>
        <n v="0.96031746031746035" u="1"/>
        <n v="0.95857988165680474" u="1"/>
        <n v="0.81065088757396453" u="1"/>
        <n v="0.73770491803278693" u="1"/>
        <n v="0.81437125748502992" u="1"/>
        <n v="0.84375" u="1"/>
        <n v="0.64628820960698685" u="1"/>
        <n v="0.98076923076923073" u="1"/>
        <n v="0.93309002433090027" u="1"/>
        <n v="0.97701149425287359" u="1"/>
        <n v="0.91785714285714282" u="1"/>
        <n v="0.96482412060301503" u="1"/>
        <n v="0.94841269841269837" u="1"/>
        <n v="0.93689320388349517" u="1"/>
        <n v="0.94930875576036866" u="1"/>
        <n v="0.95967741935483875" u="1"/>
        <n v="0.95495495495495497" u="1"/>
        <n v="0.93684210526315792" u="1"/>
        <n v="0.97058823529411764" u="1"/>
        <n v="0.95794392523364491" u="1"/>
        <n v="0.94623655913978499" u="1"/>
        <n v="0.92899408284023666" u="1"/>
        <n v="0.94630872483221473" u="1"/>
        <n v="0.95906432748538006" u="1"/>
        <n v="0.96062992125984248" u="1"/>
        <n v="0.95862068965517244" u="1"/>
        <n v="0.98449612403100772" u="1"/>
        <n v="0.91752577319587625" u="1"/>
        <n v="0.96534653465346532" u="1"/>
        <n v="0.9719626168224299" u="1"/>
        <n v="0.97905759162303663" u="1"/>
        <n v="0.98989898989898994" u="1"/>
        <n v="0.96195652173913049" u="1"/>
        <n v="0.94871794871794868" u="1"/>
        <n v="0.93333333333333335" u="1"/>
        <n v="0.95604395604395609" u="1"/>
        <n v="0.88150289017341044" u="1"/>
        <n v="0.9575289575289575" u="1"/>
        <n v="0.92640692640692646" u="1"/>
        <n v="0.95934959349593496" u="1"/>
        <n v="0.98039215686274506" u="1"/>
        <n v="0.9662921348314607" u="1"/>
        <n v="0.95930232558139539" u="1"/>
        <n v="0.96153846153846156" u="1"/>
        <n v="0.98701298701298701" u="1"/>
        <n v="0.85910652920962194" u="1"/>
        <n v="0.96803652968036524" u="1"/>
        <n v="0.97687861271676302" u="1"/>
        <n v="0.96568627450980393" u="1"/>
        <n v="0.85648148148148151" u="1"/>
        <n v="0.95661605206073752" u="1"/>
        <n v="0.9821428571428571" u="1"/>
        <n v="0.95549738219895286" u="1"/>
        <n v="0.9065040650406504" u="1"/>
        <n v="0.95833333333333337" u="1"/>
        <n v="0.92760180995475117" u="1"/>
        <n v="0.92307692307692313" u="1"/>
        <n v="0.94399999999999995" u="1"/>
        <n v="0.93401015228426398" u="1"/>
        <n v="0.93273542600896864" u="1"/>
        <n v="0.98333333333333328" u="1"/>
        <n v="0.9152542372881356" u="1"/>
        <n v="0.86111111111111116" u="1"/>
        <n v="0.95633187772925765" u="1"/>
        <n v="0.91747572815533984" u="1"/>
        <n v="0.88888888888888884" u="1"/>
        <n v="0.96499999999999997" u="1"/>
        <n v="0.94708994708994709" u="1"/>
        <n v="0.94082840236686394" u="1"/>
        <n v="0.97560975609756095" u="1"/>
        <n v="0.85779816513761464" u="1"/>
        <n v="0.95360824742268047" u="1"/>
        <n v="0.98895027624309395" u="1"/>
        <n v="0.94968553459119498" u="1"/>
        <n v="0.9375" u="1"/>
        <n v="0.93908629441624369" u="1"/>
        <n v="0.8392857142857143" u="1"/>
        <n v="0.84065934065934067" u="1"/>
        <n v="0.93258426966292129" u="1"/>
        <n v="0.89617486338797814" u="1"/>
        <n v="0.92385786802030456" u="1"/>
        <n v="0.9294605809128631" u="1"/>
        <n v="0.96091205211726383" u="1"/>
        <n v="0.97966101694915253" u="1"/>
        <n v="0.96234309623430958" u="1"/>
        <n v="0.95850622406639008" u="1"/>
        <n v="0.92417061611374407" u="1"/>
        <n v="0.875" u="1"/>
        <n v="0.90625" u="1"/>
        <n v="0.89054726368159209" u="1"/>
        <n v="0.90145985401459849" u="1"/>
        <n v="0.85853658536585364" u="1"/>
        <n v="0.903954802259887" u="1"/>
        <n v="0.84848484848484851" u="1"/>
        <n v="0.92105263157894735" u="1"/>
        <n v="0.85786802030456855" u="1"/>
        <n v="0.85436893203883491" u="1"/>
        <n v="0.89700996677740863" u="1"/>
        <n v="0.97765363128491622" u="1"/>
        <n v="0.91111111111111109" u="1"/>
        <n v="0.96791443850267378" u="1"/>
        <n v="0.95161290322580649" u="1"/>
        <n v="0.91338582677165359" u="1"/>
        <n v="0.8902439024390244" u="1"/>
        <n v="0.93697478991596639" u="1"/>
        <n v="0.93670886075949367" u="1"/>
        <n v="0.91439688715953304" u="1"/>
        <n v="0.82412060301507539" u="1"/>
        <n v="0.92613636363636365" u="1"/>
        <n v="0.9419354838709677" u="1"/>
        <n v="0.82995951417004044" u="1"/>
        <n v="0.97382198952879584" u="1"/>
        <n v="0.91772151898734178" u="1"/>
        <n v="0.8125" u="1"/>
        <n v="0.9538461538461539" u="1"/>
        <n v="0.96268656716417911" u="1"/>
        <n v="0.97580645161290325" u="1"/>
        <n v="0.91489361702127658" u="1"/>
        <n v="0.9441624365482234" u="1"/>
        <n v="0.92405063291139244" u="1"/>
        <n v="0.92638036809815949" u="1"/>
        <n v="0.898876404494382" u="1"/>
        <n v="0.84768211920529801" u="1"/>
        <n v="0.89830508474576276" u="1"/>
        <n v="0.90322580645161288" u="1"/>
        <n v="0.96402877697841727" u="1"/>
        <n v="0.90058479532163738" u="1"/>
        <n v="0.95480225988700562" u="1"/>
        <n v="0.96256684491978606" u="1"/>
        <n v="0.93877551020408168" u="1"/>
        <n v="0.93269230769230771" u="1"/>
        <n v="0.95679012345679015" u="1"/>
        <n v="0.94078947368421051" u="1"/>
        <n v="0.94696969696969702" u="1"/>
        <n v="0.98496240601503759" u="1"/>
        <n v="0.93798449612403101" u="1"/>
        <n v="0.94594594594594594" u="1"/>
        <n v="0.9642857142857143" u="1"/>
        <n v="0.97674418604651159" u="1"/>
        <n v="0.94852941176470584" u="1"/>
        <n v="0.88749999999999996" u="1"/>
        <n v="0.87121212121212122" u="1"/>
        <n v="0.9242424242424242" u="1"/>
        <n v="0.93788819875776397" u="1"/>
        <n v="0.95512820512820518" u="1"/>
        <n v="0.93430656934306566" u="1"/>
        <n v="0.8928571428571429" u="1"/>
        <n v="0.94326241134751776" u="1"/>
        <n v="0.94615384615384612" u="1"/>
        <n v="0.77844311377245512" u="1"/>
        <n v="0.88405797101449279" u="1"/>
        <n v="0.93617021276595747" u="1"/>
        <n v="0.89565217391304353" u="1"/>
        <n v="0.86440677966101698" u="1"/>
        <n v="0.93710691823899372" u="1"/>
        <n v="0.89403973509933776" u="1"/>
        <n v="0.91304347826086951" u="1"/>
        <n v="0.95454545454545459" u="1"/>
        <n v="0.88135593220338981" u="1"/>
        <n v="0.98373983739837401" u="1"/>
        <n v="0.93388429752066116" u="1"/>
        <n v="0.88571428571428568" u="1"/>
        <n v="0.94166666666666665" u="1"/>
        <n v="0.90769230769230769" u="1"/>
        <n v="0.9285714285714286" u="1"/>
        <n v="0.84732824427480913" u="1"/>
        <n v="0.90909090909090906" u="1"/>
        <n v="0.98571428571428577" u="1"/>
        <n v="0.90654205607476634" u="1"/>
        <n v="0.93406593406593408" u="1"/>
        <n v="0.91208791208791207" u="1"/>
        <n v="0.7857142857142857" u="1"/>
        <n v="0.93243243243243246" u="1"/>
        <n v="0.94202898550724634" u="1"/>
        <n v="0.95199999999999996" u="1"/>
        <n v="0.97959183673469385" u="1"/>
        <n v="0.98319327731092432" u="1"/>
        <n v="0.91095890410958902" u="1"/>
        <n v="0.96946564885496178" u="1"/>
        <n v="0.83199999999999996" u="1"/>
        <n v="0.97142857142857142" u="1"/>
        <n v="0.90082644628099173" u="1"/>
        <n v="0.90370370370370368" u="1"/>
        <n v="0.85087719298245612" u="1"/>
        <n v="0.95652173913043481" u="1"/>
        <n v="0.93220338983050843" u="1"/>
        <n v="0.82208588957055218" u="1"/>
        <n v="0.83333333333333337" u="1"/>
        <n v="0.95205479452054798" u="1"/>
        <n v="0.98601398601398604" u="1"/>
        <n v="0.82727272727272727" u="1"/>
        <n v="0.79452054794520544" u="1"/>
        <n v="0.90972222222222221" u="1"/>
        <n v="0.88095238095238093" u="1"/>
        <n v="0.953125" u="1"/>
        <n v="0.9513513513513514" u="1"/>
        <n v="0.83823529411764708" u="1"/>
        <n v="0.89230769230769236" u="1"/>
        <n v="0.89898989898989901" u="1"/>
        <n v="0.98947368421052628" u="1"/>
        <n v="0.96323529411764708" u="1"/>
        <n v="0.91891891891891897" u="1"/>
        <n v="0.87962962962962965" u="1"/>
        <n v="0.91176470588235292" u="1"/>
        <n v="0.94339622641509435" u="1"/>
        <n v="0.7931034482758621" u="1"/>
        <n v="0.89166666666666672" u="1"/>
        <n v="0.93457943925233644" u="1"/>
        <n v="0.91907514450867056" u="1"/>
        <n v="0.83203125" u="1"/>
        <n v="0.87437185929648242" u="1"/>
        <n v="0.92817679558011046" u="1"/>
        <n v="0.92452830188679247" u="1"/>
        <n v="0.94366197183098588" u="1"/>
        <n v="0.84020618556701032" u="1"/>
        <n v="0.8936170212765957" u="1"/>
        <n v="0.87378640776699024" u="1"/>
        <n v="0.81034482758620685" u="1"/>
        <n v="0.91509433962264153" u="1"/>
        <n v="0.92241379310344829" u="1"/>
        <n v="0.93965517241379315" u="1"/>
        <n v="0.93413173652694614" u="1"/>
        <n v="0.94011976047904189" u="1"/>
        <n v="0.96987951807228912" u="1"/>
        <n v="0.96753246753246758" u="1"/>
        <n v="0.97757847533632292" u="1"/>
        <n v="0.92352941176470593" u="1"/>
        <n v="0.91724137931034477" u="1"/>
        <n v="0.97037037037037033" u="1"/>
        <n v="0.97080291970802923" u="1"/>
        <n v="0.96644295302013428" u="1"/>
        <n v="0.92258064516129035" u="1"/>
        <n v="0.9453125" u="1"/>
        <n v="0.93283582089552242" u="1"/>
        <n v="0.96932515337423308" u="1"/>
        <n v="0.94374999999999998" u="1"/>
        <n v="0.96183206106870234" u="1"/>
        <n v="0.84210526315789469" u="1"/>
        <n v="0.92086330935251803" u="1"/>
        <n v="0.81325301204819278" u="1"/>
        <n v="0.75968992248062017" u="1"/>
        <n v="0.86699507389162567" u="1"/>
        <n v="0.89010989010989006" u="1"/>
        <n v="0.79069767441860461" u="1"/>
        <n v="0.9712918660287081" u="1"/>
        <n v="0.88709677419354838" u="1"/>
        <n v="0.91061452513966479" u="1"/>
        <n v="0.98773006134969321" u="1"/>
        <n v="0.96951219512195119" u="1"/>
        <n v="0.99375000000000002" u="1"/>
        <n v="0.89080459770114939" u="1"/>
        <n v="0.99428571428571433" u="1"/>
        <n v="0.98235294117647054" u="1"/>
        <n v="0.89839572192513373" u="1"/>
        <n v="0.96226415094339623" u="1"/>
        <n v="0.96694214876033058" u="1"/>
        <n v="0.97202797202797198" u="1"/>
        <n v="0.97345132743362828" u="1"/>
        <n v="0.99259259259259258" u="1"/>
        <n v="0.93913043478260871" u="1"/>
        <n v="0.99056603773584906" u="1"/>
        <n v="0.99285714285714288" u="1"/>
        <n v="0.98630136986301364" u="1"/>
        <n v="0.96363636363636362" u="1"/>
        <n v="0.9631578947368421" u="1"/>
        <n v="0.99230769230769234" u="1"/>
        <n v="0.96638655462184875" u="1"/>
        <n v="0.98412698412698407" u="1"/>
        <n v="0.9098360655737705" u="1"/>
        <n v="0.91596638655462181" u="1"/>
        <n v="0.88805970149253732" u="1"/>
        <n v="0.96039603960396036" u="1"/>
        <n v="0.95488721804511278" u="1"/>
        <n v="0.97282608695652173" u="1"/>
        <n v="0.95104895104895104" u="1"/>
        <n v="0.95798319327731096" u="1"/>
        <n v="0.97241379310344822" u="1"/>
        <n v="0.9765625" u="1"/>
        <n v="0.92920353982300885" u="1"/>
        <n v="0.94392523364485981" u="1"/>
        <n v="0.96575342465753422" u="1"/>
        <n v="0.89655172413793105" u="1"/>
        <n v="0.89958158995815896" u="1"/>
        <n v="0.88505747126436785" u="1"/>
        <n v="0.97023809523809523" u="1"/>
        <n v="0.94814814814814818" u="1"/>
        <n v="0.92622950819672134" u="1"/>
        <n v="0.92763157894736847" u="1"/>
        <n v="0.97927461139896377" u="1"/>
        <n v="0.96326530612244898" u="1"/>
        <n v="0.95959595959595956" u="1"/>
        <n v="0.99465240641711228" u="1"/>
        <n v="0.93768545994065278" u="1"/>
        <n v="0.97894736842105268" u="1"/>
        <n v="0.95789473684210524" u="1"/>
        <n v="0.99408284023668636" u="1"/>
        <n v="0.95138888888888884" u="1"/>
        <n v="0.96855345911949686" u="1"/>
        <n v="0.93010752688172038" u="1"/>
        <n v="0.9726027397260274" u="1"/>
        <n v="0.75609756097560976" u="1"/>
        <n v="0.45945945945945948" u="1"/>
        <n v="0.55704697986577179" u="1"/>
        <n v="0.63888888888888884" u="1"/>
        <n v="0.83236994219653182" u="1"/>
        <n v="0.89772727272727271" u="1"/>
        <n v="0.81632653061224492" u="1"/>
        <n v="0.23356009070294784" u="1"/>
        <n v="0.22095238095238096" u="1"/>
        <n v="0.32950819672131149" u="1"/>
        <n v="0.66042154566744726" u="1"/>
        <n v="0.8756613756613757" u="1"/>
        <n v="0.83750000000000002" u="1"/>
        <n v="0.86797066014669921" u="1"/>
        <n v="0.85795454545454541" u="1"/>
        <n v="0.84751773049645385" u="1"/>
        <n v="0.91935483870967738" u="1"/>
        <n v="0.92156862745098034" u="1"/>
        <n v="0.88656716417910453" u="1"/>
        <n v="0.92971246006389774" u="1"/>
        <n v="0.95617529880478092" u="1"/>
        <n v="0.9263157894736842" u="1"/>
        <n v="0.9042553191489362" u="1"/>
        <n v="0.96385542168674698" u="1"/>
        <n v="0.93150684931506844" u="1"/>
        <n v="0.93529411764705883" u="1"/>
        <n v="0.96276595744680848" u="1"/>
        <n v="0.85620915032679734" u="1"/>
        <n v="0.92039800995024879" u="1"/>
        <n v="0.88513513513513509" u="1"/>
        <n v="0.80952380952380953" u="1"/>
        <n v="0.8716216216216216" u="1"/>
        <n v="0.92215568862275454" u="1"/>
        <n v="0.9349112426035503" u="1"/>
        <n v="0.93142857142857138" u="1"/>
        <n v="0.94818652849740936" u="1"/>
        <n v="0.93506493506493504" u="1"/>
        <n v="0.93604651162790697" u="1"/>
        <n v="0.94029850746268662" u="1"/>
        <n v="0.89873417721518989" u="1"/>
        <n v="0.89440993788819878" u="1"/>
        <n v="0.92517006802721091" u="1"/>
        <n v="0.92888888888888888" u="1"/>
        <n v="0.90419161676646709" u="1"/>
        <n v="0.87931034482758619" u="1"/>
        <n v="0.95321637426900585" u="1"/>
        <n v="0.96111111111111114" u="1"/>
        <n v="0.91145833333333337" u="1"/>
        <n v="0.92783505154639179" u="1"/>
        <n v="0.72972972972972971" u="1"/>
        <n v="0.93888888888888888" u="1"/>
        <n v="0.92957746478873238" u="1"/>
        <n v="0.952191235059761" u="1"/>
        <n v="0.94499999999999995" u="1"/>
        <n v="0.83243243243243248" u="1"/>
        <n v="0.95854922279792742" u="1"/>
        <n v="0.94358974358974357" u="1"/>
        <n v="0.94491525423728817" u="1"/>
        <n v="0.86184210526315785" u="1"/>
        <n v="0.94405594405594406" u="1"/>
        <n v="0.89589905362776023" u="1"/>
        <n v="0.84076433121019112" u="1"/>
        <n v="0.84533333333333338" u="1"/>
        <n v="0.86338797814207646" u="1"/>
        <n v="0.86776859504132231" u="1"/>
        <n v="0.92682926829268297" u="1"/>
        <n v="0.92953020134228193" u="1"/>
        <n v="0.88850174216027877" u="1"/>
        <n v="0.86912751677852351" u="1"/>
        <n v="0.91354466858789629" u="1"/>
        <n v="0.85990338164251212" u="1"/>
        <n v="0.89162561576354682" u="1"/>
        <n v="0.8797814207650273" u="1"/>
        <n v="0.94117647058823528" u="1"/>
        <n v="0.80549199084668188" u="1"/>
        <n v="0.9049586776859504" u="1"/>
        <n v="0.90864197530864199" u="1"/>
        <n v="0.64561403508771931" u="1"/>
        <n v="0.90566037735849059" u="1"/>
        <n v="0.88933601609657953" u="1"/>
        <n v="0.88111888111888115" u="1"/>
        <n v="0.77755511022044088" u="1"/>
        <n v="0.85098039215686272" u="1"/>
        <n v="0.83424408014571949" u="1"/>
        <n v="0.75254237288135595" u="1"/>
        <n v="0.87591240875912413" u="1"/>
        <n v="0.79598662207357862" u="1"/>
        <n v="0.77922077922077926" u="1"/>
        <n v="0.50136612021857918" u="1"/>
        <n v="0.51718213058419249" u="1"/>
        <n v="0.55394524959742353" u="1"/>
        <n v="0.91379310344827591" u="1"/>
        <n v="0.56285178236397748" u="1"/>
        <n v="0.77403846153846156" u="1"/>
        <n v="0.62409638554216873" u="1"/>
        <n v="0.66743648960739033" u="1"/>
        <n v="0.62555066079295152" u="1"/>
        <n v="0.79918032786885251" u="1"/>
        <n v="0.87128712871287128" u="1"/>
        <n v="0.921875" u="1"/>
        <n v="0.84079601990049746" u="1"/>
        <n v="0.74712643678160917" u="1"/>
        <n v="0.86069651741293529" u="1"/>
        <n v="0.95522388059701491" u="1"/>
        <n v="0.86792452830188682" u="1"/>
        <n v="0.91031390134529144" u="1"/>
        <n v="0.85036496350364965" u="1"/>
        <n v="0.93928571428571428" u="1"/>
        <n v="0.8764044943820225" u="1"/>
        <n v="0.91542288557213936" u="1"/>
        <n v="0.89588377723970947" u="1"/>
        <n v="0.88946015424164526" u="1"/>
        <n v="0.62222222222222223" u="1"/>
        <n v="0.47752808988764045" u="1"/>
        <n v="0.56953642384105962" u="1"/>
        <n v="0.51774193548387093" u="1"/>
        <n v="0.55301587301587296" u="1"/>
        <n v="0.57449962935507781" u="1"/>
        <n v="0.45445445445445448" u="1"/>
        <n v="0.56508264462809921" u="1"/>
        <n v="0.424953095684803" u="1"/>
        <n v="0.8032994923857868" u="1"/>
        <n v="0.84523809523809523" u="1"/>
        <n v="0.74228028503562948" u="1"/>
        <n v="0.85242030696576154" u="1"/>
        <n v="0.76875000000000004" u="1"/>
        <n v="0.74818181818181817" u="1"/>
        <n v="0.73188405797101452" u="1"/>
        <n v="0.62841530054644812" u="1"/>
        <n v="0.90041493775933612" u="1"/>
        <n v="0.84912280701754383" u="1"/>
        <n v="0.81224489795918364" u="1"/>
        <n v="0.67316017316017318" u="1"/>
        <n v="0.87149532710280375" u="1"/>
        <n v="0.79389312977099236" u="1"/>
        <n v="0.86206896551724133" u="1"/>
        <n v="0.88291139240506333" u="1"/>
        <n v="0.91946308724832215" u="1"/>
        <n v="0.93436293436293438" u="1"/>
        <n v="0.84267241379310343" u="1"/>
        <n v="0.91059602649006621" u="1"/>
        <n v="0.95221843003412965" u="1"/>
        <n v="0.91836734693877553" u="1"/>
        <n v="0.76949152542372878" u="1"/>
        <n v="0.95609756097560972" u="1"/>
        <n v="0.86345381526104414" u="1"/>
        <n v="0.90254237288135597" u="1"/>
        <n v="0.91124260355029585" u="1"/>
        <n v="0.79207920792079212" u="1"/>
        <n v="0.90137614678899081" u="1"/>
        <n v="0.94433781190019195" u="1"/>
        <n v="0.87037037037037035" u="1"/>
        <n v="0.81207133058984915" u="1"/>
        <n v="0.60033444816053516" u="1"/>
        <n v="0.74082568807339455" u="1"/>
        <n v="0.93193717277486909" u="1"/>
        <n v="0.86144578313253017" u="1"/>
        <n v="0.91899441340782118" u="1"/>
        <n v="0.88823529411764701" u="1"/>
        <n v="0.9503105590062112" u="1"/>
        <n v="0.95270270270270274" u="1"/>
        <n v="0.88636363636363635" u="1"/>
        <n v="0.98347107438016534" u="1"/>
        <n v="0.94605809128630702" u="1"/>
        <n v="0.96415770609318996" u="1"/>
        <n v="0.96460176991150437" u="1"/>
        <n v="0.819935691318328" u="1"/>
        <n v="0.8366533864541833" u="1"/>
        <n v="0.92330383480825962" u="1"/>
        <n v="0.80804953560371517" u="1"/>
        <n v="0.91695501730103801" u="1"/>
        <n v="0.90645161290322585" u="1"/>
        <n v="0.93939393939393945" u="1"/>
        <n v="0.87692307692307692" u="1"/>
        <n v="0.80382775119617222" u="1"/>
        <n v="0.6972375690607735" u="1"/>
        <n v="0.53461875547765114" u="1"/>
        <n v="0.59212050984936271" u="1"/>
        <n v="0.84991273996509598" u="1"/>
        <n v="0.82608695652173914" u="1"/>
        <n v="0.67490494296577952" u="1"/>
        <n v="0.9008746355685131" u="1"/>
        <n v="0.86284289276807979" u="1"/>
        <n v="0.85053380782918153" u="1"/>
        <n v="0.84782608695652173" u="1"/>
        <n v="0.90476190476190477" u="1"/>
        <n v="0.9107142857142857" u="1"/>
        <n v="0.95736434108527135" u="1"/>
        <n v="0.9486166007905138" u="1"/>
        <n v="0.8721804511278195" u="1"/>
        <n v="0.89147286821705429" u="1"/>
        <n v="0.96245733788395904" u="1"/>
        <n v="0.9045092838196287" u="1"/>
        <n v="0.90104166666666663" u="1"/>
        <n v="0.96216216216216222" u="1"/>
        <n v="0.92592592592592593" u="1"/>
        <n v="0.963963963963964" u="1"/>
        <n v="0.9124423963133641" u="1"/>
        <n v="0.94764397905759157" u="1"/>
        <n v="0.89204545454545459" u="1"/>
        <n v="0.92121212121212126" u="1"/>
        <n v="0.934640522875817" u="1"/>
        <n v="0.96571428571428575" u="1"/>
        <n v="0.88796680497925307" u="1"/>
        <n v="0.6750524109014675" u="1"/>
        <n v="0.9197860962566845" u="1"/>
        <n v="0.92342342342342343" u="1"/>
        <n v="0.94581280788177335" u="1"/>
        <n v="0.95675675675675675" u="1"/>
        <n v="0.84729064039408863" u="1"/>
        <n v="0.88532110091743121" u="1"/>
        <n v="0.87190082644628097" u="1"/>
        <n v="0.87368421052631584" u="1"/>
        <n v="0.8868778280542986" u="1"/>
        <n v="0.81144781144781142" u="1"/>
        <n v="0.91845493562231761" u="1"/>
        <n v="0.96464646464646464" u="1"/>
        <n v="0.8571428571428571" u="1"/>
        <n v="0.85207100591715978" u="1"/>
        <n v="0.9196428571428571" u="1"/>
        <n v="0.92546583850931674" u="1"/>
        <n v="0.92349726775956287" u="1"/>
        <n v="0.9321266968325792" u="1"/>
        <n v="0.95544554455445541" u="1"/>
        <n v="0.84455958549222798" u="1"/>
        <n v="0.93264248704663211" u="1"/>
        <n v="0.90748898678414092" u="1"/>
        <n v="0.88444444444444448" u="1"/>
        <n v="0.94607843137254899" u="1"/>
        <n v="0.87782805429864252" u="1"/>
        <n v="0.89534883720930236" u="1"/>
        <n v="0.82352941176470584" u="1"/>
        <n v="0.86309523809523814" u="1"/>
        <n v="0.85945945945945945" u="1"/>
        <n v="0.78947368421052633" u="1"/>
        <n v="0.89370078740157477" u="1"/>
        <n v="0.88262910798122063" u="1"/>
        <n v="0.90052356020942403" u="1"/>
        <n v="0.91812865497076024" u="1"/>
        <n v="0.81045751633986929" u="1"/>
        <n v="0.9308176100628931" u="1"/>
        <n v="0.93706293706293708" u="1"/>
        <n v="0.89743589743589747" u="1"/>
        <n v="0.77319587628865982" u="1"/>
        <n v="0.92820512820512824" u="1"/>
        <n v="0.8613445378151261" u="1"/>
        <n v="0.96551724137931039" u="1"/>
        <n v="0.80168776371308015" u="1"/>
        <n v="0.83032490974729245" u="1"/>
        <n v="0.94219653179190754" u="1"/>
        <n v="0.91017964071856283" u="1"/>
        <n v="0.88439306358381498" u="1"/>
        <n v="0.93125000000000002" u="1"/>
        <n v="0.92274678111587982" u="1"/>
        <n v="0.96913580246913578" u="1"/>
        <n v="0.92261904761904767" u="1"/>
        <n v="0.91768292682926833" u="1"/>
        <n v="0.9027027027027027" u="1"/>
        <n v="0.84615384615384615" u="1"/>
        <n v="0.94409937888198758" u="1"/>
        <n v="0.9382022471910112" u="1"/>
        <n v="0.98555956678700363" u="1"/>
        <n v="0.92090395480225984" u="1"/>
        <n v="0.80769230769230771" u="1"/>
        <n v="0.87019230769230771" u="1"/>
        <n v="0.9157303370786517" u="1"/>
        <n v="0.94152046783625731" u="1"/>
        <n v="0.94578313253012047" u="1"/>
        <n v="0.94347826086956521" u="1"/>
        <n v="0.77083333333333337" u="1"/>
        <n v="0.77142857142857146" u="1"/>
        <n v="0.90404040404040409" u="1"/>
        <n v="0.95767195767195767" u="1"/>
        <n v="0.92519685039370081" u="1"/>
        <n v="0.89212328767123283" u="1"/>
        <n v="0.97695035460992907" u="1"/>
        <n v="0.99333333333333329" u="1"/>
        <n v="0.95777351247600773" u="1"/>
        <n v="0.9363636363636364" u="1"/>
        <n v="0.96934865900383138" u="1"/>
        <n v="0.94170403587443952" u="1"/>
        <n v="0.98305084745762716" u="1"/>
        <n v="0.96176470588235297" u="1"/>
        <n v="0.95539033457249067" u="1"/>
        <n v="0.91235059760956172" u="1"/>
        <n v="0.96566523605150212" u="1"/>
        <n v="0.96498054474708173" u="1"/>
        <n v="0.95510204081632655" u="1"/>
        <n v="0.99250936329588013" u="1"/>
        <n v="0.9576271186440678" u="1"/>
        <n v="0.97153024911032027" u="1"/>
        <n v="0.96992481203007519" u="1"/>
        <n v="0.9862542955326461" u="1"/>
        <n v="0.96896551724137936" u="1"/>
        <n v="0.9869565217391304" u="1"/>
        <n v="0.95582329317269077" u="1"/>
        <n v="0.93714285714285717" u="1"/>
        <n v="0.8476454293628809" u="1"/>
        <n v="0.97709923664122134" u="1"/>
        <n v="0.95364238410596025" u="1"/>
        <n v="0.89632107023411367" u="1"/>
        <n v="0.9668674698795181" u="1"/>
        <n v="0.96875" u="1"/>
        <n v="0.99435028248587576" u="1"/>
        <n v="0.99348534201954397" u="1"/>
        <n v="0.98296422487223167" u="1"/>
        <n v="0.96742671009771986" u="1"/>
        <n v="0.93814432989690721" u="1"/>
        <n v="0.98969072164948457" u="1"/>
        <n v="0.92829457364341084" u="1"/>
        <n v="0.98893805309734517" u="1"/>
        <n v="0.93790849673202614" u="1"/>
        <n v="0.975103734439834" u="1"/>
        <n v="0.9504643962848297" u="1"/>
        <n v="0.98417721518987344" u="1"/>
        <n v="0.94007490636704116" u="1"/>
        <n v="0.96356275303643724" u="1"/>
        <n v="0.9707446808510638" u="1"/>
        <n v="0.96835443037974689" u="1"/>
        <n v="0.98064516129032253" u="1"/>
        <n v="0.97883597883597884" u="1"/>
        <n v="0.98113207547169812" u="1"/>
        <n v="0.9915730337078652" u="1"/>
        <n v="0.97150997150997154" u="1"/>
        <n v="0.93556701030927836" u="1"/>
        <n v="0.98939929328621912" u="1"/>
        <n v="0.98755186721991706" u="1"/>
        <n v="0.84827586206896555" u="1"/>
        <n v="0.97407407407407409" u="1"/>
        <n v="0.96747967479674801" u="1"/>
        <n v="0.97014925373134331" u="1"/>
        <n v="0.98557692307692313" u="1"/>
        <n v="0.99397590361445787" u="1"/>
        <n v="0.95428571428571429" u="1"/>
        <n v="0.97297297297297303" u="1"/>
        <n v="0.9606741573033708" u="1"/>
        <n v="0.95628415300546443" u="1"/>
        <n v="0.9856459330143541" u="1"/>
        <n v="0.99444444444444446" u="1"/>
        <n v="0.91855203619909498" u="1"/>
        <n v="0.9202551834130781" u="1"/>
        <n v="0.92487479131886474" u="1"/>
        <n v="0.98684210526315785" u="1"/>
        <n v="0.97378277153558057" u="1"/>
        <n v="0.9825174825174825" u="1"/>
        <n v="0.98952879581151831" u="1"/>
        <n v="0.96279069767441861" u="1"/>
        <n v="0.96380090497737558" u="1"/>
        <n v="0.96517412935323388" u="1"/>
        <n v="0.94285714285714284" u="1"/>
        <n v="0.9346733668341709" u="1"/>
        <n v="0.98233215547703179" u="1"/>
        <n v="0.9652173913043478" u="1"/>
        <n v="0.98918918918918919" u="1"/>
        <n v="0.98477157360406087" u="1"/>
        <n v="0.99130434782608701" u="1"/>
        <n v="0.97468354430379744" u="1"/>
        <n v="0.98139534883720925" u="1"/>
        <n v="0.99346405228758172" u="1"/>
        <n v="0.9640718562874252" u="1"/>
        <n v="0.95338983050847459" u="1"/>
        <n v="0.97524752475247523" u="1"/>
        <n v="0.98378378378378384" u="1"/>
        <n v="0.96059113300492616" u="1"/>
        <n v="0.98648648648648651" u="1"/>
        <n v="0.9570815450643777" u="1"/>
        <n v="0.97979797979797978" u="1"/>
        <n v="0.92346938775510201" u="1"/>
        <n v="0.94570135746606332" u="1"/>
        <n v="0.97448979591836737" u="1"/>
        <n v="0.95734597156398105" u="1"/>
        <n v="0.98584905660377353" u="1"/>
      </sharedItems>
      <fieldGroup par="22"/>
    </cacheField>
    <cacheField name="Abandoned Calls" numFmtId="0">
      <sharedItems containsString="0" containsBlank="1" containsNumber="1" containsInteger="1" minValue="0" maxValue="704"/>
    </cacheField>
    <cacheField name="Answer Speed (AVG)" numFmtId="0">
      <sharedItems containsNonDate="0" containsDate="1" containsString="0" containsBlank="1" minDate="1899-12-30T00:00:02" maxDate="1899-12-30T00:05:08"/>
    </cacheField>
    <cacheField name="Answer Time Min" numFmtId="0">
      <sharedItems containsString="0" containsBlank="1" containsNumber="1" minValue="0.30000000000000004" maxValue="2295.1999999999998"/>
    </cacheField>
    <cacheField name="Answer Speed (AVG) Min" numFmtId="0">
      <sharedItems containsString="0" containsBlank="1" containsNumber="1" minValue="3.3333333333333333E-2" maxValue="5.1333333333333337"/>
    </cacheField>
    <cacheField name="Answer Speed (AVG) Sec" numFmtId="0">
      <sharedItems containsString="0" containsBlank="1" containsNumber="1" minValue="2" maxValue="308"/>
    </cacheField>
    <cacheField name="Talk Duration (AVG)" numFmtId="0">
      <sharedItems containsNonDate="0" containsDate="1" containsString="0" containsBlank="1" minDate="1899-12-30T00:00:57" maxDate="1899-12-30T00:04:48"/>
    </cacheField>
    <cacheField name="Talk Time Min" numFmtId="0">
      <sharedItems containsString="0" containsBlank="1" containsNumber="1" minValue="12.083333333333332" maxValue="2787.6000000000004"/>
    </cacheField>
    <cacheField name="Talk Duration (AVG) Min" numFmtId="0">
      <sharedItems containsString="0" containsBlank="1" containsNumber="1" minValue="0.95" maxValue="4.8"/>
    </cacheField>
    <cacheField name="Talk Duration (AVG) Sec" numFmtId="0">
      <sharedItems containsString="0" containsBlank="1" containsNumber="1" minValue="57" maxValue="288"/>
    </cacheField>
    <cacheField name="Service Level (20 Seconds) # of Calls" numFmtId="0">
      <sharedItems containsString="0" containsBlank="1" containsNumber="1" containsInteger="1" minValue="0" maxValue="530"/>
    </cacheField>
    <cacheField name="Service Level (20 Seconds)" numFmtId="0">
      <sharedItems containsString="0" containsBlank="1" containsNumber="1" minValue="0" maxValue="1"/>
    </cacheField>
    <cacheField name="Est SL20S" numFmtId="0">
      <sharedItems containsString="0" containsBlank="1" containsNumber="1" minValue="0" maxValue="530.49379999999996"/>
    </cacheField>
    <cacheField name="Months (Calls Date)" numFmtId="0" databaseField="0">
      <fieldGroup base="1">
        <rangePr groupBy="months" startDate="2021-01-01T00:00:00" endDate="2024-06-05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5/2024"/>
        </groupItems>
      </fieldGroup>
    </cacheField>
    <cacheField name="Quarters (Calls Date)" numFmtId="0" databaseField="0">
      <fieldGroup base="1">
        <rangePr groupBy="quarters" startDate="2021-01-01T00:00:00" endDate="2024-06-05T00:00:00"/>
        <groupItems count="6">
          <s v="&lt;1/1/2021"/>
          <s v="Qtr1"/>
          <s v="Qtr2"/>
          <s v="Qtr3"/>
          <s v="Qtr4"/>
          <s v="&gt;6/5/2024"/>
        </groupItems>
      </fieldGroup>
    </cacheField>
    <cacheField name="Years (Calls Date)" numFmtId="0" databaseField="0">
      <fieldGroup base="1">
        <rangePr groupBy="years" startDate="2021-01-01T00:00:00" endDate="2024-06-05T00:00:00"/>
        <groupItems count="6">
          <s v="&lt;1/1/2021"/>
          <s v="2021"/>
          <s v="2022"/>
          <s v="2023"/>
          <s v="2024"/>
          <s v="&gt;6/5/2024"/>
        </groupItems>
      </fieldGroup>
    </cacheField>
    <cacheField name="% Abandoned Calls" numFmtId="0" formula="'Abandoned Calls'/'Incoming Calls'" databaseField="0"/>
    <cacheField name="Answer Speed (AVG) Seconds" numFmtId="0" formula="'Answer Time Min'/'Answered Calls'*60" databaseField="0"/>
    <cacheField name="Answer Rate %2" numFmtId="0" databaseField="0">
      <fieldGroup base="4">
        <discretePr count="907">
          <x v="879"/>
          <x v="879"/>
          <x v="879"/>
          <x v="0"/>
          <x v="879"/>
          <x v="879"/>
          <x v="879"/>
          <x v="879"/>
          <x v="880"/>
          <x v="879"/>
          <x v="879"/>
          <x v="880"/>
          <x v="1"/>
          <x v="880"/>
          <x v="2"/>
          <x v="3"/>
          <x v="880"/>
          <x v="882"/>
          <x v="880"/>
          <x v="880"/>
          <x v="880"/>
          <x v="4"/>
          <x v="881"/>
          <x v="5"/>
          <x v="881"/>
          <x v="881"/>
          <x v="6"/>
          <x v="883"/>
          <x v="7"/>
          <x v="8"/>
          <x v="9"/>
          <x v="10"/>
          <x v="11"/>
          <x v="882"/>
          <x v="880"/>
          <x v="881"/>
          <x v="12"/>
          <x v="883"/>
          <x v="883"/>
          <x v="882"/>
          <x v="881"/>
          <x v="13"/>
          <x v="14"/>
          <x v="15"/>
          <x v="16"/>
          <x v="17"/>
          <x v="18"/>
          <x v="19"/>
          <x v="20"/>
          <x v="21"/>
          <x v="22"/>
          <x v="23"/>
          <x v="24"/>
          <x v="25"/>
          <x v="26"/>
          <x v="27"/>
          <x v="28"/>
          <x v="29"/>
          <x v="30"/>
          <x v="31"/>
          <x v="32"/>
          <x v="33"/>
          <x v="34"/>
          <x v="35"/>
          <x v="36"/>
          <x v="37"/>
          <x v="38"/>
          <x v="39"/>
          <x v="40"/>
          <x v="41"/>
          <x v="42"/>
          <x v="43"/>
          <x v="44"/>
          <x v="45"/>
          <x v="46"/>
          <x v="47"/>
          <x v="48"/>
          <x v="49"/>
          <x v="50"/>
          <x v="51"/>
          <x v="52"/>
          <x v="53"/>
          <x v="54"/>
          <x v="55"/>
          <x v="56"/>
          <x v="57"/>
          <x v="58"/>
          <x v="59"/>
          <x v="60"/>
          <x v="61"/>
          <x v="62"/>
          <x v="63"/>
          <x v="64"/>
          <x v="65"/>
          <x v="66"/>
          <x v="67"/>
          <x v="68"/>
          <x v="69"/>
          <x v="70"/>
          <x v="71"/>
          <x v="72"/>
          <x v="73"/>
          <x v="74"/>
          <x v="75"/>
          <x v="76"/>
          <x v="77"/>
          <x v="78"/>
          <x v="79"/>
          <x v="80"/>
          <x v="81"/>
          <x v="82"/>
          <x v="83"/>
          <x v="84"/>
          <x v="85"/>
          <x v="86"/>
          <x v="87"/>
          <x v="88"/>
          <x v="89"/>
          <x v="90"/>
          <x v="91"/>
          <x v="92"/>
          <x v="93"/>
          <x v="94"/>
          <x v="95"/>
          <x v="96"/>
          <x v="97"/>
          <x v="98"/>
          <x v="99"/>
          <x v="100"/>
          <x v="101"/>
          <x v="102"/>
          <x v="103"/>
          <x v="104"/>
          <x v="105"/>
          <x v="106"/>
          <x v="107"/>
          <x v="108"/>
          <x v="109"/>
          <x v="110"/>
          <x v="111"/>
          <x v="112"/>
          <x v="113"/>
          <x v="114"/>
          <x v="115"/>
          <x v="116"/>
          <x v="117"/>
          <x v="118"/>
          <x v="119"/>
          <x v="120"/>
          <x v="121"/>
          <x v="122"/>
          <x v="123"/>
          <x v="124"/>
          <x v="125"/>
          <x v="126"/>
          <x v="127"/>
          <x v="128"/>
          <x v="129"/>
          <x v="130"/>
          <x v="131"/>
          <x v="132"/>
          <x v="133"/>
          <x v="134"/>
          <x v="135"/>
          <x v="136"/>
          <x v="137"/>
          <x v="138"/>
          <x v="139"/>
          <x v="140"/>
          <x v="141"/>
          <x v="142"/>
          <x v="143"/>
          <x v="144"/>
          <x v="145"/>
          <x v="146"/>
          <x v="147"/>
          <x v="148"/>
          <x v="149"/>
          <x v="150"/>
          <x v="151"/>
          <x v="152"/>
          <x v="153"/>
          <x v="154"/>
          <x v="155"/>
          <x v="156"/>
          <x v="157"/>
          <x v="158"/>
          <x v="159"/>
          <x v="160"/>
          <x v="161"/>
          <x v="162"/>
          <x v="163"/>
          <x v="164"/>
          <x v="165"/>
          <x v="166"/>
          <x v="167"/>
          <x v="168"/>
          <x v="169"/>
          <x v="170"/>
          <x v="171"/>
          <x v="172"/>
          <x v="173"/>
          <x v="174"/>
          <x v="175"/>
          <x v="176"/>
          <x v="177"/>
          <x v="178"/>
          <x v="179"/>
          <x v="180"/>
          <x v="181"/>
          <x v="182"/>
          <x v="183"/>
          <x v="184"/>
          <x v="185"/>
          <x v="186"/>
          <x v="187"/>
          <x v="188"/>
          <x v="189"/>
          <x v="190"/>
          <x v="191"/>
          <x v="192"/>
          <x v="193"/>
          <x v="194"/>
          <x v="195"/>
          <x v="196"/>
          <x v="197"/>
          <x v="198"/>
          <x v="199"/>
          <x v="200"/>
          <x v="201"/>
          <x v="202"/>
          <x v="203"/>
          <x v="204"/>
          <x v="205"/>
          <x v="206"/>
          <x v="207"/>
          <x v="208"/>
          <x v="209"/>
          <x v="210"/>
          <x v="211"/>
          <x v="212"/>
          <x v="213"/>
          <x v="214"/>
          <x v="215"/>
          <x v="216"/>
          <x v="217"/>
          <x v="218"/>
          <x v="219"/>
          <x v="220"/>
          <x v="221"/>
          <x v="222"/>
          <x v="223"/>
          <x v="224"/>
          <x v="225"/>
          <x v="226"/>
          <x v="227"/>
          <x v="228"/>
          <x v="229"/>
          <x v="230"/>
          <x v="231"/>
          <x v="232"/>
          <x v="233"/>
          <x v="234"/>
          <x v="235"/>
          <x v="236"/>
          <x v="237"/>
          <x v="238"/>
          <x v="239"/>
          <x v="240"/>
          <x v="241"/>
          <x v="242"/>
          <x v="243"/>
          <x v="244"/>
          <x v="245"/>
          <x v="246"/>
          <x v="247"/>
          <x v="248"/>
          <x v="249"/>
          <x v="250"/>
          <x v="251"/>
          <x v="252"/>
          <x v="253"/>
          <x v="254"/>
          <x v="255"/>
          <x v="256"/>
          <x v="257"/>
          <x v="258"/>
          <x v="259"/>
          <x v="260"/>
          <x v="261"/>
          <x v="262"/>
          <x v="263"/>
          <x v="264"/>
          <x v="265"/>
          <x v="266"/>
          <x v="267"/>
          <x v="268"/>
          <x v="269"/>
          <x v="270"/>
          <x v="271"/>
          <x v="272"/>
          <x v="273"/>
          <x v="274"/>
          <x v="275"/>
          <x v="276"/>
          <x v="277"/>
          <x v="278"/>
          <x v="279"/>
          <x v="280"/>
          <x v="281"/>
          <x v="282"/>
          <x v="283"/>
          <x v="284"/>
          <x v="285"/>
          <x v="286"/>
          <x v="287"/>
          <x v="288"/>
          <x v="289"/>
          <x v="290"/>
          <x v="291"/>
          <x v="292"/>
          <x v="293"/>
          <x v="294"/>
          <x v="295"/>
          <x v="296"/>
          <x v="297"/>
          <x v="298"/>
          <x v="299"/>
          <x v="300"/>
          <x v="301"/>
          <x v="302"/>
          <x v="303"/>
          <x v="304"/>
          <x v="305"/>
          <x v="306"/>
          <x v="307"/>
          <x v="308"/>
          <x v="309"/>
          <x v="310"/>
          <x v="311"/>
          <x v="312"/>
          <x v="313"/>
          <x v="314"/>
          <x v="315"/>
          <x v="316"/>
          <x v="317"/>
          <x v="318"/>
          <x v="319"/>
          <x v="320"/>
          <x v="321"/>
          <x v="322"/>
          <x v="323"/>
          <x v="324"/>
          <x v="325"/>
          <x v="326"/>
          <x v="327"/>
          <x v="328"/>
          <x v="329"/>
          <x v="330"/>
          <x v="331"/>
          <x v="332"/>
          <x v="333"/>
          <x v="334"/>
          <x v="335"/>
          <x v="336"/>
          <x v="337"/>
          <x v="338"/>
          <x v="339"/>
          <x v="340"/>
          <x v="341"/>
          <x v="342"/>
          <x v="343"/>
          <x v="344"/>
          <x v="345"/>
          <x v="346"/>
          <x v="347"/>
          <x v="348"/>
          <x v="349"/>
          <x v="350"/>
          <x v="351"/>
          <x v="352"/>
          <x v="353"/>
          <x v="354"/>
          <x v="355"/>
          <x v="356"/>
          <x v="357"/>
          <x v="358"/>
          <x v="359"/>
          <x v="360"/>
          <x v="361"/>
          <x v="362"/>
          <x v="363"/>
          <x v="364"/>
          <x v="365"/>
          <x v="366"/>
          <x v="367"/>
          <x v="368"/>
          <x v="369"/>
          <x v="370"/>
          <x v="371"/>
          <x v="372"/>
          <x v="373"/>
          <x v="374"/>
          <x v="375"/>
          <x v="376"/>
          <x v="377"/>
          <x v="378"/>
          <x v="379"/>
          <x v="380"/>
          <x v="381"/>
          <x v="382"/>
          <x v="383"/>
          <x v="384"/>
          <x v="385"/>
          <x v="386"/>
          <x v="387"/>
          <x v="388"/>
          <x v="389"/>
          <x v="390"/>
          <x v="391"/>
          <x v="392"/>
          <x v="393"/>
          <x v="394"/>
          <x v="395"/>
          <x v="396"/>
          <x v="397"/>
          <x v="398"/>
          <x v="399"/>
          <x v="400"/>
          <x v="401"/>
          <x v="402"/>
          <x v="403"/>
          <x v="404"/>
          <x v="405"/>
          <x v="406"/>
          <x v="407"/>
          <x v="408"/>
          <x v="409"/>
          <x v="410"/>
          <x v="411"/>
          <x v="412"/>
          <x v="413"/>
          <x v="414"/>
          <x v="415"/>
          <x v="416"/>
          <x v="417"/>
          <x v="418"/>
          <x v="419"/>
          <x v="420"/>
          <x v="421"/>
          <x v="422"/>
          <x v="423"/>
          <x v="424"/>
          <x v="425"/>
          <x v="426"/>
          <x v="427"/>
          <x v="428"/>
          <x v="429"/>
          <x v="430"/>
          <x v="431"/>
          <x v="432"/>
          <x v="433"/>
          <x v="434"/>
          <x v="435"/>
          <x v="436"/>
          <x v="437"/>
          <x v="438"/>
          <x v="439"/>
          <x v="440"/>
          <x v="441"/>
          <x v="442"/>
          <x v="443"/>
          <x v="444"/>
          <x v="445"/>
          <x v="446"/>
          <x v="447"/>
          <x v="448"/>
          <x v="449"/>
          <x v="450"/>
          <x v="451"/>
          <x v="452"/>
          <x v="453"/>
          <x v="454"/>
          <x v="455"/>
          <x v="456"/>
          <x v="457"/>
          <x v="458"/>
          <x v="459"/>
          <x v="460"/>
          <x v="461"/>
          <x v="462"/>
          <x v="463"/>
          <x v="464"/>
          <x v="465"/>
          <x v="466"/>
          <x v="467"/>
          <x v="468"/>
          <x v="469"/>
          <x v="470"/>
          <x v="471"/>
          <x v="472"/>
          <x v="473"/>
          <x v="474"/>
          <x v="475"/>
          <x v="476"/>
          <x v="477"/>
          <x v="478"/>
          <x v="479"/>
          <x v="480"/>
          <x v="481"/>
          <x v="482"/>
          <x v="483"/>
          <x v="484"/>
          <x v="485"/>
          <x v="486"/>
          <x v="487"/>
          <x v="488"/>
          <x v="489"/>
          <x v="490"/>
          <x v="491"/>
          <x v="492"/>
          <x v="493"/>
          <x v="494"/>
          <x v="495"/>
          <x v="496"/>
          <x v="497"/>
          <x v="498"/>
          <x v="499"/>
          <x v="500"/>
          <x v="501"/>
          <x v="502"/>
          <x v="503"/>
          <x v="504"/>
          <x v="505"/>
          <x v="506"/>
          <x v="507"/>
          <x v="508"/>
          <x v="509"/>
          <x v="510"/>
          <x v="511"/>
          <x v="512"/>
          <x v="513"/>
          <x v="514"/>
          <x v="515"/>
          <x v="516"/>
          <x v="517"/>
          <x v="518"/>
          <x v="519"/>
          <x v="520"/>
          <x v="521"/>
          <x v="522"/>
          <x v="523"/>
          <x v="524"/>
          <x v="525"/>
          <x v="526"/>
          <x v="527"/>
          <x v="528"/>
          <x v="529"/>
          <x v="530"/>
          <x v="531"/>
          <x v="532"/>
          <x v="533"/>
          <x v="534"/>
          <x v="535"/>
          <x v="536"/>
          <x v="537"/>
          <x v="538"/>
          <x v="539"/>
          <x v="540"/>
          <x v="541"/>
          <x v="542"/>
          <x v="543"/>
          <x v="544"/>
          <x v="545"/>
          <x v="546"/>
          <x v="547"/>
          <x v="548"/>
          <x v="549"/>
          <x v="550"/>
          <x v="551"/>
          <x v="552"/>
          <x v="553"/>
          <x v="554"/>
          <x v="555"/>
          <x v="556"/>
          <x v="557"/>
          <x v="558"/>
          <x v="559"/>
          <x v="560"/>
          <x v="561"/>
          <x v="562"/>
          <x v="563"/>
          <x v="564"/>
          <x v="565"/>
          <x v="566"/>
          <x v="567"/>
          <x v="568"/>
          <x v="569"/>
          <x v="570"/>
          <x v="571"/>
          <x v="572"/>
          <x v="573"/>
          <x v="574"/>
          <x v="575"/>
          <x v="576"/>
          <x v="577"/>
          <x v="578"/>
          <x v="579"/>
          <x v="580"/>
          <x v="581"/>
          <x v="582"/>
          <x v="583"/>
          <x v="584"/>
          <x v="585"/>
          <x v="586"/>
          <x v="587"/>
          <x v="588"/>
          <x v="589"/>
          <x v="590"/>
          <x v="591"/>
          <x v="592"/>
          <x v="593"/>
          <x v="594"/>
          <x v="595"/>
          <x v="596"/>
          <x v="597"/>
          <x v="598"/>
          <x v="599"/>
          <x v="600"/>
          <x v="601"/>
          <x v="602"/>
          <x v="603"/>
          <x v="604"/>
          <x v="605"/>
          <x v="606"/>
          <x v="607"/>
          <x v="608"/>
          <x v="609"/>
          <x v="610"/>
          <x v="611"/>
          <x v="612"/>
          <x v="613"/>
          <x v="614"/>
          <x v="615"/>
          <x v="616"/>
          <x v="617"/>
          <x v="618"/>
          <x v="619"/>
          <x v="620"/>
          <x v="621"/>
          <x v="622"/>
          <x v="623"/>
          <x v="624"/>
          <x v="625"/>
          <x v="626"/>
          <x v="627"/>
          <x v="628"/>
          <x v="629"/>
          <x v="630"/>
          <x v="631"/>
          <x v="632"/>
          <x v="633"/>
          <x v="634"/>
          <x v="635"/>
          <x v="636"/>
          <x v="637"/>
          <x v="638"/>
          <x v="639"/>
          <x v="640"/>
          <x v="641"/>
          <x v="642"/>
          <x v="643"/>
          <x v="644"/>
          <x v="645"/>
          <x v="646"/>
          <x v="647"/>
          <x v="648"/>
          <x v="649"/>
          <x v="650"/>
          <x v="651"/>
          <x v="652"/>
          <x v="653"/>
          <x v="654"/>
          <x v="655"/>
          <x v="656"/>
          <x v="657"/>
          <x v="658"/>
          <x v="659"/>
          <x v="660"/>
          <x v="661"/>
          <x v="662"/>
          <x v="663"/>
          <x v="664"/>
          <x v="665"/>
          <x v="666"/>
          <x v="667"/>
          <x v="668"/>
          <x v="669"/>
          <x v="670"/>
          <x v="671"/>
          <x v="672"/>
          <x v="673"/>
          <x v="674"/>
          <x v="675"/>
          <x v="676"/>
          <x v="677"/>
          <x v="678"/>
          <x v="679"/>
          <x v="680"/>
          <x v="681"/>
          <x v="682"/>
          <x v="683"/>
          <x v="684"/>
          <x v="685"/>
          <x v="686"/>
          <x v="687"/>
          <x v="688"/>
          <x v="689"/>
          <x v="690"/>
          <x v="691"/>
          <x v="692"/>
          <x v="693"/>
          <x v="694"/>
          <x v="695"/>
          <x v="696"/>
          <x v="697"/>
          <x v="698"/>
          <x v="699"/>
          <x v="700"/>
          <x v="701"/>
          <x v="702"/>
          <x v="703"/>
          <x v="704"/>
          <x v="705"/>
          <x v="706"/>
          <x v="707"/>
          <x v="708"/>
          <x v="709"/>
          <x v="710"/>
          <x v="711"/>
          <x v="712"/>
          <x v="713"/>
          <x v="714"/>
          <x v="715"/>
          <x v="716"/>
          <x v="717"/>
          <x v="718"/>
          <x v="719"/>
          <x v="720"/>
          <x v="721"/>
          <x v="722"/>
          <x v="723"/>
          <x v="724"/>
          <x v="725"/>
          <x v="726"/>
          <x v="727"/>
          <x v="728"/>
          <x v="729"/>
          <x v="730"/>
          <x v="731"/>
          <x v="732"/>
          <x v="733"/>
          <x v="734"/>
          <x v="735"/>
          <x v="736"/>
          <x v="737"/>
          <x v="738"/>
          <x v="739"/>
          <x v="740"/>
          <x v="741"/>
          <x v="742"/>
          <x v="743"/>
          <x v="744"/>
          <x v="745"/>
          <x v="746"/>
          <x v="747"/>
          <x v="748"/>
          <x v="749"/>
          <x v="750"/>
          <x v="751"/>
          <x v="752"/>
          <x v="753"/>
          <x v="754"/>
          <x v="755"/>
          <x v="756"/>
          <x v="757"/>
          <x v="758"/>
          <x v="759"/>
          <x v="760"/>
          <x v="761"/>
          <x v="762"/>
          <x v="763"/>
          <x v="764"/>
          <x v="765"/>
          <x v="766"/>
          <x v="767"/>
          <x v="768"/>
          <x v="769"/>
          <x v="770"/>
          <x v="771"/>
          <x v="772"/>
          <x v="773"/>
          <x v="774"/>
          <x v="775"/>
          <x v="776"/>
          <x v="777"/>
          <x v="778"/>
          <x v="779"/>
          <x v="780"/>
          <x v="781"/>
          <x v="782"/>
          <x v="783"/>
          <x v="784"/>
          <x v="785"/>
          <x v="786"/>
          <x v="787"/>
          <x v="788"/>
          <x v="789"/>
          <x v="790"/>
          <x v="791"/>
          <x v="792"/>
          <x v="793"/>
          <x v="794"/>
          <x v="795"/>
          <x v="796"/>
          <x v="797"/>
          <x v="798"/>
          <x v="799"/>
          <x v="800"/>
          <x v="801"/>
          <x v="802"/>
          <x v="803"/>
          <x v="804"/>
          <x v="805"/>
          <x v="806"/>
          <x v="807"/>
          <x v="808"/>
          <x v="809"/>
          <x v="810"/>
          <x v="811"/>
          <x v="812"/>
          <x v="813"/>
          <x v="814"/>
          <x v="815"/>
          <x v="816"/>
          <x v="817"/>
          <x v="818"/>
          <x v="819"/>
          <x v="820"/>
          <x v="821"/>
          <x v="822"/>
          <x v="823"/>
          <x v="824"/>
          <x v="825"/>
          <x v="826"/>
          <x v="827"/>
          <x v="828"/>
          <x v="829"/>
          <x v="830"/>
          <x v="831"/>
          <x v="832"/>
          <x v="833"/>
          <x v="834"/>
          <x v="835"/>
          <x v="836"/>
          <x v="837"/>
          <x v="838"/>
          <x v="839"/>
          <x v="840"/>
          <x v="841"/>
          <x v="842"/>
          <x v="843"/>
          <x v="844"/>
          <x v="845"/>
          <x v="846"/>
          <x v="847"/>
          <x v="848"/>
          <x v="849"/>
          <x v="850"/>
          <x v="851"/>
          <x v="852"/>
          <x v="853"/>
          <x v="854"/>
          <x v="855"/>
          <x v="856"/>
          <x v="857"/>
          <x v="858"/>
          <x v="859"/>
          <x v="860"/>
          <x v="861"/>
          <x v="862"/>
          <x v="863"/>
          <x v="864"/>
          <x v="865"/>
          <x v="866"/>
          <x v="867"/>
          <x v="868"/>
          <x v="869"/>
          <x v="870"/>
          <x v="871"/>
          <x v="872"/>
          <x v="873"/>
          <x v="874"/>
          <x v="875"/>
          <x v="876"/>
          <x v="877"/>
          <x v="878"/>
        </discretePr>
        <groupItems count="884">
          <n v="1"/>
          <n v="0.99"/>
          <n v="0.81"/>
          <n v="0.73"/>
          <n v="0.82"/>
          <n v="0.78"/>
          <n v="0.45"/>
          <n v="0.63"/>
          <n v="0.24"/>
          <n v="0.23"/>
          <n v="0.22"/>
          <n v="0.32"/>
          <n v="0.5"/>
          <n v="0.47"/>
          <n v="0.56999999999999995"/>
          <n v="0.42"/>
          <n v="0.76"/>
          <n v="0.67"/>
          <n v="0.6"/>
          <n v="0.69"/>
          <n v="0.53"/>
          <n v="0.59"/>
          <m/>
          <n v="0.94009216589861755"/>
          <n v="0.91666666666666663"/>
          <n v="0.93548387096774188"/>
          <n v="0.96507936507936509"/>
          <n v="0.96825396825396826"/>
          <n v="0.96244131455399062"/>
          <n v="0.91324200913242004"/>
          <n v="0.93800539083557954"/>
          <n v="0.98795180722891562"/>
          <n v="0.96103896103896103"/>
          <n v="0.96097560975609753"/>
          <n v="0.92603550295857984"/>
          <n v="0.96666666666666667"/>
          <n v="0.9336283185840708"/>
          <n v="0.93805309734513276"/>
          <n v="0.97777777777777775"/>
          <n v="0.88990825688073394"/>
          <n v="0.93048128342245995"/>
          <n v="0.96335078534031415"/>
          <n v="0.92553191489361697"/>
          <n v="0.90361445783132532"/>
          <n v="0.98275862068965514"/>
          <n v="0.95625000000000004"/>
          <n v="0.91860465116279066"/>
          <n v="0.94444444444444442"/>
          <n v="0.91428571428571426"/>
          <n v="0.96319018404907975"/>
          <n v="0.97902097902097907"/>
          <n v="0.96491228070175439"/>
          <n v="0.96089385474860334"/>
          <n v="0.94845360824742264"/>
          <n v="0.97512437810945274"/>
          <n v="0.8669724770642202"/>
          <n v="0.97938144329896903"/>
          <n v="0.96475770925110127"/>
          <n v="0.94890510948905105"/>
          <n v="0.99212598425196852"/>
          <n v="0.976303317535545"/>
          <n v="0.98936170212765961"/>
          <n v="0.99236641221374045"/>
          <n v="0.96923076923076923"/>
          <n v="0.99384615384615382"/>
          <n v="0.97872340425531912"/>
          <n v="0.98604651162790702"/>
          <n v="0.96808510638297873"/>
          <n v="0.98406374501992033"/>
          <n v="0.98342541436464093"/>
          <n v="0.93421052631578949"/>
          <n v="0.98787878787878791"/>
          <n v="0.96756756756756757"/>
          <n v="0.95348837209302328"/>
          <n v="0.89473684210526316"/>
          <n v="0.98514851485148514"/>
          <n v="0.97695852534562211"/>
          <n v="0.99111111111111116"/>
          <n v="0.98297872340425529"/>
          <n v="0.99504950495049505"/>
          <n v="0.90697674418604646"/>
          <n v="0.96391752577319589"/>
          <n v="0.95890410958904104"/>
          <n v="0.98639455782312924"/>
          <n v="0.99363057324840764"/>
          <n v="0.94736842105263153"/>
          <n v="0.97590361445783136"/>
          <n v="0.95575221238938057"/>
          <n v="0.97628458498023718"/>
          <n v="0.95714285714285718"/>
          <n v="0.95238095238095233"/>
          <n v="0.96969696969696972"/>
          <n v="0.95424836601307195"/>
          <n v="0.95744680851063835"/>
          <n v="0.97945205479452058"/>
          <n v="0.97222222222222221"/>
          <n v="0.98095238095238091"/>
          <n v="0.93442622950819676"/>
          <n v="0.98058252427184467"/>
          <n v="0.99484536082474229"/>
          <n v="0.970873786407767"/>
          <n v="0.98009950248756217"/>
          <n v="0.98019801980198018"/>
          <n v="0.96902654867256632"/>
          <n v="0.9760479041916168"/>
          <n v="0.97619047619047616"/>
          <n v="0.98734177215189878"/>
          <n v="0.98181818181818181"/>
          <n v="0.98324022346368711"/>
          <n v="0.99078341013824889"/>
          <n v="0.97660818713450293"/>
          <n v="0.95813953488372094"/>
          <n v="0.97247706422018354"/>
          <n v="0.98536585365853657"/>
          <n v="0.97435897435897434"/>
          <n v="0.97237569060773477"/>
          <n v="0.97169811320754718"/>
          <n v="0.96308724832214765"/>
          <n v="0.98717948717948723"/>
          <n v="0.97647058823529409"/>
          <n v="0.99655172413793103"/>
          <n v="0.94932432432432434"/>
          <n v="0.9884615384615385"/>
          <n v="0.96019900497512434"/>
          <n v="0.99242424242424243"/>
          <n v="0.9880239520958084"/>
          <n v="0.92941176470588238"/>
          <n v="0.96721311475409832"/>
          <n v="0.978494623655914"/>
          <n v="0.94964028776978415"/>
          <n v="0.98529411764705888"/>
          <n v="0.94495412844036697"/>
          <n v="0.97368421052631582"/>
          <n v="0.89583333333333337"/>
          <n v="0.9731182795698925"/>
          <n v="0.98901098901098905"/>
          <n v="0.97916666666666663"/>
          <n v="0.95483870967741935"/>
          <n v="0.98611111111111116"/>
          <n v="0.98780487804878048"/>
          <n v="0.96296296296296291"/>
          <n v="0.98870056497175141"/>
          <n v="0.97761194029850751"/>
          <n v="0.98816568047337283"/>
          <n v="0.98765432098765427"/>
          <n v="0.92993630573248409"/>
          <n v="0.92771084337349397"/>
          <n v="0.94827586206896552"/>
          <n v="0.98666666666666669"/>
          <n v="0.9907407407407407"/>
          <n v="0.96273291925465843"/>
          <n v="0.97419354838709682"/>
          <n v="0.93167701863354035"/>
          <n v="0.97727272727272729"/>
          <n v="0.97540983606557374"/>
          <n v="0.97175141242937857"/>
          <n v="0.99248120300751874"/>
          <n v="0.94350282485875703"/>
          <n v="0.97637795275590555"/>
          <n v="0.9932432432432432"/>
          <n v="0.95035460992907805"/>
          <n v="0.967741935483871"/>
          <n v="0.94545454545454544"/>
          <n v="0.98809523809523814"/>
          <n v="0.9494949494949495"/>
          <n v="0.95683453237410077"/>
          <n v="0.97826086956521741"/>
          <n v="0.94565217391304346"/>
          <n v="0.91787439613526567"/>
          <n v="0.94240837696335078"/>
          <n v="0.95774647887323938"/>
          <n v="0.9337474120082816"/>
          <n v="0.96160877513711152"/>
          <n v="0.98148148148148151"/>
          <n v="0.9490909090909091"/>
          <n v="0.95121951219512191"/>
          <n v="0.96250000000000002"/>
          <n v="0.97499999999999998"/>
          <n v="0.97402597402597402"/>
          <n v="0.95092024539877296"/>
          <n v="0.94767441860465118"/>
          <n v="0.9463414634146341"/>
          <n v="0.9438202247191011"/>
          <n v="0.93925233644859818"/>
          <n v="0.9526627218934911"/>
          <n v="0.91346153846153844"/>
          <n v="0.95726495726495731"/>
          <n v="0.9509803921568627"/>
          <n v="0.92647058823529416"/>
          <n v="0.93103448275862066"/>
          <n v="0.95209580838323349"/>
          <n v="0.98170731707317072"/>
          <n v="0.930379746835443"/>
          <n v="0.97575757575757571"/>
          <n v="0.96124031007751942"/>
          <n v="0.96129032258064517"/>
          <n v="0.9569377990430622"/>
          <n v="0.94560669456066948"/>
          <n v="0.91703056768558955"/>
          <n v="0.88659793814432986"/>
          <n v="0.88613861386138615"/>
          <n v="0.94776119402985071"/>
          <n v="0.94230769230769229"/>
          <n v="0.95893719806763289"/>
          <n v="0.93930635838150289"/>
          <n v="0.95721925133689845"/>
          <n v="0.91625615763546797"/>
          <n v="0.96031746031746035"/>
          <n v="0.95857988165680474"/>
          <n v="0.81065088757396453"/>
          <n v="0.73770491803278693"/>
          <n v="0.81437125748502992"/>
          <n v="0.84375"/>
          <n v="0.64628820960698685"/>
          <n v="0.98076923076923073"/>
          <n v="0.93309002433090027"/>
          <n v="0.97701149425287359"/>
          <n v="0.91785714285714282"/>
          <n v="0.96482412060301503"/>
          <n v="0.94841269841269837"/>
          <n v="0.93689320388349517"/>
          <n v="0.94930875576036866"/>
          <n v="0.95967741935483875"/>
          <n v="0.95495495495495497"/>
          <n v="0.93684210526315792"/>
          <n v="0.97058823529411764"/>
          <n v="0.95794392523364491"/>
          <n v="0.94623655913978499"/>
          <n v="0.92899408284023666"/>
          <n v="0.94630872483221473"/>
          <n v="0.95906432748538006"/>
          <n v="0.96062992125984248"/>
          <n v="0.95862068965517244"/>
          <n v="0.98449612403100772"/>
          <n v="0.91752577319587625"/>
          <n v="0.96534653465346532"/>
          <n v="0.9719626168224299"/>
          <n v="0.97905759162303663"/>
          <n v="0.98989898989898994"/>
          <n v="0.96195652173913049"/>
          <n v="0.94871794871794868"/>
          <n v="0.93333333333333335"/>
          <n v="0.95604395604395609"/>
          <n v="0.88150289017341044"/>
          <n v="0.9575289575289575"/>
          <n v="0.92640692640692646"/>
          <n v="0.95934959349593496"/>
          <n v="0.98039215686274506"/>
          <n v="0.9662921348314607"/>
          <n v="0.95930232558139539"/>
          <n v="0.96153846153846156"/>
          <n v="0.98701298701298701"/>
          <n v="0.85910652920962194"/>
          <n v="0.96803652968036524"/>
          <n v="0.97687861271676302"/>
          <n v="0.96568627450980393"/>
          <n v="0.85648148148148151"/>
          <n v="0.95661605206073752"/>
          <n v="0.9821428571428571"/>
          <n v="0.95549738219895286"/>
          <n v="0.9065040650406504"/>
          <n v="0.95833333333333337"/>
          <n v="0.92760180995475117"/>
          <n v="0.92307692307692313"/>
          <n v="0.94399999999999995"/>
          <n v="0.93401015228426398"/>
          <n v="0.93273542600896864"/>
          <n v="0.98333333333333328"/>
          <n v="0.9152542372881356"/>
          <n v="0.86111111111111116"/>
          <n v="0.95633187772925765"/>
          <n v="0.91747572815533984"/>
          <n v="0.88888888888888884"/>
          <n v="0.96499999999999997"/>
          <n v="0.94708994708994709"/>
          <n v="0.94082840236686394"/>
          <n v="0.97560975609756095"/>
          <n v="0.85779816513761464"/>
          <n v="0.95360824742268047"/>
          <n v="0.98895027624309395"/>
          <n v="0.94968553459119498"/>
          <n v="0.9375"/>
          <n v="0.93908629441624369"/>
          <n v="0.8392857142857143"/>
          <n v="0.84065934065934067"/>
          <n v="0.93258426966292129"/>
          <n v="0.89617486338797814"/>
          <n v="0.92385786802030456"/>
          <n v="0.9294605809128631"/>
          <n v="0.96091205211726383"/>
          <n v="0.97966101694915253"/>
          <n v="0.96234309623430958"/>
          <n v="0.95850622406639008"/>
          <n v="0.92417061611374407"/>
          <n v="0.875"/>
          <n v="0.90625"/>
          <n v="0.89054726368159209"/>
          <n v="0.90145985401459849"/>
          <n v="0.85853658536585364"/>
          <n v="0.903954802259887"/>
          <n v="0.84848484848484851"/>
          <n v="0.92105263157894735"/>
          <n v="0.85786802030456855"/>
          <n v="0.85436893203883491"/>
          <n v="0.89700996677740863"/>
          <n v="0.97765363128491622"/>
          <n v="0.91111111111111109"/>
          <n v="0.96791443850267378"/>
          <n v="0.95161290322580649"/>
          <n v="0.91338582677165359"/>
          <n v="0.8902439024390244"/>
          <n v="0.93697478991596639"/>
          <n v="0.93670886075949367"/>
          <n v="0.91439688715953304"/>
          <n v="0.82412060301507539"/>
          <n v="0.92613636363636365"/>
          <n v="0.9419354838709677"/>
          <n v="0.82995951417004044"/>
          <n v="0.97382198952879584"/>
          <n v="0.91772151898734178"/>
          <n v="0.8125"/>
          <n v="0.9538461538461539"/>
          <n v="0.96268656716417911"/>
          <n v="0.97580645161290325"/>
          <n v="0.91489361702127658"/>
          <n v="0.9441624365482234"/>
          <n v="0.92405063291139244"/>
          <n v="0.92638036809815949"/>
          <n v="0.898876404494382"/>
          <n v="0.84768211920529801"/>
          <n v="0.89830508474576276"/>
          <n v="0.90322580645161288"/>
          <n v="0.96402877697841727"/>
          <n v="0.90058479532163738"/>
          <n v="0.95480225988700562"/>
          <n v="0.96256684491978606"/>
          <n v="0.93877551020408168"/>
          <n v="0.93269230769230771"/>
          <n v="0.95679012345679015"/>
          <n v="0.94078947368421051"/>
          <n v="0.94696969696969702"/>
          <n v="0.98496240601503759"/>
          <n v="0.93798449612403101"/>
          <n v="0.94594594594594594"/>
          <n v="0.9642857142857143"/>
          <n v="0.97674418604651159"/>
          <n v="0.94852941176470584"/>
          <n v="0.88749999999999996"/>
          <n v="0.87121212121212122"/>
          <n v="0.9242424242424242"/>
          <n v="0.93788819875776397"/>
          <n v="0.95512820512820518"/>
          <n v="0.93430656934306566"/>
          <n v="0.8928571428571429"/>
          <n v="0.94326241134751776"/>
          <n v="0.94615384615384612"/>
          <n v="0.77844311377245512"/>
          <n v="0.88405797101449279"/>
          <n v="0.93617021276595747"/>
          <n v="0.89565217391304353"/>
          <n v="0.86440677966101698"/>
          <n v="0.93710691823899372"/>
          <n v="0.89403973509933776"/>
          <n v="0.91304347826086951"/>
          <n v="0.95454545454545459"/>
          <n v="0.88135593220338981"/>
          <n v="0.98373983739837401"/>
          <n v="0.93388429752066116"/>
          <n v="0.88571428571428568"/>
          <n v="0.94166666666666665"/>
          <n v="0.90769230769230769"/>
          <n v="0.9285714285714286"/>
          <n v="0.84732824427480913"/>
          <n v="0.90909090909090906"/>
          <n v="0.98571428571428577"/>
          <n v="0.90654205607476634"/>
          <n v="0.93406593406593408"/>
          <n v="0.91208791208791207"/>
          <n v="0.7857142857142857"/>
          <n v="0.93243243243243246"/>
          <n v="0.94202898550724634"/>
          <n v="0.95199999999999996"/>
          <n v="0.97959183673469385"/>
          <n v="0.98319327731092432"/>
          <n v="0.91095890410958902"/>
          <n v="0.96946564885496178"/>
          <n v="0.83199999999999996"/>
          <n v="0.97142857142857142"/>
          <n v="0.90082644628099173"/>
          <n v="0.90370370370370368"/>
          <n v="0.85087719298245612"/>
          <n v="0.95652173913043481"/>
          <n v="0.93220338983050843"/>
          <n v="0.82208588957055218"/>
          <n v="0.83333333333333337"/>
          <n v="0.95205479452054798"/>
          <n v="0.98601398601398604"/>
          <n v="0.82727272727272727"/>
          <n v="0.79452054794520544"/>
          <n v="0.90972222222222221"/>
          <n v="0.88095238095238093"/>
          <n v="0.953125"/>
          <n v="0.9513513513513514"/>
          <n v="0.83823529411764708"/>
          <n v="0.89230769230769236"/>
          <n v="0.89898989898989901"/>
          <n v="0.98947368421052628"/>
          <n v="0.96323529411764708"/>
          <n v="0.91891891891891897"/>
          <n v="0.87962962962962965"/>
          <n v="0.91176470588235292"/>
          <n v="0.94339622641509435"/>
          <n v="0.7931034482758621"/>
          <n v="0.89166666666666672"/>
          <n v="0.93457943925233644"/>
          <n v="0.91907514450867056"/>
          <n v="0.83203125"/>
          <n v="0.87437185929648242"/>
          <n v="0.92817679558011046"/>
          <n v="0.92452830188679247"/>
          <n v="0.94366197183098588"/>
          <n v="0.84020618556701032"/>
          <n v="0.8936170212765957"/>
          <n v="0.87378640776699024"/>
          <n v="0.81034482758620685"/>
          <n v="0.91509433962264153"/>
          <n v="0.92241379310344829"/>
          <n v="0.93965517241379315"/>
          <n v="0.93413173652694614"/>
          <n v="0.94011976047904189"/>
          <n v="0.96987951807228912"/>
          <n v="0.96753246753246758"/>
          <n v="0.97757847533632292"/>
          <n v="0.92352941176470593"/>
          <n v="0.91724137931034477"/>
          <n v="0.97037037037037033"/>
          <n v="0.97080291970802923"/>
          <n v="0.96644295302013428"/>
          <n v="0.92258064516129035"/>
          <n v="0.9453125"/>
          <n v="0.93283582089552242"/>
          <n v="0.96932515337423308"/>
          <n v="0.94374999999999998"/>
          <n v="0.96183206106870234"/>
          <n v="0.84210526315789469"/>
          <n v="0.92086330935251803"/>
          <n v="0.81325301204819278"/>
          <n v="0.75968992248062017"/>
          <n v="0.86699507389162567"/>
          <n v="0.89010989010989006"/>
          <n v="0.79069767441860461"/>
          <n v="0.9712918660287081"/>
          <n v="0.88709677419354838"/>
          <n v="0.91061452513966479"/>
          <n v="0.98773006134969321"/>
          <n v="0.96951219512195119"/>
          <n v="0.99375000000000002"/>
          <n v="0.89080459770114939"/>
          <n v="0.99428571428571433"/>
          <n v="0.98235294117647054"/>
          <n v="0.89839572192513373"/>
          <n v="0.96226415094339623"/>
          <n v="0.96694214876033058"/>
          <n v="0.97202797202797198"/>
          <n v="0.97345132743362828"/>
          <n v="0.99259259259259258"/>
          <n v="0.93913043478260871"/>
          <n v="0.99056603773584906"/>
          <n v="0.99285714285714288"/>
          <n v="0.98630136986301364"/>
          <n v="0.96363636363636362"/>
          <n v="0.9631578947368421"/>
          <n v="0.99230769230769234"/>
          <n v="0.96638655462184875"/>
          <n v="0.98412698412698407"/>
          <n v="0.9098360655737705"/>
          <n v="0.91596638655462181"/>
          <n v="0.88805970149253732"/>
          <n v="0.96039603960396036"/>
          <n v="0.95488721804511278"/>
          <n v="0.97282608695652173"/>
          <n v="0.95104895104895104"/>
          <n v="0.95798319327731096"/>
          <n v="0.97241379310344822"/>
          <n v="0.9765625"/>
          <n v="0.92920353982300885"/>
          <n v="0.94392523364485981"/>
          <n v="0.96575342465753422"/>
          <n v="0.89655172413793105"/>
          <n v="0.89958158995815896"/>
          <n v="0.88505747126436785"/>
          <n v="0.97023809523809523"/>
          <n v="0.94814814814814818"/>
          <n v="0.92622950819672134"/>
          <n v="0.92763157894736847"/>
          <n v="0.97927461139896377"/>
          <n v="0.96326530612244898"/>
          <n v="0.95959595959595956"/>
          <n v="0.99465240641711228"/>
          <n v="0.93768545994065278"/>
          <n v="0.97894736842105268"/>
          <n v="0.95789473684210524"/>
          <n v="0.99408284023668636"/>
          <n v="0.95138888888888884"/>
          <n v="0.96855345911949686"/>
          <n v="0.93010752688172038"/>
          <n v="0.9726027397260274"/>
          <n v="0.75609756097560976"/>
          <n v="0.45945945945945948"/>
          <n v="0.55704697986577179"/>
          <n v="0.63888888888888884"/>
          <n v="0.83236994219653182"/>
          <n v="0.89772727272727271"/>
          <n v="0.81632653061224492"/>
          <n v="0.23356009070294784"/>
          <n v="0.22095238095238096"/>
          <n v="0.32950819672131149"/>
          <n v="0.66042154566744726"/>
          <n v="0.8756613756613757"/>
          <n v="0.83750000000000002"/>
          <n v="0.86797066014669921"/>
          <n v="0.85795454545454541"/>
          <n v="0.84751773049645385"/>
          <n v="0.91935483870967738"/>
          <n v="0.92156862745098034"/>
          <n v="0.88656716417910453"/>
          <n v="0.92971246006389774"/>
          <n v="0.95617529880478092"/>
          <n v="0.9263157894736842"/>
          <n v="0.9042553191489362"/>
          <n v="0.96385542168674698"/>
          <n v="0.93150684931506844"/>
          <n v="0.93529411764705883"/>
          <n v="0.96276595744680848"/>
          <n v="0.85620915032679734"/>
          <n v="0.92039800995024879"/>
          <n v="0.88513513513513509"/>
          <n v="0.80952380952380953"/>
          <n v="0.8716216216216216"/>
          <n v="0.92215568862275454"/>
          <n v="0.9349112426035503"/>
          <n v="0.93142857142857138"/>
          <n v="0.94818652849740936"/>
          <n v="0.93506493506493504"/>
          <n v="0.93604651162790697"/>
          <n v="0.94029850746268662"/>
          <n v="0.89873417721518989"/>
          <n v="0.89440993788819878"/>
          <n v="0.92517006802721091"/>
          <n v="0.92888888888888888"/>
          <n v="0.90419161676646709"/>
          <n v="0.87931034482758619"/>
          <n v="0.95321637426900585"/>
          <n v="0.96111111111111114"/>
          <n v="0.91145833333333337"/>
          <n v="0.92783505154639179"/>
          <n v="0.72972972972972971"/>
          <n v="0.93888888888888888"/>
          <n v="0.92957746478873238"/>
          <n v="0.952191235059761"/>
          <n v="0.94499999999999995"/>
          <n v="0.83243243243243248"/>
          <n v="0.95854922279792742"/>
          <n v="0.94358974358974357"/>
          <n v="0.94491525423728817"/>
          <n v="0.86184210526315785"/>
          <n v="0.94405594405594406"/>
          <n v="0.89589905362776023"/>
          <n v="0.84076433121019112"/>
          <n v="0.84533333333333338"/>
          <n v="0.86338797814207646"/>
          <n v="0.86776859504132231"/>
          <n v="0.92682926829268297"/>
          <n v="0.92953020134228193"/>
          <n v="0.88850174216027877"/>
          <n v="0.86912751677852351"/>
          <n v="0.91354466858789629"/>
          <n v="0.85990338164251212"/>
          <n v="0.89162561576354682"/>
          <n v="0.8797814207650273"/>
          <n v="0.94117647058823528"/>
          <n v="0.80549199084668188"/>
          <n v="0.9049586776859504"/>
          <n v="0.90864197530864199"/>
          <n v="0.64561403508771931"/>
          <n v="0.90566037735849059"/>
          <n v="0.88933601609657953"/>
          <n v="0.88111888111888115"/>
          <n v="0.77755511022044088"/>
          <n v="0.85098039215686272"/>
          <n v="0.83424408014571949"/>
          <n v="0.75254237288135595"/>
          <n v="0.87591240875912413"/>
          <n v="0.79598662207357862"/>
          <n v="0.77922077922077926"/>
          <n v="0.50136612021857918"/>
          <n v="0.51718213058419249"/>
          <n v="0.55394524959742353"/>
          <n v="0.91379310344827591"/>
          <n v="0.56285178236397748"/>
          <n v="0.77403846153846156"/>
          <n v="0.62409638554216873"/>
          <n v="0.66743648960739033"/>
          <n v="0.62555066079295152"/>
          <n v="0.79918032786885251"/>
          <n v="0.87128712871287128"/>
          <n v="0.921875"/>
          <n v="0.84079601990049746"/>
          <n v="0.74712643678160917"/>
          <n v="0.86069651741293529"/>
          <n v="0.95522388059701491"/>
          <n v="0.86792452830188682"/>
          <n v="0.91031390134529144"/>
          <n v="0.85036496350364965"/>
          <n v="0.93928571428571428"/>
          <n v="0.8764044943820225"/>
          <n v="0.91542288557213936"/>
          <n v="0.89588377723970947"/>
          <n v="0.88946015424164526"/>
          <n v="0.62222222222222223"/>
          <n v="0.47752808988764045"/>
          <n v="0.56953642384105962"/>
          <n v="0.51774193548387093"/>
          <n v="0.55301587301587296"/>
          <n v="0.57449962935507781"/>
          <n v="0.45445445445445448"/>
          <n v="0.56508264462809921"/>
          <n v="0.424953095684803"/>
          <n v="0.8032994923857868"/>
          <n v="0.84523809523809523"/>
          <n v="0.74228028503562948"/>
          <n v="0.85242030696576154"/>
          <n v="0.76875000000000004"/>
          <n v="0.74818181818181817"/>
          <n v="0.73188405797101452"/>
          <n v="0.62841530054644812"/>
          <n v="0.90041493775933612"/>
          <n v="0.84912280701754383"/>
          <n v="0.81224489795918364"/>
          <n v="0.67316017316017318"/>
          <n v="0.87149532710280375"/>
          <n v="0.79389312977099236"/>
          <n v="0.86206896551724133"/>
          <n v="0.88291139240506333"/>
          <n v="0.91946308724832215"/>
          <n v="0.93436293436293438"/>
          <n v="0.84267241379310343"/>
          <n v="0.91059602649006621"/>
          <n v="0.95221843003412965"/>
          <n v="0.91836734693877553"/>
          <n v="0.76949152542372878"/>
          <n v="0.95609756097560972"/>
          <n v="0.86345381526104414"/>
          <n v="0.90254237288135597"/>
          <n v="0.91124260355029585"/>
          <n v="0.79207920792079212"/>
          <n v="0.90137614678899081"/>
          <n v="0.94433781190019195"/>
          <n v="0.87037037037037035"/>
          <n v="0.81207133058984915"/>
          <n v="0.60033444816053516"/>
          <n v="0.74082568807339455"/>
          <n v="0.93193717277486909"/>
          <n v="0.86144578313253017"/>
          <n v="0.91899441340782118"/>
          <n v="0.88823529411764701"/>
          <n v="0.9503105590062112"/>
          <n v="0.95270270270270274"/>
          <n v="0.88636363636363635"/>
          <n v="0.98347107438016534"/>
          <n v="0.94605809128630702"/>
          <n v="0.96415770609318996"/>
          <n v="0.96460176991150437"/>
          <n v="0.819935691318328"/>
          <n v="0.8366533864541833"/>
          <n v="0.92330383480825962"/>
          <n v="0.80804953560371517"/>
          <n v="0.91695501730103801"/>
          <n v="0.90645161290322585"/>
          <n v="0.93939393939393945"/>
          <n v="0.87692307692307692"/>
          <n v="0.80382775119617222"/>
          <n v="0.6972375690607735"/>
          <n v="0.53461875547765114"/>
          <n v="0.59212050984936271"/>
          <n v="0.84991273996509598"/>
          <n v="0.82608695652173914"/>
          <n v="0.67490494296577952"/>
          <n v="0.9008746355685131"/>
          <n v="0.86284289276807979"/>
          <n v="0.85053380782918153"/>
          <n v="0.84782608695652173"/>
          <n v="0.90476190476190477"/>
          <n v="0.9107142857142857"/>
          <n v="0.95736434108527135"/>
          <n v="0.9486166007905138"/>
          <n v="0.8721804511278195"/>
          <n v="0.89147286821705429"/>
          <n v="0.96245733788395904"/>
          <n v="0.9045092838196287"/>
          <n v="0.90104166666666663"/>
          <n v="0.96216216216216222"/>
          <n v="0.92592592592592593"/>
          <n v="0.963963963963964"/>
          <n v="0.9124423963133641"/>
          <n v="0.94764397905759157"/>
          <n v="0.89204545454545459"/>
          <n v="0.92121212121212126"/>
          <n v="0.934640522875817"/>
          <n v="0.96571428571428575"/>
          <n v="0.88796680497925307"/>
          <n v="0.6750524109014675"/>
          <n v="0.9197860962566845"/>
          <n v="0.92342342342342343"/>
          <n v="0.94581280788177335"/>
          <n v="0.95675675675675675"/>
          <n v="0.84729064039408863"/>
          <n v="0.88532110091743121"/>
          <n v="0.87190082644628097"/>
          <n v="0.87368421052631584"/>
          <n v="0.8868778280542986"/>
          <n v="0.81144781144781142"/>
          <n v="0.91845493562231761"/>
          <n v="0.96464646464646464"/>
          <n v="0.8571428571428571"/>
          <n v="0.85207100591715978"/>
          <n v="0.9196428571428571"/>
          <n v="0.92546583850931674"/>
          <n v="0.92349726775956287"/>
          <n v="0.9321266968325792"/>
          <n v="0.95544554455445541"/>
          <n v="0.84455958549222798"/>
          <n v="0.93264248704663211"/>
          <n v="0.90748898678414092"/>
          <n v="0.88444444444444448"/>
          <n v="0.94607843137254899"/>
          <n v="0.87782805429864252"/>
          <n v="0.89534883720930236"/>
          <n v="0.82352941176470584"/>
          <n v="0.86309523809523814"/>
          <n v="0.85945945945945945"/>
          <n v="0.78947368421052633"/>
          <n v="0.89370078740157477"/>
          <n v="0.88262910798122063"/>
          <n v="0.90052356020942403"/>
          <n v="0.91812865497076024"/>
          <n v="0.81045751633986929"/>
          <n v="0.9308176100628931"/>
          <n v="0.93706293706293708"/>
          <n v="0.89743589743589747"/>
          <n v="0.77319587628865982"/>
          <n v="0.92820512820512824"/>
          <n v="0.8613445378151261"/>
          <n v="0.96551724137931039"/>
          <n v="0.80168776371308015"/>
          <n v="0.83032490974729245"/>
          <n v="0.94219653179190754"/>
          <n v="0.91017964071856283"/>
          <n v="0.88439306358381498"/>
          <n v="0.93125000000000002"/>
          <n v="0.92274678111587982"/>
          <n v="0.96913580246913578"/>
          <n v="0.92261904761904767"/>
          <n v="0.91768292682926833"/>
          <n v="0.9027027027027027"/>
          <n v="0.84615384615384615"/>
          <n v="0.94409937888198758"/>
          <n v="0.9382022471910112"/>
          <n v="0.98555956678700363"/>
          <n v="0.92090395480225984"/>
          <n v="0.80769230769230771"/>
          <n v="0.87019230769230771"/>
          <n v="0.9157303370786517"/>
          <n v="0.94152046783625731"/>
          <n v="0.94578313253012047"/>
          <n v="0.94347826086956521"/>
          <n v="0.77083333333333337"/>
          <n v="0.77142857142857146"/>
          <n v="0.90404040404040409"/>
          <n v="0.95767195767195767"/>
          <n v="0.92519685039370081"/>
          <n v="0.89212328767123283"/>
          <n v="0.97695035460992907"/>
          <n v="0.99333333333333329"/>
          <n v="0.95777351247600773"/>
          <n v="0.9363636363636364"/>
          <n v="0.96934865900383138"/>
          <n v="0.94170403587443952"/>
          <n v="0.98305084745762716"/>
          <n v="0.96176470588235297"/>
          <n v="0.95539033457249067"/>
          <n v="0.91235059760956172"/>
          <n v="0.96566523605150212"/>
          <n v="0.96498054474708173"/>
          <n v="0.95510204081632655"/>
          <n v="0.99250936329588013"/>
          <n v="0.9576271186440678"/>
          <n v="0.97153024911032027"/>
          <n v="0.96992481203007519"/>
          <n v="0.9862542955326461"/>
          <n v="0.96896551724137936"/>
          <n v="0.9869565217391304"/>
          <n v="0.95582329317269077"/>
          <n v="0.93714285714285717"/>
          <n v="0.8476454293628809"/>
          <n v="0.97709923664122134"/>
          <n v="0.95364238410596025"/>
          <n v="0.89632107023411367"/>
          <n v="0.9668674698795181"/>
          <n v="0.96875"/>
          <n v="0.99435028248587576"/>
          <n v="0.99348534201954397"/>
          <n v="0.98296422487223167"/>
          <n v="0.96742671009771986"/>
          <n v="0.93814432989690721"/>
          <n v="0.98969072164948457"/>
          <n v="0.92829457364341084"/>
          <n v="0.98893805309734517"/>
          <n v="0.93790849673202614"/>
          <n v="0.975103734439834"/>
          <n v="0.9504643962848297"/>
          <n v="0.98417721518987344"/>
          <n v="0.94007490636704116"/>
          <n v="0.96356275303643724"/>
          <n v="0.9707446808510638"/>
          <n v="0.96835443037974689"/>
          <n v="0.98064516129032253"/>
          <n v="0.97883597883597884"/>
          <n v="0.98113207547169812"/>
          <n v="0.9915730337078652"/>
          <n v="0.97150997150997154"/>
          <n v="0.93556701030927836"/>
          <n v="0.98939929328621912"/>
          <n v="0.98755186721991706"/>
          <n v="0.84827586206896555"/>
          <n v="0.97407407407407409"/>
          <n v="0.96747967479674801"/>
          <n v="0.97014925373134331"/>
          <n v="0.98557692307692313"/>
          <n v="0.99397590361445787"/>
          <n v="0.95428571428571429"/>
          <n v="0.97297297297297303"/>
          <n v="0.9606741573033708"/>
          <n v="0.95628415300546443"/>
          <n v="0.9856459330143541"/>
          <n v="0.99444444444444446"/>
          <n v="0.91855203619909498"/>
          <n v="0.9202551834130781"/>
          <n v="0.92487479131886474"/>
          <n v="0.98684210526315785"/>
          <n v="0.97378277153558057"/>
          <n v="0.9825174825174825"/>
          <n v="0.98952879581151831"/>
          <n v="0.96279069767441861"/>
          <n v="0.96380090497737558"/>
          <n v="0.96517412935323388"/>
          <n v="0.94285714285714284"/>
          <n v="0.9346733668341709"/>
          <n v="0.98233215547703179"/>
          <n v="0.9652173913043478"/>
          <n v="0.98918918918918919"/>
          <n v="0.98477157360406087"/>
          <n v="0.99130434782608701"/>
          <n v="0.97468354430379744"/>
          <n v="0.98139534883720925"/>
          <n v="0.99346405228758172"/>
          <n v="0.9640718562874252"/>
          <n v="0.95338983050847459"/>
          <n v="0.97524752475247523"/>
          <n v="0.98378378378378384"/>
          <n v="0.96059113300492616"/>
          <n v="0.98648648648648651"/>
          <n v="0.9570815450643777"/>
          <n v="0.97979797979797978"/>
          <n v="0.92346938775510201"/>
          <n v="0.94570135746606332"/>
          <n v="0.97448979591836737"/>
          <n v="0.95734597156398105"/>
          <n v="0.98584905660377353"/>
          <s v="Group1"/>
          <s v="Group2"/>
          <s v="Group3"/>
          <s v="Group4"/>
          <s v="Group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2">
  <r>
    <n v="1"/>
    <x v="0"/>
    <n v="217"/>
    <n v="204"/>
    <x v="0"/>
    <n v="13"/>
    <d v="1899-12-30T00:00:17"/>
    <n v="57.8"/>
    <n v="0.28333333333333333"/>
    <n v="17"/>
    <d v="1899-12-30T00:02:14"/>
    <n v="455.6"/>
    <n v="2.2333333333333334"/>
    <n v="134"/>
    <n v="155"/>
    <n v="0.76280000000000003"/>
    <n v="155.6112"/>
  </r>
  <r>
    <n v="2"/>
    <x v="1"/>
    <n v="200"/>
    <n v="182"/>
    <x v="1"/>
    <n v="18"/>
    <d v="1899-12-30T00:00:20"/>
    <n v="60.666666666666664"/>
    <n v="0.33333333333333331"/>
    <n v="20"/>
    <d v="1899-12-30T00:02:22"/>
    <n v="430.73333333333335"/>
    <n v="2.3666666666666667"/>
    <n v="142"/>
    <n v="132"/>
    <n v="0.72729999999999995"/>
    <n v="132.36859999999999"/>
  </r>
  <r>
    <n v="3"/>
    <x v="2"/>
    <n v="216"/>
    <n v="198"/>
    <x v="1"/>
    <n v="18"/>
    <d v="1899-12-30T00:00:18"/>
    <n v="59.4"/>
    <n v="0.3"/>
    <n v="18"/>
    <d v="1899-12-30T00:02:38"/>
    <n v="521.4"/>
    <n v="2.6333333333333333"/>
    <n v="158"/>
    <n v="147"/>
    <n v="0.74299999999999999"/>
    <n v="147.114"/>
  </r>
  <r>
    <n v="4"/>
    <x v="3"/>
    <n v="155"/>
    <n v="145"/>
    <x v="2"/>
    <n v="10"/>
    <d v="1899-12-30T00:00:15"/>
    <n v="36.25"/>
    <n v="0.25"/>
    <n v="15"/>
    <d v="1899-12-30T00:02:29"/>
    <n v="360.08333333333331"/>
    <n v="2.4833333333333334"/>
    <n v="149"/>
    <n v="115"/>
    <n v="0.79610000000000003"/>
    <n v="115.4345"/>
  </r>
  <r>
    <n v="5"/>
    <x v="4"/>
    <n v="37"/>
    <n v="37"/>
    <x v="3"/>
    <n v="0"/>
    <d v="1899-12-30T00:00:03"/>
    <n v="1.85"/>
    <n v="0.05"/>
    <n v="3"/>
    <d v="1899-12-30T00:02:06"/>
    <n v="77.7"/>
    <n v="2.1"/>
    <n v="126"/>
    <n v="36"/>
    <n v="0.97299999999999998"/>
    <n v="36.000999999999998"/>
  </r>
  <r>
    <n v="6"/>
    <x v="5"/>
    <n v="315"/>
    <n v="304"/>
    <x v="4"/>
    <n v="11"/>
    <d v="1899-12-30T00:00:18"/>
    <n v="91.2"/>
    <n v="0.3"/>
    <n v="18"/>
    <d v="1899-12-30T00:01:35"/>
    <n v="481.33333333333337"/>
    <n v="1.5833333333333335"/>
    <n v="95.000000000000014"/>
    <n v="234"/>
    <n v="0.77170000000000005"/>
    <n v="234.59680000000003"/>
  </r>
  <r>
    <n v="7"/>
    <x v="6"/>
    <n v="252"/>
    <n v="244"/>
    <x v="4"/>
    <n v="8"/>
    <d v="1899-12-30T00:00:13"/>
    <n v="52.866666666666667"/>
    <n v="0.21666666666666667"/>
    <n v="13"/>
    <d v="1899-12-30T00:01:50"/>
    <n v="447.33333333333337"/>
    <n v="1.8333333333333335"/>
    <n v="110.00000000000001"/>
    <n v="200"/>
    <n v="0.82"/>
    <n v="200.07999999999998"/>
  </r>
  <r>
    <n v="8"/>
    <x v="7"/>
    <n v="213"/>
    <n v="205"/>
    <x v="4"/>
    <n v="8"/>
    <d v="1899-12-30T00:00:10"/>
    <n v="34.166666666666664"/>
    <n v="0.16666666666666666"/>
    <n v="10"/>
    <d v="1899-12-30T00:02:10"/>
    <n v="444.16666666666663"/>
    <n v="2.1666666666666665"/>
    <n v="130"/>
    <n v="180"/>
    <n v="0.88100000000000001"/>
    <n v="180.60499999999999"/>
  </r>
  <r>
    <n v="9"/>
    <x v="8"/>
    <n v="219"/>
    <n v="200"/>
    <x v="1"/>
    <n v="19"/>
    <d v="1899-12-30T00:00:15"/>
    <n v="50"/>
    <n v="0.25"/>
    <n v="15"/>
    <d v="1899-12-30T00:02:18"/>
    <n v="459.99999999999994"/>
    <n v="2.2999999999999998"/>
    <n v="138"/>
    <n v="158"/>
    <n v="0.79449999999999998"/>
    <n v="158.9"/>
  </r>
  <r>
    <n v="10"/>
    <x v="9"/>
    <n v="371"/>
    <n v="348"/>
    <x v="2"/>
    <n v="23"/>
    <d v="1899-12-30T00:00:19"/>
    <n v="110.19999999999999"/>
    <n v="0.31666666666666665"/>
    <n v="19"/>
    <d v="1899-12-30T00:01:40"/>
    <n v="580"/>
    <n v="1.6666666666666665"/>
    <n v="99.999999999999986"/>
    <n v="256"/>
    <n v="0.73629999999999995"/>
    <n v="256.23239999999998"/>
  </r>
  <r>
    <n v="11"/>
    <x v="10"/>
    <n v="166"/>
    <n v="164"/>
    <x v="5"/>
    <n v="2"/>
    <d v="1899-12-30T00:00:12"/>
    <n v="32.800000000000004"/>
    <n v="0.2"/>
    <n v="12"/>
    <d v="1899-12-30T00:02:10"/>
    <n v="355.33333333333331"/>
    <n v="2.1666666666666665"/>
    <n v="130"/>
    <n v="133"/>
    <n v="0.81330000000000002"/>
    <n v="133.38120000000001"/>
  </r>
  <r>
    <n v="12"/>
    <x v="11"/>
    <n v="32"/>
    <n v="32"/>
    <x v="3"/>
    <n v="0"/>
    <d v="1899-12-30T00:00:02"/>
    <n v="1.0666666666666667"/>
    <n v="3.3333333333333333E-2"/>
    <n v="2"/>
    <d v="1899-12-30T00:02:03"/>
    <n v="65.599999999999994"/>
    <n v="2.0499999999999998"/>
    <n v="122.99999999999999"/>
    <n v="32"/>
    <n v="1"/>
    <n v="32"/>
  </r>
  <r>
    <n v="13"/>
    <x v="12"/>
    <n v="231"/>
    <n v="222"/>
    <x v="4"/>
    <n v="9"/>
    <d v="1899-12-30T00:00:08"/>
    <n v="29.599999999999998"/>
    <n v="0.13333333333333333"/>
    <n v="8"/>
    <d v="1899-12-30T00:01:49"/>
    <n v="403.3"/>
    <n v="1.8166666666666667"/>
    <n v="109"/>
    <n v="191"/>
    <n v="0.86460000000000004"/>
    <n v="191.94120000000001"/>
  </r>
  <r>
    <n v="14"/>
    <x v="13"/>
    <n v="205"/>
    <n v="197"/>
    <x v="4"/>
    <n v="8"/>
    <d v="1899-12-30T00:00:07"/>
    <n v="22.983333333333334"/>
    <n v="0.11666666666666667"/>
    <n v="7"/>
    <d v="1899-12-30T00:01:52"/>
    <n v="367.73333333333335"/>
    <n v="1.8666666666666667"/>
    <n v="112"/>
    <n v="182"/>
    <n v="0.92610000000000003"/>
    <n v="182.4417"/>
  </r>
  <r>
    <n v="15"/>
    <x v="14"/>
    <n v="338"/>
    <n v="313"/>
    <x v="6"/>
    <n v="25"/>
    <d v="1899-12-30T00:00:13"/>
    <n v="67.816666666666663"/>
    <n v="0.21666666666666667"/>
    <n v="13"/>
    <d v="1899-12-30T00:01:51"/>
    <n v="579.05000000000007"/>
    <n v="1.85"/>
    <n v="111"/>
    <n v="250"/>
    <n v="0.80059999999999998"/>
    <n v="250.58779999999999"/>
  </r>
  <r>
    <n v="16"/>
    <x v="15"/>
    <n v="180"/>
    <n v="174"/>
    <x v="4"/>
    <n v="6"/>
    <d v="1899-12-30T00:00:13"/>
    <n v="37.700000000000003"/>
    <n v="0.21666666666666667"/>
    <n v="13"/>
    <d v="1899-12-30T00:02:18"/>
    <n v="400.2"/>
    <n v="2.2999999999999998"/>
    <n v="138"/>
    <n v="145"/>
    <n v="0.83799999999999997"/>
    <n v="145.81199999999998"/>
  </r>
  <r>
    <n v="17"/>
    <x v="16"/>
    <n v="226"/>
    <n v="211"/>
    <x v="2"/>
    <n v="15"/>
    <d v="1899-12-30T00:00:20"/>
    <n v="70.333333333333329"/>
    <n v="0.33333333333333331"/>
    <n v="20"/>
    <d v="1899-12-30T00:02:04"/>
    <n v="436.06666666666672"/>
    <n v="2.0666666666666669"/>
    <n v="124.00000000000001"/>
    <n v="160"/>
    <n v="0.76229999999999998"/>
    <n v="160.84530000000001"/>
  </r>
  <r>
    <n v="18"/>
    <x v="17"/>
    <n v="226"/>
    <n v="212"/>
    <x v="2"/>
    <n v="14"/>
    <d v="1899-12-30T00:00:10"/>
    <n v="35.333333333333329"/>
    <n v="0.16666666666666666"/>
    <n v="10"/>
    <d v="1899-12-30T00:02:03"/>
    <n v="434.59999999999997"/>
    <n v="2.0499999999999998"/>
    <n v="122.99999999999999"/>
    <n v="179"/>
    <n v="0.84440000000000004"/>
    <n v="179.0128"/>
  </r>
  <r>
    <n v="19"/>
    <x v="18"/>
    <n v="45"/>
    <n v="44"/>
    <x v="7"/>
    <n v="1"/>
    <d v="1899-12-30T00:00:02"/>
    <n v="1.4666666666666666"/>
    <n v="3.3333333333333333E-2"/>
    <n v="2"/>
    <d v="1899-12-30T00:02:04"/>
    <n v="90.933333333333337"/>
    <n v="2.0666666666666669"/>
    <n v="124.00000000000001"/>
    <n v="43"/>
    <n v="0.9778"/>
    <n v="43.023200000000003"/>
  </r>
  <r>
    <n v="20"/>
    <x v="19"/>
    <n v="218"/>
    <n v="194"/>
    <x v="8"/>
    <n v="24"/>
    <d v="1899-12-30T00:00:26"/>
    <n v="84.066666666666663"/>
    <n v="0.43333333333333335"/>
    <n v="26"/>
    <d v="1899-12-30T00:02:43"/>
    <n v="527.0333333333333"/>
    <n v="2.7166666666666668"/>
    <n v="163"/>
    <n v="133"/>
    <n v="0.68979999999999997"/>
    <n v="133.8212"/>
  </r>
  <r>
    <n v="21"/>
    <x v="20"/>
    <n v="187"/>
    <n v="174"/>
    <x v="2"/>
    <n v="13"/>
    <d v="1899-12-30T00:00:15"/>
    <n v="43.5"/>
    <n v="0.25"/>
    <n v="15"/>
    <d v="1899-12-30T00:02:16"/>
    <n v="394.4"/>
    <n v="2.2666666666666666"/>
    <n v="136"/>
    <n v="141"/>
    <n v="0.81520000000000004"/>
    <n v="141.84479999999999"/>
  </r>
  <r>
    <n v="22"/>
    <x v="21"/>
    <n v="191"/>
    <n v="184"/>
    <x v="4"/>
    <n v="7"/>
    <d v="1899-12-30T00:00:10"/>
    <n v="30.666666666666664"/>
    <n v="0.16666666666666666"/>
    <n v="10"/>
    <d v="1899-12-30T00:02:09"/>
    <n v="395.59999999999997"/>
    <n v="2.15"/>
    <n v="129"/>
    <n v="157"/>
    <n v="0.85640000000000005"/>
    <n v="157.57760000000002"/>
  </r>
  <r>
    <n v="23"/>
    <x v="22"/>
    <n v="188"/>
    <n v="174"/>
    <x v="6"/>
    <n v="14"/>
    <d v="1899-12-30T00:00:15"/>
    <n v="43.5"/>
    <n v="0.25"/>
    <n v="15"/>
    <d v="1899-12-30T00:02:25"/>
    <n v="420.5"/>
    <n v="2.4166666666666665"/>
    <n v="145"/>
    <n v="133"/>
    <n v="0.76880000000000004"/>
    <n v="133.77119999999999"/>
  </r>
  <r>
    <n v="24"/>
    <x v="23"/>
    <n v="154"/>
    <n v="148"/>
    <x v="4"/>
    <n v="6"/>
    <d v="1899-12-30T00:00:10"/>
    <n v="24.666666666666664"/>
    <n v="0.16666666666666666"/>
    <n v="10"/>
    <d v="1899-12-30T00:02:27"/>
    <n v="362.6"/>
    <n v="2.4500000000000002"/>
    <n v="147"/>
    <n v="125"/>
    <n v="0.85060000000000002"/>
    <n v="125.8888"/>
  </r>
  <r>
    <n v="25"/>
    <x v="24"/>
    <n v="166"/>
    <n v="150"/>
    <x v="9"/>
    <n v="16"/>
    <d v="1899-12-30T00:00:18"/>
    <n v="45"/>
    <n v="0.3"/>
    <n v="18"/>
    <d v="1899-12-30T00:02:26"/>
    <n v="365.00000000000006"/>
    <n v="2.4333333333333336"/>
    <n v="146"/>
    <n v="115"/>
    <n v="0.76829999999999998"/>
    <n v="115.245"/>
  </r>
  <r>
    <n v="26"/>
    <x v="25"/>
    <n v="58"/>
    <n v="57"/>
    <x v="5"/>
    <n v="1"/>
    <d v="1899-12-30T00:00:04"/>
    <n v="3.8"/>
    <n v="6.6666666666666666E-2"/>
    <n v="4"/>
    <d v="1899-12-30T00:02:26"/>
    <n v="138.70000000000002"/>
    <n v="2.4333333333333336"/>
    <n v="146"/>
    <n v="54"/>
    <n v="0.94830000000000003"/>
    <n v="54.053100000000001"/>
  </r>
  <r>
    <n v="27"/>
    <x v="26"/>
    <n v="160"/>
    <n v="153"/>
    <x v="10"/>
    <n v="7"/>
    <d v="1899-12-30T00:00:10"/>
    <n v="25.5"/>
    <n v="0.16666666666666666"/>
    <n v="10"/>
    <d v="1899-12-30T00:02:23"/>
    <n v="364.65"/>
    <n v="2.3833333333333333"/>
    <n v="143"/>
    <n v="129"/>
    <n v="0.84909999999999997"/>
    <n v="129.91229999999999"/>
  </r>
  <r>
    <n v="28"/>
    <x v="27"/>
    <n v="86"/>
    <n v="79"/>
    <x v="1"/>
    <n v="7"/>
    <d v="1899-12-30T00:00:32"/>
    <n v="42.133333333333333"/>
    <n v="0.53333333333333333"/>
    <n v="32"/>
    <d v="1899-12-30T00:02:43"/>
    <n v="214.61666666666667"/>
    <n v="2.7166666666666668"/>
    <n v="163"/>
    <n v="48"/>
    <n v="0.61629999999999996"/>
    <n v="48.6877"/>
  </r>
  <r>
    <n v="29"/>
    <x v="28"/>
    <n v="180"/>
    <n v="170"/>
    <x v="0"/>
    <n v="10"/>
    <d v="1899-12-30T00:00:23"/>
    <n v="65.166666666666671"/>
    <n v="0.38333333333333336"/>
    <n v="23"/>
    <d v="1899-12-30T00:02:31"/>
    <n v="427.83333333333331"/>
    <n v="2.5166666666666666"/>
    <n v="151"/>
    <n v="131"/>
    <n v="0.77529999999999999"/>
    <n v="131.80099999999999"/>
  </r>
  <r>
    <n v="30"/>
    <x v="29"/>
    <n v="210"/>
    <n v="192"/>
    <x v="1"/>
    <n v="18"/>
    <d v="1899-12-30T00:00:26"/>
    <n v="83.2"/>
    <n v="0.43333333333333335"/>
    <n v="26"/>
    <d v="1899-12-30T00:02:16"/>
    <n v="435.2"/>
    <n v="2.2666666666666666"/>
    <n v="136"/>
    <n v="129"/>
    <n v="0.67459999999999998"/>
    <n v="129.5232"/>
  </r>
  <r>
    <n v="31"/>
    <x v="30"/>
    <n v="163"/>
    <n v="157"/>
    <x v="4"/>
    <n v="6"/>
    <d v="1899-12-30T00:00:14"/>
    <n v="36.633333333333333"/>
    <n v="0.23333333333333334"/>
    <n v="14"/>
    <d v="1899-12-30T00:02:19"/>
    <n v="363.71666666666664"/>
    <n v="2.3166666666666664"/>
    <n v="139"/>
    <n v="127"/>
    <n v="0.81369999999999998"/>
    <n v="127.7509"/>
  </r>
  <r>
    <n v="32"/>
    <x v="31"/>
    <n v="143"/>
    <n v="140"/>
    <x v="7"/>
    <n v="3"/>
    <d v="1899-12-30T00:00:15"/>
    <n v="35"/>
    <n v="0.25"/>
    <n v="15"/>
    <d v="1899-12-30T00:02:20"/>
    <n v="326.66666666666669"/>
    <n v="2.3333333333333335"/>
    <n v="140"/>
    <n v="115"/>
    <n v="0.82520000000000004"/>
    <n v="115.52800000000001"/>
  </r>
  <r>
    <n v="33"/>
    <x v="32"/>
    <n v="57"/>
    <n v="55"/>
    <x v="4"/>
    <n v="2"/>
    <d v="1899-12-30T00:00:06"/>
    <n v="5.5"/>
    <n v="0.1"/>
    <n v="6"/>
    <d v="1899-12-30T00:02:03"/>
    <n v="112.74999999999999"/>
    <n v="2.0499999999999998"/>
    <n v="122.99999999999999"/>
    <n v="50"/>
    <n v="0.9123"/>
    <n v="50.176499999999997"/>
  </r>
  <r>
    <n v="34"/>
    <x v="33"/>
    <n v="179"/>
    <n v="172"/>
    <x v="4"/>
    <n v="7"/>
    <d v="1899-12-30T00:00:13"/>
    <n v="37.266666666666666"/>
    <n v="0.21666666666666667"/>
    <n v="13"/>
    <d v="1899-12-30T00:02:17"/>
    <n v="392.73333333333329"/>
    <n v="2.2833333333333332"/>
    <n v="137"/>
    <n v="141"/>
    <n v="0.82489999999999997"/>
    <n v="141.8828"/>
  </r>
  <r>
    <n v="35"/>
    <x v="34"/>
    <n v="194"/>
    <n v="184"/>
    <x v="0"/>
    <n v="10"/>
    <d v="1899-12-30T00:00:24"/>
    <n v="73.600000000000009"/>
    <n v="0.4"/>
    <n v="24"/>
    <d v="1899-12-30T00:02:24"/>
    <n v="441.59999999999997"/>
    <n v="2.4"/>
    <n v="144"/>
    <n v="128"/>
    <n v="0.70099999999999996"/>
    <n v="128.98399999999998"/>
  </r>
  <r>
    <n v="36"/>
    <x v="35"/>
    <n v="201"/>
    <n v="196"/>
    <x v="7"/>
    <n v="5"/>
    <d v="1899-12-30T00:00:15"/>
    <n v="49"/>
    <n v="0.25"/>
    <n v="15"/>
    <d v="1899-12-30T00:02:16"/>
    <n v="444.26666666666665"/>
    <n v="2.2666666666666666"/>
    <n v="136"/>
    <n v="159"/>
    <n v="0.81589999999999996"/>
    <n v="159.91639999999998"/>
  </r>
  <r>
    <n v="37"/>
    <x v="36"/>
    <n v="218"/>
    <n v="189"/>
    <x v="11"/>
    <n v="29"/>
    <d v="1899-12-30T00:00:32"/>
    <n v="100.8"/>
    <n v="0.53333333333333333"/>
    <n v="32"/>
    <d v="1899-12-30T00:02:37"/>
    <n v="494.55"/>
    <n v="2.6166666666666667"/>
    <n v="157"/>
    <n v="108"/>
    <n v="0.57410000000000005"/>
    <n v="108.50490000000001"/>
  </r>
  <r>
    <n v="38"/>
    <x v="37"/>
    <n v="194"/>
    <n v="190"/>
    <x v="7"/>
    <n v="4"/>
    <d v="1899-12-30T00:00:16"/>
    <n v="50.666666666666664"/>
    <n v="0.26666666666666666"/>
    <n v="16"/>
    <d v="1899-12-30T00:02:22"/>
    <n v="449.66666666666669"/>
    <n v="2.3666666666666667"/>
    <n v="142"/>
    <n v="155"/>
    <n v="0.81769999999999998"/>
    <n v="155.363"/>
  </r>
  <r>
    <n v="39"/>
    <x v="38"/>
    <n v="227"/>
    <n v="219"/>
    <x v="4"/>
    <n v="8"/>
    <d v="1899-12-30T00:00:15"/>
    <n v="54.75"/>
    <n v="0.25"/>
    <n v="15"/>
    <d v="1899-12-30T00:02:44"/>
    <n v="598.6"/>
    <n v="2.7333333333333334"/>
    <n v="164"/>
    <n v="183"/>
    <n v="0.83630000000000004"/>
    <n v="183.1497"/>
  </r>
  <r>
    <n v="40"/>
    <x v="39"/>
    <n v="52"/>
    <n v="52"/>
    <x v="3"/>
    <n v="0"/>
    <d v="1899-12-30T00:00:09"/>
    <n v="7.8"/>
    <n v="0.15"/>
    <n v="9"/>
    <d v="1899-12-30T00:02:16"/>
    <n v="117.86666666666666"/>
    <n v="2.2666666666666666"/>
    <n v="136"/>
    <n v="48"/>
    <n v="0.94230000000000003"/>
    <n v="48.999600000000001"/>
  </r>
  <r>
    <n v="41"/>
    <x v="40"/>
    <n v="385"/>
    <n v="370"/>
    <x v="4"/>
    <n v="15"/>
    <d v="1899-12-30T00:00:20"/>
    <n v="123.33333333333333"/>
    <n v="0.33333333333333331"/>
    <n v="20"/>
    <d v="1899-12-30T00:02:11"/>
    <n v="807.83333333333326"/>
    <n v="2.1833333333333331"/>
    <n v="131"/>
    <n v="281"/>
    <n v="0.76190000000000002"/>
    <n v="281.90300000000002"/>
  </r>
  <r>
    <n v="42"/>
    <x v="41"/>
    <n v="137"/>
    <n v="130"/>
    <x v="0"/>
    <n v="7"/>
    <d v="1899-12-30T00:00:16"/>
    <n v="34.666666666666664"/>
    <n v="0.26666666666666666"/>
    <n v="16"/>
    <d v="1899-12-30T00:02:26"/>
    <n v="316.33333333333337"/>
    <n v="2.4333333333333336"/>
    <n v="146"/>
    <n v="98"/>
    <n v="0.7591"/>
    <n v="98.682999999999993"/>
  </r>
  <r>
    <n v="43"/>
    <x v="42"/>
    <n v="254"/>
    <n v="252"/>
    <x v="12"/>
    <n v="2"/>
    <d v="1899-12-30T00:00:10"/>
    <n v="42"/>
    <n v="0.16666666666666666"/>
    <n v="10"/>
    <d v="1899-12-30T00:02:08"/>
    <n v="537.6"/>
    <n v="2.1333333333333333"/>
    <n v="128"/>
    <n v="230"/>
    <n v="0.91339999999999999"/>
    <n v="230.17679999999999"/>
  </r>
  <r>
    <n v="44"/>
    <x v="43"/>
    <n v="211"/>
    <n v="206"/>
    <x v="7"/>
    <n v="5"/>
    <d v="1899-12-30T00:00:11"/>
    <n v="37.766666666666666"/>
    <n v="0.18333333333333332"/>
    <n v="11"/>
    <d v="1899-12-30T00:02:24"/>
    <n v="494.4"/>
    <n v="2.4"/>
    <n v="144"/>
    <n v="179"/>
    <n v="0.87139999999999995"/>
    <n v="179.50839999999999"/>
  </r>
  <r>
    <n v="45"/>
    <x v="44"/>
    <n v="282"/>
    <n v="279"/>
    <x v="5"/>
    <n v="3"/>
    <d v="1899-12-30T00:00:07"/>
    <n v="32.549999999999997"/>
    <n v="0.11666666666666667"/>
    <n v="7"/>
    <d v="1899-12-30T00:02:18"/>
    <n v="641.69999999999993"/>
    <n v="2.2999999999999998"/>
    <n v="138"/>
    <n v="260"/>
    <n v="0.93210000000000004"/>
    <n v="260.05590000000001"/>
  </r>
  <r>
    <n v="46"/>
    <x v="45"/>
    <n v="262"/>
    <n v="260"/>
    <x v="12"/>
    <n v="2"/>
    <d v="1899-12-30T00:00:08"/>
    <n v="34.666666666666664"/>
    <n v="0.13333333333333333"/>
    <n v="8"/>
    <d v="1899-12-30T00:02:31"/>
    <n v="654.33333333333337"/>
    <n v="2.5166666666666666"/>
    <n v="151"/>
    <n v="236"/>
    <n v="0.90800000000000003"/>
    <n v="236.08"/>
  </r>
  <r>
    <n v="47"/>
    <x v="46"/>
    <n v="65"/>
    <n v="63"/>
    <x v="4"/>
    <n v="2"/>
    <d v="1899-12-30T00:00:12"/>
    <n v="12.600000000000001"/>
    <n v="0.2"/>
    <n v="12"/>
    <d v="1899-12-30T00:02:22"/>
    <n v="149.1"/>
    <n v="2.3666666666666667"/>
    <n v="142"/>
    <n v="54"/>
    <n v="0.85940000000000005"/>
    <n v="54.142200000000003"/>
  </r>
  <r>
    <n v="48"/>
    <x v="47"/>
    <n v="325"/>
    <n v="323"/>
    <x v="12"/>
    <n v="2"/>
    <d v="1899-12-30T00:00:05"/>
    <n v="26.916666666666664"/>
    <n v="8.3333333333333329E-2"/>
    <n v="5"/>
    <d v="1899-12-30T00:02:13"/>
    <n v="715.98333333333335"/>
    <n v="2.2166666666666668"/>
    <n v="133"/>
    <n v="312"/>
    <n v="0.96899999999999997"/>
    <n v="312.98699999999997"/>
  </r>
  <r>
    <n v="49"/>
    <x v="48"/>
    <n v="235"/>
    <n v="230"/>
    <x v="7"/>
    <n v="5"/>
    <d v="1899-12-30T00:00:05"/>
    <n v="19.166666666666664"/>
    <n v="8.3333333333333329E-2"/>
    <n v="5"/>
    <d v="1899-12-30T00:02:19"/>
    <n v="532.83333333333326"/>
    <n v="2.3166666666666664"/>
    <n v="139"/>
    <n v="221"/>
    <n v="0.96140000000000003"/>
    <n v="221.12200000000001"/>
  </r>
  <r>
    <n v="50"/>
    <x v="49"/>
    <n v="215"/>
    <n v="212"/>
    <x v="5"/>
    <n v="3"/>
    <d v="1899-12-30T00:00:05"/>
    <n v="17.666666666666664"/>
    <n v="8.3333333333333329E-2"/>
    <n v="5"/>
    <d v="1899-12-30T00:02:14"/>
    <n v="473.4666666666667"/>
    <n v="2.2333333333333334"/>
    <n v="134"/>
    <n v="203"/>
    <n v="0.95809999999999995"/>
    <n v="203.1172"/>
  </r>
  <r>
    <n v="51"/>
    <x v="50"/>
    <n v="85"/>
    <n v="85"/>
    <x v="3"/>
    <n v="0"/>
    <d v="1899-12-30T00:00:03"/>
    <n v="4.25"/>
    <n v="0.05"/>
    <n v="3"/>
    <d v="1899-12-30T00:02:26"/>
    <n v="206.83333333333334"/>
    <n v="2.4333333333333336"/>
    <n v="146"/>
    <n v="83"/>
    <n v="0.97650000000000003"/>
    <n v="83.002499999999998"/>
  </r>
  <r>
    <n v="52"/>
    <x v="51"/>
    <n v="195"/>
    <n v="195"/>
    <x v="3"/>
    <n v="0"/>
    <d v="1899-12-30T00:00:05"/>
    <n v="16.25"/>
    <n v="8.3333333333333329E-2"/>
    <n v="5"/>
    <d v="1899-12-30T00:02:24"/>
    <n v="468"/>
    <n v="2.4"/>
    <n v="144"/>
    <n v="190"/>
    <n v="0.97440000000000004"/>
    <n v="190.00800000000001"/>
  </r>
  <r>
    <n v="53"/>
    <x v="52"/>
    <n v="188"/>
    <n v="182"/>
    <x v="4"/>
    <n v="6"/>
    <d v="1899-12-30T00:00:15"/>
    <n v="45.5"/>
    <n v="0.25"/>
    <n v="15"/>
    <d v="1899-12-30T00:02:14"/>
    <n v="406.4666666666667"/>
    <n v="2.2333333333333334"/>
    <n v="134"/>
    <n v="152"/>
    <n v="0.83609999999999995"/>
    <n v="152.17019999999999"/>
  </r>
  <r>
    <n v="54"/>
    <x v="53"/>
    <n v="58"/>
    <n v="58"/>
    <x v="3"/>
    <n v="0"/>
    <d v="1899-12-30T00:00:06"/>
    <n v="5.8000000000000007"/>
    <n v="0.1"/>
    <n v="6"/>
    <d v="1899-12-30T00:02:22"/>
    <n v="137.26666666666668"/>
    <n v="2.3666666666666667"/>
    <n v="142"/>
    <n v="55"/>
    <n v="0.94830000000000003"/>
    <n v="55.001400000000004"/>
  </r>
  <r>
    <n v="55"/>
    <x v="54"/>
    <n v="251"/>
    <n v="247"/>
    <x v="5"/>
    <n v="4"/>
    <d v="1899-12-30T00:00:14"/>
    <n v="57.633333333333333"/>
    <n v="0.23333333333333334"/>
    <n v="14"/>
    <d v="1899-12-30T00:02:16"/>
    <n v="559.86666666666667"/>
    <n v="2.2666666666666666"/>
    <n v="136"/>
    <n v="206"/>
    <n v="0.83530000000000004"/>
    <n v="206.31910000000002"/>
  </r>
  <r>
    <n v="56"/>
    <x v="55"/>
    <n v="181"/>
    <n v="178"/>
    <x v="5"/>
    <n v="3"/>
    <d v="1899-12-30T00:00:12"/>
    <n v="35.6"/>
    <n v="0.2"/>
    <n v="12"/>
    <d v="1899-12-30T00:02:24"/>
    <n v="427.2"/>
    <n v="2.4"/>
    <n v="144"/>
    <n v="153"/>
    <n v="0.8619"/>
    <n v="153.41820000000001"/>
  </r>
  <r>
    <n v="57"/>
    <x v="56"/>
    <n v="228"/>
    <n v="213"/>
    <x v="2"/>
    <n v="15"/>
    <d v="1899-12-30T00:00:26"/>
    <n v="92.3"/>
    <n v="0.43333333333333335"/>
    <n v="26"/>
    <d v="1899-12-30T00:02:16"/>
    <n v="482.8"/>
    <n v="2.2666666666666666"/>
    <n v="136"/>
    <n v="135"/>
    <n v="0.63560000000000005"/>
    <n v="135.3828"/>
  </r>
  <r>
    <n v="58"/>
    <x v="57"/>
    <n v="165"/>
    <n v="163"/>
    <x v="5"/>
    <n v="2"/>
    <d v="1899-12-30T00:00:09"/>
    <n v="24.45"/>
    <n v="0.15"/>
    <n v="9"/>
    <d v="1899-12-30T00:02:25"/>
    <n v="393.91666666666663"/>
    <n v="2.4166666666666665"/>
    <n v="145"/>
    <n v="147"/>
    <n v="0.90239999999999998"/>
    <n v="147.09119999999999"/>
  </r>
  <r>
    <n v="59"/>
    <x v="58"/>
    <n v="185"/>
    <n v="179"/>
    <x v="4"/>
    <n v="6"/>
    <d v="1899-12-30T00:00:17"/>
    <n v="50.716666666666669"/>
    <n v="0.28333333333333333"/>
    <n v="17"/>
    <d v="1899-12-30T00:02:17"/>
    <n v="408.71666666666664"/>
    <n v="2.2833333333333332"/>
    <n v="137"/>
    <n v="140"/>
    <n v="0.78569999999999995"/>
    <n v="140.6403"/>
  </r>
  <r>
    <n v="60"/>
    <x v="59"/>
    <n v="172"/>
    <n v="164"/>
    <x v="10"/>
    <n v="8"/>
    <d v="1899-12-30T00:00:18"/>
    <n v="49.199999999999996"/>
    <n v="0.3"/>
    <n v="18"/>
    <d v="1899-12-30T00:02:27"/>
    <n v="401.8"/>
    <n v="2.4500000000000002"/>
    <n v="147"/>
    <n v="126"/>
    <n v="0.77059999999999995"/>
    <n v="126.3784"/>
  </r>
  <r>
    <n v="61"/>
    <x v="60"/>
    <n v="57"/>
    <n v="51"/>
    <x v="13"/>
    <n v="6"/>
    <d v="1899-12-30T00:00:07"/>
    <n v="5.95"/>
    <n v="0.11666666666666667"/>
    <n v="7"/>
    <d v="1899-12-30T00:01:47"/>
    <n v="90.949999999999989"/>
    <n v="1.7833333333333332"/>
    <n v="107"/>
    <n v="46"/>
    <n v="0.90569999999999995"/>
    <n v="46.1907"/>
  </r>
  <r>
    <n v="62"/>
    <x v="61"/>
    <n v="200"/>
    <n v="192"/>
    <x v="4"/>
    <n v="8"/>
    <d v="1899-12-30T00:00:10"/>
    <n v="32"/>
    <n v="0.16666666666666666"/>
    <n v="10"/>
    <d v="1899-12-30T00:02:18"/>
    <n v="441.59999999999997"/>
    <n v="2.2999999999999998"/>
    <n v="138"/>
    <n v="165"/>
    <n v="0.86429999999999996"/>
    <n v="165.94559999999998"/>
  </r>
  <r>
    <n v="63"/>
    <x v="62"/>
    <n v="202"/>
    <n v="199"/>
    <x v="5"/>
    <n v="3"/>
    <d v="1899-12-30T00:00:08"/>
    <n v="26.533333333333331"/>
    <n v="0.13333333333333333"/>
    <n v="8"/>
    <d v="1899-12-30T00:02:05"/>
    <n v="414.58333333333337"/>
    <n v="2.0833333333333335"/>
    <n v="125.00000000000001"/>
    <n v="181"/>
    <n v="0.91"/>
    <n v="181.09"/>
  </r>
  <r>
    <n v="64"/>
    <x v="63"/>
    <n v="217"/>
    <n v="212"/>
    <x v="7"/>
    <n v="5"/>
    <d v="1899-12-30T00:00:07"/>
    <n v="24.733333333333334"/>
    <n v="0.11666666666666667"/>
    <n v="7"/>
    <d v="1899-12-30T00:01:55"/>
    <n v="406.33333333333331"/>
    <n v="1.9166666666666665"/>
    <n v="114.99999999999999"/>
    <n v="200"/>
    <n v="0.94420000000000004"/>
    <n v="200.1704"/>
  </r>
  <r>
    <n v="65"/>
    <x v="64"/>
    <n v="225"/>
    <n v="223"/>
    <x v="12"/>
    <n v="2"/>
    <d v="1899-12-30T00:00:09"/>
    <n v="33.449999999999996"/>
    <n v="0.15"/>
    <n v="9"/>
    <d v="1899-12-30T00:02:09"/>
    <n v="479.45"/>
    <n v="2.15"/>
    <n v="129"/>
    <n v="205"/>
    <n v="0.91930000000000001"/>
    <n v="205.00389999999999"/>
  </r>
  <r>
    <n v="66"/>
    <x v="65"/>
    <n v="235"/>
    <n v="231"/>
    <x v="5"/>
    <n v="4"/>
    <d v="1899-12-30T00:00:08"/>
    <n v="30.8"/>
    <n v="0.13333333333333333"/>
    <n v="8"/>
    <d v="1899-12-30T00:02:19"/>
    <n v="535.15"/>
    <n v="2.3166666666666664"/>
    <n v="139"/>
    <n v="221"/>
    <n v="0.95709999999999995"/>
    <n v="221.09009999999998"/>
  </r>
  <r>
    <n v="67"/>
    <x v="66"/>
    <n v="202"/>
    <n v="201"/>
    <x v="12"/>
    <n v="1"/>
    <d v="1899-12-30T00:00:08"/>
    <n v="26.8"/>
    <n v="0.13333333333333333"/>
    <n v="8"/>
    <d v="1899-12-30T00:02:21"/>
    <n v="472.35"/>
    <n v="2.35"/>
    <n v="141"/>
    <n v="190"/>
    <n v="0.94550000000000001"/>
    <n v="190.0455"/>
  </r>
  <r>
    <n v="68"/>
    <x v="67"/>
    <n v="43"/>
    <n v="39"/>
    <x v="9"/>
    <n v="4"/>
    <d v="1899-12-30T00:00:11"/>
    <n v="7.1499999999999995"/>
    <n v="0.18333333333333332"/>
    <n v="11"/>
    <d v="1899-12-30T00:02:15"/>
    <n v="87.75"/>
    <n v="2.25"/>
    <n v="135"/>
    <n v="29"/>
    <n v="0.76190000000000002"/>
    <n v="29.714100000000002"/>
  </r>
  <r>
    <n v="69"/>
    <x v="68"/>
    <n v="194"/>
    <n v="187"/>
    <x v="4"/>
    <n v="7"/>
    <d v="1899-12-30T00:00:10"/>
    <n v="31.166666666666664"/>
    <n v="0.16666666666666666"/>
    <n v="10"/>
    <d v="1899-12-30T00:02:27"/>
    <n v="458.15000000000003"/>
    <n v="2.4500000000000002"/>
    <n v="147"/>
    <n v="163"/>
    <n v="0.87429999999999997"/>
    <n v="163.4941"/>
  </r>
  <r>
    <n v="70"/>
    <x v="69"/>
    <n v="202"/>
    <n v="199"/>
    <x v="5"/>
    <n v="3"/>
    <d v="1899-12-30T00:00:13"/>
    <n v="43.116666666666667"/>
    <n v="0.21666666666666667"/>
    <n v="13"/>
    <d v="1899-12-30T00:02:23"/>
    <n v="474.2833333333333"/>
    <n v="2.3833333333333333"/>
    <n v="143"/>
    <n v="171"/>
    <n v="0.86070000000000002"/>
    <n v="171.27930000000001"/>
  </r>
  <r>
    <n v="71"/>
    <x v="70"/>
    <n v="146"/>
    <n v="140"/>
    <x v="10"/>
    <n v="6"/>
    <d v="1899-12-30T00:00:12"/>
    <n v="28"/>
    <n v="0.2"/>
    <n v="12"/>
    <d v="1899-12-30T00:02:13"/>
    <n v="310.33333333333337"/>
    <n v="2.2166666666666668"/>
    <n v="133"/>
    <n v="116"/>
    <n v="0.83450000000000002"/>
    <n v="116.83"/>
  </r>
  <r>
    <n v="72"/>
    <x v="71"/>
    <n v="147"/>
    <n v="145"/>
    <x v="5"/>
    <n v="2"/>
    <d v="1899-12-30T00:00:09"/>
    <n v="21.75"/>
    <n v="0.15"/>
    <n v="9"/>
    <d v="1899-12-30T00:02:15"/>
    <n v="326.25"/>
    <n v="2.25"/>
    <n v="135"/>
    <n v="132"/>
    <n v="0.91159999999999997"/>
    <n v="132.18199999999999"/>
  </r>
  <r>
    <n v="73"/>
    <x v="72"/>
    <n v="155"/>
    <n v="145"/>
    <x v="2"/>
    <n v="10"/>
    <d v="1899-12-30T00:00:12"/>
    <n v="29"/>
    <n v="0.2"/>
    <n v="12"/>
    <d v="1899-12-30T00:02:33"/>
    <n v="369.75"/>
    <n v="2.5499999999999998"/>
    <n v="153"/>
    <n v="119"/>
    <n v="0.82240000000000002"/>
    <n v="119.248"/>
  </r>
  <r>
    <n v="74"/>
    <x v="73"/>
    <n v="157"/>
    <n v="156"/>
    <x v="12"/>
    <n v="1"/>
    <d v="1899-12-30T00:00:09"/>
    <n v="23.4"/>
    <n v="0.15"/>
    <n v="9"/>
    <d v="1899-12-30T00:02:24"/>
    <n v="374.4"/>
    <n v="2.4"/>
    <n v="144"/>
    <n v="145"/>
    <n v="0.92949999999999999"/>
    <n v="145.00200000000001"/>
  </r>
  <r>
    <n v="75"/>
    <x v="74"/>
    <n v="38"/>
    <n v="36"/>
    <x v="0"/>
    <n v="2"/>
    <d v="1899-12-30T00:00:13"/>
    <n v="7.8000000000000007"/>
    <n v="0.21666666666666667"/>
    <n v="13"/>
    <d v="1899-12-30T00:02:11"/>
    <n v="78.599999999999994"/>
    <n v="2.1833333333333331"/>
    <n v="131"/>
    <n v="30"/>
    <n v="0.83779999999999999"/>
    <n v="30.160799999999998"/>
  </r>
  <r>
    <n v="76"/>
    <x v="75"/>
    <n v="166"/>
    <n v="162"/>
    <x v="7"/>
    <n v="4"/>
    <d v="1899-12-30T00:00:09"/>
    <n v="24.3"/>
    <n v="0.15"/>
    <n v="9"/>
    <d v="1899-12-30T00:02:29"/>
    <n v="402.3"/>
    <n v="2.4833333333333334"/>
    <n v="149"/>
    <n v="144"/>
    <n v="0.89090000000000003"/>
    <n v="144.32580000000002"/>
  </r>
  <r>
    <n v="77"/>
    <x v="76"/>
    <n v="226"/>
    <n v="216"/>
    <x v="10"/>
    <n v="10"/>
    <d v="1899-12-30T00:00:13"/>
    <n v="46.800000000000004"/>
    <n v="0.21666666666666667"/>
    <n v="13"/>
    <d v="1899-12-30T00:02:15"/>
    <n v="486"/>
    <n v="2.25"/>
    <n v="135"/>
    <n v="175"/>
    <n v="0.8145"/>
    <n v="175.93199999999999"/>
  </r>
  <r>
    <n v="78"/>
    <x v="77"/>
    <n v="253"/>
    <n v="247"/>
    <x v="7"/>
    <n v="6"/>
    <d v="1899-12-30T00:00:10"/>
    <n v="41.166666666666664"/>
    <n v="0.16666666666666666"/>
    <n v="10"/>
    <d v="1899-12-30T00:01:54"/>
    <n v="469.29999999999995"/>
    <n v="1.9"/>
    <n v="114"/>
    <n v="218"/>
    <n v="0.88490000000000002"/>
    <n v="218.5703"/>
  </r>
  <r>
    <n v="79"/>
    <x v="78"/>
    <n v="134"/>
    <n v="134"/>
    <x v="3"/>
    <n v="0"/>
    <d v="1899-12-30T00:00:03"/>
    <n v="6.7"/>
    <n v="0.05"/>
    <n v="3"/>
    <d v="1899-12-30T00:02:13"/>
    <n v="297.03333333333336"/>
    <n v="2.2166666666666668"/>
    <n v="133"/>
    <n v="134"/>
    <n v="1"/>
    <n v="134"/>
  </r>
  <r>
    <n v="80"/>
    <x v="79"/>
    <n v="70"/>
    <n v="67"/>
    <x v="10"/>
    <n v="3"/>
    <d v="1899-12-30T00:00:12"/>
    <n v="13.4"/>
    <n v="0.2"/>
    <n v="12"/>
    <d v="1899-12-30T00:02:01"/>
    <n v="135.11666666666667"/>
    <n v="2.0166666666666666"/>
    <n v="121"/>
    <n v="56"/>
    <n v="0.83819999999999995"/>
    <n v="56.159399999999998"/>
  </r>
  <r>
    <n v="81"/>
    <x v="80"/>
    <n v="83"/>
    <n v="82"/>
    <x v="5"/>
    <n v="1"/>
    <d v="1899-12-30T00:00:07"/>
    <n v="9.5666666666666664"/>
    <n v="0.11666666666666667"/>
    <n v="7"/>
    <d v="1899-12-30T00:02:03"/>
    <n v="168.1"/>
    <n v="2.0499999999999998"/>
    <n v="122.99999999999999"/>
    <n v="78"/>
    <n v="0.95179999999999998"/>
    <n v="78.047600000000003"/>
  </r>
  <r>
    <n v="82"/>
    <x v="81"/>
    <n v="42"/>
    <n v="40"/>
    <x v="10"/>
    <n v="2"/>
    <d v="1899-12-30T00:00:08"/>
    <n v="5.333333333333333"/>
    <n v="0.13333333333333333"/>
    <n v="8"/>
    <d v="1899-12-30T00:01:51"/>
    <n v="74"/>
    <n v="1.85"/>
    <n v="111"/>
    <n v="36"/>
    <n v="0.90239999999999998"/>
    <n v="36.095999999999997"/>
  </r>
  <r>
    <n v="83"/>
    <x v="82"/>
    <n v="66"/>
    <n v="64"/>
    <x v="4"/>
    <n v="2"/>
    <d v="1899-12-30T00:00:05"/>
    <n v="5.333333333333333"/>
    <n v="8.3333333333333329E-2"/>
    <n v="5"/>
    <d v="1899-12-30T00:02:00"/>
    <n v="128"/>
    <n v="2"/>
    <n v="120"/>
    <n v="61"/>
    <n v="0.95450000000000002"/>
    <n v="61.088000000000001"/>
  </r>
  <r>
    <n v="84"/>
    <x v="83"/>
    <n v="153"/>
    <n v="146"/>
    <x v="10"/>
    <n v="7"/>
    <d v="1899-12-30T00:00:20"/>
    <n v="48.666666666666664"/>
    <n v="0.33333333333333331"/>
    <n v="20"/>
    <d v="1899-12-30T00:02:08"/>
    <n v="311.46666666666664"/>
    <n v="2.1333333333333333"/>
    <n v="128"/>
    <n v="110"/>
    <n v="0.76"/>
    <n v="110.96000000000001"/>
  </r>
  <r>
    <n v="85"/>
    <x v="84"/>
    <n v="141"/>
    <n v="135"/>
    <x v="10"/>
    <n v="6"/>
    <d v="1899-12-30T00:00:23"/>
    <n v="51.75"/>
    <n v="0.38333333333333336"/>
    <n v="23"/>
    <d v="1899-12-30T00:02:06"/>
    <n v="283.5"/>
    <n v="2.1"/>
    <n v="126"/>
    <n v="90"/>
    <n v="0.66910000000000003"/>
    <n v="90.328500000000005"/>
  </r>
  <r>
    <n v="86"/>
    <x v="85"/>
    <n v="146"/>
    <n v="143"/>
    <x v="7"/>
    <n v="3"/>
    <d v="1899-12-30T00:00:17"/>
    <n v="40.516666666666666"/>
    <n v="0.28333333333333333"/>
    <n v="17"/>
    <d v="1899-12-30T00:01:57"/>
    <n v="278.84999999999997"/>
    <n v="1.95"/>
    <n v="117"/>
    <n v="111"/>
    <n v="0.78320000000000001"/>
    <n v="111.99760000000001"/>
  </r>
  <r>
    <n v="87"/>
    <x v="86"/>
    <n v="144"/>
    <n v="140"/>
    <x v="7"/>
    <n v="4"/>
    <d v="1899-12-30T00:00:12"/>
    <n v="28"/>
    <n v="0.2"/>
    <n v="12"/>
    <d v="1899-12-30T00:01:53"/>
    <n v="263.66666666666669"/>
    <n v="1.8833333333333333"/>
    <n v="113"/>
    <n v="117"/>
    <n v="0.84030000000000005"/>
    <n v="117.64200000000001"/>
  </r>
  <r>
    <n v="88"/>
    <x v="87"/>
    <n v="105"/>
    <n v="103"/>
    <x v="5"/>
    <n v="2"/>
    <d v="1899-12-30T00:00:17"/>
    <n v="29.183333333333334"/>
    <n v="0.28333333333333333"/>
    <n v="17"/>
    <d v="1899-12-30T00:01:55"/>
    <n v="197.41666666666666"/>
    <n v="1.9166666666666665"/>
    <n v="114.99999999999999"/>
    <n v="78"/>
    <n v="0.76190000000000002"/>
    <n v="78.475700000000003"/>
  </r>
  <r>
    <n v="89"/>
    <x v="88"/>
    <n v="36"/>
    <n v="35"/>
    <x v="7"/>
    <n v="1"/>
    <d v="1899-12-30T00:00:16"/>
    <n v="9.3333333333333339"/>
    <n v="0.26666666666666666"/>
    <n v="16"/>
    <d v="1899-12-30T00:01:54"/>
    <n v="66.5"/>
    <n v="1.9"/>
    <n v="114"/>
    <n v="26"/>
    <n v="0.77139999999999997"/>
    <n v="26.998999999999999"/>
  </r>
  <r>
    <n v="90"/>
    <x v="89"/>
    <n v="61"/>
    <n v="57"/>
    <x v="2"/>
    <n v="4"/>
    <d v="1899-12-30T00:00:04"/>
    <n v="3.8"/>
    <n v="6.6666666666666666E-2"/>
    <n v="4"/>
    <d v="1899-12-30T00:02:00"/>
    <n v="114"/>
    <n v="2"/>
    <n v="120"/>
    <n v="52"/>
    <n v="0.91669999999999996"/>
    <n v="52.251899999999999"/>
  </r>
  <r>
    <n v="91"/>
    <x v="90"/>
    <n v="60"/>
    <n v="58"/>
    <x v="4"/>
    <n v="2"/>
    <d v="1899-12-30T00:00:11"/>
    <n v="10.633333333333333"/>
    <n v="0.18333333333333332"/>
    <n v="11"/>
    <d v="1899-12-30T00:02:08"/>
    <n v="123.73333333333333"/>
    <n v="2.1333333333333333"/>
    <n v="128"/>
    <n v="49"/>
    <n v="0.85"/>
    <n v="49.3"/>
  </r>
  <r>
    <n v="92"/>
    <x v="91"/>
    <n v="18"/>
    <n v="17"/>
    <x v="0"/>
    <n v="1"/>
    <d v="1899-12-30T00:00:05"/>
    <n v="1.4166666666666665"/>
    <n v="8.3333333333333329E-2"/>
    <n v="5"/>
    <d v="1899-12-30T00:02:39"/>
    <n v="45.05"/>
    <n v="2.65"/>
    <n v="159"/>
    <n v="17"/>
    <n v="1"/>
    <n v="17"/>
  </r>
  <r>
    <n v="93"/>
    <x v="92"/>
    <n v="206"/>
    <n v="202"/>
    <x v="5"/>
    <n v="4"/>
    <d v="1899-12-30T00:00:09"/>
    <n v="30.299999999999997"/>
    <n v="0.15"/>
    <n v="9"/>
    <d v="1899-12-30T00:01:54"/>
    <n v="383.79999999999995"/>
    <n v="1.9"/>
    <n v="114"/>
    <n v="180"/>
    <n v="0.89270000000000005"/>
    <n v="180.3254"/>
  </r>
  <r>
    <n v="94"/>
    <x v="93"/>
    <n v="194"/>
    <n v="193"/>
    <x v="12"/>
    <n v="1"/>
    <d v="1899-12-30T00:00:11"/>
    <n v="35.383333333333333"/>
    <n v="0.18333333333333332"/>
    <n v="11"/>
    <d v="1899-12-30T00:01:57"/>
    <n v="376.34999999999997"/>
    <n v="1.95"/>
    <n v="117"/>
    <n v="163"/>
    <n v="0.84970000000000001"/>
    <n v="163.99209999999999"/>
  </r>
  <r>
    <n v="95"/>
    <x v="94"/>
    <n v="206"/>
    <n v="200"/>
    <x v="7"/>
    <n v="6"/>
    <d v="1899-12-30T00:00:10"/>
    <n v="33.333333333333329"/>
    <n v="0.16666666666666666"/>
    <n v="10"/>
    <d v="1899-12-30T00:02:08"/>
    <n v="426.66666666666669"/>
    <n v="2.1333333333333333"/>
    <n v="128"/>
    <n v="172"/>
    <n v="0.86270000000000002"/>
    <n v="172.54"/>
  </r>
  <r>
    <n v="96"/>
    <x v="95"/>
    <n v="53"/>
    <n v="53"/>
    <x v="3"/>
    <n v="0"/>
    <d v="1899-12-30T00:00:18"/>
    <n v="15.899999999999999"/>
    <n v="0.3"/>
    <n v="18"/>
    <d v="1899-12-30T00:02:08"/>
    <n v="113.06666666666666"/>
    <n v="2.1333333333333333"/>
    <n v="128"/>
    <n v="41"/>
    <n v="0.77359999999999995"/>
    <n v="41.000799999999998"/>
  </r>
  <r>
    <n v="97"/>
    <x v="96"/>
    <n v="147"/>
    <n v="145"/>
    <x v="5"/>
    <n v="2"/>
    <d v="1899-12-30T00:00:09"/>
    <n v="21.75"/>
    <n v="0.15"/>
    <n v="9"/>
    <d v="1899-12-30T00:01:50"/>
    <n v="265.83333333333337"/>
    <n v="1.8333333333333335"/>
    <n v="110.00000000000001"/>
    <n v="128"/>
    <n v="0.88360000000000005"/>
    <n v="128.12200000000001"/>
  </r>
  <r>
    <n v="98"/>
    <x v="97"/>
    <n v="201"/>
    <n v="197"/>
    <x v="5"/>
    <n v="4"/>
    <d v="1899-12-30T00:00:09"/>
    <n v="29.549999999999997"/>
    <n v="0.15"/>
    <n v="9"/>
    <d v="1899-12-30T00:01:59"/>
    <n v="390.7166666666667"/>
    <n v="1.9833333333333334"/>
    <n v="119"/>
    <n v="179"/>
    <n v="0.90949999999999998"/>
    <n v="179.17150000000001"/>
  </r>
  <r>
    <n v="99"/>
    <x v="98"/>
    <n v="202"/>
    <n v="198"/>
    <x v="5"/>
    <n v="4"/>
    <d v="1899-12-30T00:00:10"/>
    <n v="33"/>
    <n v="0.16666666666666666"/>
    <n v="10"/>
    <d v="1899-12-30T00:02:09"/>
    <n v="425.7"/>
    <n v="2.15"/>
    <n v="129"/>
    <n v="175"/>
    <n v="0.88500000000000001"/>
    <n v="175.23"/>
  </r>
  <r>
    <n v="100"/>
    <x v="99"/>
    <n v="226"/>
    <n v="219"/>
    <x v="4"/>
    <n v="7"/>
    <d v="1899-12-30T00:00:10"/>
    <n v="36.5"/>
    <n v="0.16666666666666666"/>
    <n v="10"/>
    <d v="1899-12-30T00:02:12"/>
    <n v="481.8"/>
    <n v="2.2000000000000002"/>
    <n v="132"/>
    <n v="192"/>
    <n v="0.88"/>
    <n v="192.72"/>
  </r>
  <r>
    <n v="101"/>
    <x v="100"/>
    <n v="167"/>
    <n v="163"/>
    <x v="7"/>
    <n v="4"/>
    <d v="1899-12-30T00:00:07"/>
    <n v="19.016666666666666"/>
    <n v="0.11666666666666667"/>
    <n v="7"/>
    <d v="1899-12-30T00:02:09"/>
    <n v="350.45"/>
    <n v="2.15"/>
    <n v="129"/>
    <n v="151"/>
    <n v="0.92769999999999997"/>
    <n v="151.21510000000001"/>
  </r>
  <r>
    <n v="102"/>
    <x v="101"/>
    <n v="164"/>
    <n v="164"/>
    <x v="3"/>
    <n v="0"/>
    <d v="1899-12-30T00:00:11"/>
    <n v="30.066666666666663"/>
    <n v="0.18333333333333332"/>
    <n v="11"/>
    <d v="1899-12-30T00:02:17"/>
    <n v="374.46666666666664"/>
    <n v="2.2833333333333332"/>
    <n v="137"/>
    <n v="145"/>
    <n v="0.89019999999999999"/>
    <n v="145.99279999999999"/>
  </r>
  <r>
    <n v="103"/>
    <x v="102"/>
    <n v="42"/>
    <n v="41"/>
    <x v="7"/>
    <n v="1"/>
    <d v="1899-12-30T00:00:11"/>
    <n v="7.5166666666666657"/>
    <n v="0.18333333333333332"/>
    <n v="11"/>
    <d v="1899-12-30T00:02:09"/>
    <n v="88.149999999999991"/>
    <n v="2.15"/>
    <n v="129"/>
    <n v="35"/>
    <n v="0.878"/>
    <n v="35.997999999999998"/>
  </r>
  <r>
    <n v="104"/>
    <x v="103"/>
    <n v="79"/>
    <n v="78"/>
    <x v="5"/>
    <n v="1"/>
    <d v="1899-12-30T00:00:07"/>
    <n v="9.1"/>
    <n v="0.11666666666666667"/>
    <n v="7"/>
    <d v="1899-12-30T00:02:23"/>
    <n v="185.9"/>
    <n v="2.3833333333333333"/>
    <n v="143"/>
    <n v="73"/>
    <n v="0.94869999999999999"/>
    <n v="73.998599999999996"/>
  </r>
  <r>
    <n v="105"/>
    <x v="104"/>
    <n v="165"/>
    <n v="162"/>
    <x v="5"/>
    <n v="3"/>
    <d v="1899-12-30T00:00:09"/>
    <n v="24.3"/>
    <n v="0.15"/>
    <n v="9"/>
    <d v="1899-12-30T00:02:09"/>
    <n v="348.3"/>
    <n v="2.15"/>
    <n v="129"/>
    <n v="145"/>
    <n v="0.89700000000000002"/>
    <n v="145.31399999999999"/>
  </r>
  <r>
    <n v="106"/>
    <x v="105"/>
    <n v="180"/>
    <n v="174"/>
    <x v="4"/>
    <n v="6"/>
    <d v="1899-12-30T00:00:16"/>
    <n v="46.4"/>
    <n v="0.26666666666666666"/>
    <n v="16"/>
    <d v="1899-12-30T00:02:16"/>
    <n v="394.4"/>
    <n v="2.2666666666666666"/>
    <n v="136"/>
    <n v="135"/>
    <n v="0.77780000000000005"/>
    <n v="135.3372"/>
  </r>
  <r>
    <n v="107"/>
    <x v="106"/>
    <n v="179"/>
    <n v="176"/>
    <x v="5"/>
    <n v="3"/>
    <d v="1899-12-30T00:00:10"/>
    <n v="29.333333333333332"/>
    <n v="0.16666666666666666"/>
    <n v="10"/>
    <d v="1899-12-30T00:02:26"/>
    <n v="428.26666666666671"/>
    <n v="2.4333333333333336"/>
    <n v="146"/>
    <n v="154"/>
    <n v="0.87639999999999996"/>
    <n v="154.24639999999999"/>
  </r>
  <r>
    <n v="108"/>
    <x v="107"/>
    <n v="217"/>
    <n v="215"/>
    <x v="12"/>
    <n v="2"/>
    <d v="1899-12-30T00:00:08"/>
    <n v="28.666666666666668"/>
    <n v="0.13333333333333333"/>
    <n v="8"/>
    <d v="1899-12-30T00:02:08"/>
    <n v="458.66666666666669"/>
    <n v="2.1333333333333333"/>
    <n v="128"/>
    <n v="197"/>
    <n v="0.91710000000000003"/>
    <n v="197.1765"/>
  </r>
  <r>
    <n v="109"/>
    <x v="108"/>
    <n v="171"/>
    <n v="167"/>
    <x v="7"/>
    <n v="4"/>
    <d v="1899-12-30T00:00:10"/>
    <n v="27.833333333333332"/>
    <n v="0.16666666666666666"/>
    <n v="10"/>
    <d v="1899-12-30T00:02:15"/>
    <n v="375.75"/>
    <n v="2.25"/>
    <n v="135"/>
    <n v="144"/>
    <n v="0.86470000000000002"/>
    <n v="144.4049"/>
  </r>
  <r>
    <n v="110"/>
    <x v="109"/>
    <n v="37"/>
    <n v="37"/>
    <x v="3"/>
    <n v="0"/>
    <d v="1899-12-30T00:00:09"/>
    <n v="5.55"/>
    <n v="0.15"/>
    <n v="9"/>
    <d v="1899-12-30T00:01:57"/>
    <n v="72.149999999999991"/>
    <n v="1.95"/>
    <n v="117"/>
    <n v="32"/>
    <n v="0.8649"/>
    <n v="32.001300000000001"/>
  </r>
  <r>
    <n v="111"/>
    <x v="110"/>
    <n v="215"/>
    <n v="206"/>
    <x v="10"/>
    <n v="9"/>
    <d v="1899-12-30T00:00:18"/>
    <n v="61.8"/>
    <n v="0.3"/>
    <n v="18"/>
    <d v="1899-12-30T00:02:09"/>
    <n v="442.9"/>
    <n v="2.15"/>
    <n v="129"/>
    <n v="166"/>
    <n v="0.8095"/>
    <n v="166.75700000000001"/>
  </r>
  <r>
    <n v="112"/>
    <x v="111"/>
    <n v="218"/>
    <n v="212"/>
    <x v="7"/>
    <n v="6"/>
    <d v="1899-12-30T00:00:16"/>
    <n v="56.533333333333331"/>
    <n v="0.26666666666666666"/>
    <n v="16"/>
    <d v="1899-12-30T00:02:17"/>
    <n v="484.06666666666666"/>
    <n v="2.2833333333333332"/>
    <n v="137"/>
    <n v="178"/>
    <n v="0.84260000000000002"/>
    <n v="178.63120000000001"/>
  </r>
  <r>
    <n v="113"/>
    <x v="112"/>
    <n v="205"/>
    <n v="202"/>
    <x v="5"/>
    <n v="3"/>
    <d v="1899-12-30T00:00:11"/>
    <n v="37.033333333333331"/>
    <n v="0.18333333333333332"/>
    <n v="11"/>
    <d v="1899-12-30T00:02:25"/>
    <n v="488.16666666666663"/>
    <n v="2.4166666666666665"/>
    <n v="145"/>
    <n v="183"/>
    <n v="0.90690000000000004"/>
    <n v="183.19380000000001"/>
  </r>
  <r>
    <n v="114"/>
    <x v="113"/>
    <n v="195"/>
    <n v="190"/>
    <x v="7"/>
    <n v="5"/>
    <d v="1899-12-30T00:00:12"/>
    <n v="38"/>
    <n v="0.2"/>
    <n v="12"/>
    <d v="1899-12-30T00:02:22"/>
    <n v="449.66666666666669"/>
    <n v="2.3666666666666667"/>
    <n v="142"/>
    <n v="169"/>
    <n v="0.8901"/>
    <n v="169.119"/>
  </r>
  <r>
    <n v="115"/>
    <x v="114"/>
    <n v="181"/>
    <n v="176"/>
    <x v="7"/>
    <n v="5"/>
    <d v="1899-12-30T00:00:13"/>
    <n v="38.133333333333333"/>
    <n v="0.21666666666666667"/>
    <n v="13"/>
    <d v="1899-12-30T00:02:13"/>
    <n v="390.13333333333333"/>
    <n v="2.2166666666666668"/>
    <n v="133"/>
    <n v="144"/>
    <n v="0.82220000000000004"/>
    <n v="144.7072"/>
  </r>
  <r>
    <n v="116"/>
    <x v="115"/>
    <n v="212"/>
    <n v="206"/>
    <x v="7"/>
    <n v="6"/>
    <d v="1899-12-30T00:00:11"/>
    <n v="37.766666666666666"/>
    <n v="0.18333333333333332"/>
    <n v="11"/>
    <d v="1899-12-30T00:02:20"/>
    <n v="480.66666666666669"/>
    <n v="2.3333333333333335"/>
    <n v="140"/>
    <n v="184"/>
    <n v="0.89419999999999999"/>
    <n v="184.20519999999999"/>
  </r>
  <r>
    <n v="117"/>
    <x v="116"/>
    <n v="33"/>
    <n v="32"/>
    <x v="4"/>
    <n v="1"/>
    <d v="1899-12-30T00:00:08"/>
    <n v="4.2666666666666666"/>
    <n v="0.13333333333333333"/>
    <n v="8"/>
    <d v="1899-12-30T00:02:28"/>
    <n v="78.933333333333337"/>
    <n v="2.4666666666666668"/>
    <n v="148"/>
    <n v="29"/>
    <n v="0.90910000000000002"/>
    <n v="29.091200000000001"/>
  </r>
  <r>
    <n v="118"/>
    <x v="117"/>
    <n v="298"/>
    <n v="287"/>
    <x v="4"/>
    <n v="11"/>
    <d v="1899-12-30T00:00:13"/>
    <n v="62.183333333333337"/>
    <n v="0.21666666666666667"/>
    <n v="13"/>
    <d v="1899-12-30T00:01:35"/>
    <n v="454.41666666666669"/>
    <n v="1.5833333333333335"/>
    <n v="95.000000000000014"/>
    <n v="239"/>
    <n v="0.83330000000000004"/>
    <n v="239.15710000000001"/>
  </r>
  <r>
    <n v="119"/>
    <x v="118"/>
    <n v="158"/>
    <n v="156"/>
    <x v="5"/>
    <n v="2"/>
    <d v="1899-12-30T00:00:11"/>
    <n v="28.599999999999998"/>
    <n v="0.18333333333333332"/>
    <n v="11"/>
    <d v="1899-12-30T00:02:23"/>
    <n v="371.8"/>
    <n v="2.3833333333333333"/>
    <n v="143"/>
    <n v="140"/>
    <n v="0.89810000000000001"/>
    <n v="140.1036"/>
  </r>
  <r>
    <n v="120"/>
    <x v="119"/>
    <n v="156"/>
    <n v="154"/>
    <x v="5"/>
    <n v="2"/>
    <d v="1899-12-30T00:00:12"/>
    <n v="30.8"/>
    <n v="0.2"/>
    <n v="12"/>
    <d v="1899-12-30T00:02:13"/>
    <n v="341.36666666666667"/>
    <n v="2.2166666666666668"/>
    <n v="133"/>
    <n v="132"/>
    <n v="0.85809999999999997"/>
    <n v="132.1474"/>
  </r>
  <r>
    <n v="121"/>
    <x v="120"/>
    <n v="163"/>
    <n v="163"/>
    <x v="3"/>
    <n v="0"/>
    <d v="1899-12-30T00:00:10"/>
    <n v="27.166666666666664"/>
    <n v="0.16666666666666666"/>
    <n v="10"/>
    <d v="1899-12-30T00:02:02"/>
    <n v="331.43333333333334"/>
    <n v="2.0333333333333332"/>
    <n v="122"/>
    <n v="151"/>
    <n v="0.9264"/>
    <n v="151.00319999999999"/>
  </r>
  <r>
    <n v="122"/>
    <x v="121"/>
    <n v="98"/>
    <n v="98"/>
    <x v="3"/>
    <n v="0"/>
    <d v="1899-12-30T00:00:07"/>
    <n v="11.433333333333334"/>
    <n v="0.11666666666666667"/>
    <n v="7"/>
    <d v="1899-12-30T00:02:10"/>
    <n v="212.33333333333331"/>
    <n v="2.1666666666666665"/>
    <n v="130"/>
    <n v="92"/>
    <n v="0.93879999999999997"/>
    <n v="92.002399999999994"/>
  </r>
  <r>
    <n v="123"/>
    <x v="122"/>
    <n v="255"/>
    <n v="249"/>
    <x v="7"/>
    <n v="6"/>
    <d v="1899-12-30T00:00:15"/>
    <n v="62.25"/>
    <n v="0.25"/>
    <n v="15"/>
    <d v="1899-12-30T00:02:19"/>
    <n v="576.84999999999991"/>
    <n v="2.3166666666666664"/>
    <n v="139"/>
    <n v="205"/>
    <n v="0.82679999999999998"/>
    <n v="205.8732"/>
  </r>
  <r>
    <n v="124"/>
    <x v="123"/>
    <n v="50"/>
    <n v="49"/>
    <x v="5"/>
    <n v="1"/>
    <d v="1899-12-30T00:00:08"/>
    <n v="6.5333333333333332"/>
    <n v="0.13333333333333333"/>
    <n v="8"/>
    <d v="1899-12-30T00:02:02"/>
    <n v="99.633333333333326"/>
    <n v="2.0333333333333332"/>
    <n v="122"/>
    <n v="45"/>
    <n v="0.92"/>
    <n v="45.080000000000005"/>
  </r>
  <r>
    <n v="125"/>
    <x v="124"/>
    <n v="290"/>
    <n v="289"/>
    <x v="12"/>
    <n v="1"/>
    <d v="1899-12-30T00:00:12"/>
    <n v="57.800000000000004"/>
    <n v="0.2"/>
    <n v="12"/>
    <d v="1899-12-30T00:02:01"/>
    <n v="582.81666666666661"/>
    <n v="2.0166666666666666"/>
    <n v="121"/>
    <n v="257"/>
    <n v="0.89270000000000005"/>
    <n v="257.99029999999999"/>
  </r>
  <r>
    <n v="126"/>
    <x v="125"/>
    <n v="296"/>
    <n v="281"/>
    <x v="0"/>
    <n v="15"/>
    <d v="1899-12-30T00:00:22"/>
    <n v="103.03333333333333"/>
    <n v="0.36666666666666664"/>
    <n v="22"/>
    <d v="1899-12-30T00:02:08"/>
    <n v="599.4666666666667"/>
    <n v="2.1333333333333333"/>
    <n v="128"/>
    <n v="206"/>
    <n v="0.73540000000000005"/>
    <n v="206.6474"/>
  </r>
  <r>
    <n v="127"/>
    <x v="126"/>
    <n v="260"/>
    <n v="257"/>
    <x v="5"/>
    <n v="3"/>
    <d v="1899-12-30T00:00:17"/>
    <n v="72.816666666666663"/>
    <n v="0.28333333333333333"/>
    <n v="17"/>
    <d v="1899-12-30T00:02:13"/>
    <n v="569.68333333333339"/>
    <n v="2.2166666666666668"/>
    <n v="133"/>
    <n v="224"/>
    <n v="0.87160000000000004"/>
    <n v="224.00120000000001"/>
  </r>
  <r>
    <n v="128"/>
    <x v="127"/>
    <n v="201"/>
    <n v="193"/>
    <x v="4"/>
    <n v="8"/>
    <d v="1899-12-30T00:00:19"/>
    <n v="61.116666666666667"/>
    <n v="0.31666666666666665"/>
    <n v="19"/>
    <d v="1899-12-30T00:02:23"/>
    <n v="459.98333333333335"/>
    <n v="2.3833333333333333"/>
    <n v="143"/>
    <n v="148"/>
    <n v="0.76770000000000005"/>
    <n v="148.1661"/>
  </r>
  <r>
    <n v="129"/>
    <x v="128"/>
    <n v="132"/>
    <n v="131"/>
    <x v="12"/>
    <n v="1"/>
    <d v="1899-12-30T00:00:17"/>
    <n v="37.116666666666667"/>
    <n v="0.28333333333333333"/>
    <n v="17"/>
    <d v="1899-12-30T00:02:13"/>
    <n v="290.38333333333333"/>
    <n v="2.2166666666666668"/>
    <n v="133"/>
    <n v="100"/>
    <n v="0.76519999999999999"/>
    <n v="100.24119999999999"/>
  </r>
  <r>
    <n v="130"/>
    <x v="129"/>
    <n v="167"/>
    <n v="165"/>
    <x v="5"/>
    <n v="2"/>
    <d v="1899-12-30T00:00:09"/>
    <n v="24.75"/>
    <n v="0.15"/>
    <n v="9"/>
    <d v="1899-12-30T00:02:06"/>
    <n v="346.5"/>
    <n v="2.1"/>
    <n v="126"/>
    <n v="151"/>
    <n v="0.92120000000000002"/>
    <n v="151.99799999999999"/>
  </r>
  <r>
    <n v="131"/>
    <x v="130"/>
    <n v="85"/>
    <n v="79"/>
    <x v="6"/>
    <n v="6"/>
    <d v="1899-12-30T00:00:18"/>
    <n v="23.7"/>
    <n v="0.3"/>
    <n v="18"/>
    <d v="1899-12-30T00:02:25"/>
    <n v="190.91666666666666"/>
    <n v="2.4166666666666665"/>
    <n v="145"/>
    <n v="61"/>
    <n v="0.77380000000000004"/>
    <n v="61.130200000000002"/>
  </r>
  <r>
    <n v="132"/>
    <x v="131"/>
    <n v="244"/>
    <n v="236"/>
    <x v="4"/>
    <n v="8"/>
    <d v="1899-12-30T00:00:21"/>
    <n v="82.6"/>
    <n v="0.35"/>
    <n v="21"/>
    <d v="1899-12-30T00:02:29"/>
    <n v="586.06666666666672"/>
    <n v="2.4833333333333334"/>
    <n v="149"/>
    <n v="178"/>
    <n v="0.75619999999999998"/>
    <n v="178.4632"/>
  </r>
  <r>
    <n v="133"/>
    <x v="132"/>
    <n v="186"/>
    <n v="182"/>
    <x v="7"/>
    <n v="4"/>
    <d v="1899-12-30T00:00:14"/>
    <n v="42.466666666666669"/>
    <n v="0.23333333333333334"/>
    <n v="14"/>
    <d v="1899-12-30T00:02:13"/>
    <n v="403.43333333333334"/>
    <n v="2.2166666666666668"/>
    <n v="133"/>
    <n v="143"/>
    <n v="0.7903"/>
    <n v="143.83459999999999"/>
  </r>
  <r>
    <n v="134"/>
    <x v="133"/>
    <n v="278"/>
    <n v="264"/>
    <x v="0"/>
    <n v="14"/>
    <d v="1899-12-30T00:00:19"/>
    <n v="83.6"/>
    <n v="0.31666666666666665"/>
    <n v="19"/>
    <d v="1899-12-30T00:02:20"/>
    <n v="616"/>
    <n v="2.3333333333333335"/>
    <n v="140"/>
    <n v="202"/>
    <n v="0.76839999999999997"/>
    <n v="202.85759999999999"/>
  </r>
  <r>
    <n v="135"/>
    <x v="134"/>
    <n v="272"/>
    <n v="268"/>
    <x v="5"/>
    <n v="4"/>
    <d v="1899-12-30T00:00:15"/>
    <n v="67"/>
    <n v="0.25"/>
    <n v="15"/>
    <d v="1899-12-30T00:02:30"/>
    <n v="670"/>
    <n v="2.5"/>
    <n v="150"/>
    <n v="214"/>
    <n v="0.8"/>
    <n v="214.4"/>
  </r>
  <r>
    <n v="136"/>
    <x v="135"/>
    <n v="218"/>
    <n v="206"/>
    <x v="0"/>
    <n v="12"/>
    <d v="1899-12-30T00:00:25"/>
    <n v="85.833333333333343"/>
    <n v="0.41666666666666669"/>
    <n v="25"/>
    <d v="1899-12-30T00:02:21"/>
    <n v="484.1"/>
    <n v="2.35"/>
    <n v="141"/>
    <n v="138"/>
    <n v="0.67279999999999995"/>
    <n v="138.5968"/>
  </r>
  <r>
    <n v="137"/>
    <x v="136"/>
    <n v="152"/>
    <n v="148"/>
    <x v="7"/>
    <n v="4"/>
    <d v="1899-12-30T00:00:14"/>
    <n v="34.533333333333331"/>
    <n v="0.23333333333333334"/>
    <n v="14"/>
    <d v="1899-12-30T00:02:18"/>
    <n v="340.4"/>
    <n v="2.2999999999999998"/>
    <n v="138"/>
    <n v="123"/>
    <n v="0.83330000000000004"/>
    <n v="123.3284"/>
  </r>
  <r>
    <n v="138"/>
    <x v="137"/>
    <n v="48"/>
    <n v="43"/>
    <x v="13"/>
    <n v="5"/>
    <d v="1899-12-30T00:00:22"/>
    <n v="15.766666666666666"/>
    <n v="0.36666666666666664"/>
    <n v="22"/>
    <d v="1899-12-30T00:02:01"/>
    <n v="86.716666666666669"/>
    <n v="2.0166666666666666"/>
    <n v="121"/>
    <n v="29"/>
    <n v="0.69569999999999999"/>
    <n v="29.915099999999999"/>
  </r>
  <r>
    <n v="139"/>
    <x v="138"/>
    <n v="186"/>
    <n v="181"/>
    <x v="7"/>
    <n v="5"/>
    <d v="1899-12-30T00:00:14"/>
    <n v="42.233333333333334"/>
    <n v="0.23333333333333334"/>
    <n v="14"/>
    <d v="1899-12-30T00:02:20"/>
    <n v="422.33333333333337"/>
    <n v="2.3333333333333335"/>
    <n v="140"/>
    <n v="153"/>
    <n v="0.84950000000000003"/>
    <n v="153.7595"/>
  </r>
  <r>
    <n v="140"/>
    <x v="139"/>
    <n v="182"/>
    <n v="180"/>
    <x v="5"/>
    <n v="2"/>
    <d v="1899-12-30T00:00:08"/>
    <n v="24"/>
    <n v="0.13333333333333333"/>
    <n v="8"/>
    <d v="1899-12-30T00:02:10"/>
    <n v="390"/>
    <n v="2.1666666666666665"/>
    <n v="130"/>
    <n v="168"/>
    <n v="0.93369999999999997"/>
    <n v="168.066"/>
  </r>
  <r>
    <n v="141"/>
    <x v="140"/>
    <n v="192"/>
    <n v="188"/>
    <x v="7"/>
    <n v="4"/>
    <d v="1899-12-30T00:00:20"/>
    <n v="62.666666666666664"/>
    <n v="0.33333333333333331"/>
    <n v="20"/>
    <d v="1899-12-30T00:01:58"/>
    <n v="369.73333333333335"/>
    <n v="1.9666666666666668"/>
    <n v="118"/>
    <n v="143"/>
    <n v="0.76190000000000002"/>
    <n v="143.2372"/>
  </r>
  <r>
    <n v="142"/>
    <x v="141"/>
    <n v="155"/>
    <n v="148"/>
    <x v="10"/>
    <n v="7"/>
    <d v="1899-12-30T00:00:14"/>
    <n v="34.533333333333331"/>
    <n v="0.23333333333333334"/>
    <n v="14"/>
    <d v="1899-12-30T00:02:24"/>
    <n v="355.2"/>
    <n v="2.4"/>
    <n v="144"/>
    <n v="126"/>
    <n v="0.85329999999999995"/>
    <n v="126.2884"/>
  </r>
  <r>
    <n v="143"/>
    <x v="142"/>
    <n v="144"/>
    <n v="142"/>
    <x v="5"/>
    <n v="2"/>
    <d v="1899-12-30T00:00:11"/>
    <n v="26.033333333333331"/>
    <n v="0.18333333333333332"/>
    <n v="11"/>
    <d v="1899-12-30T00:02:19"/>
    <n v="328.96666666666664"/>
    <n v="2.3166666666666664"/>
    <n v="139"/>
    <n v="128"/>
    <n v="0.90210000000000001"/>
    <n v="128.09819999999999"/>
  </r>
  <r>
    <n v="144"/>
    <x v="143"/>
    <n v="164"/>
    <n v="162"/>
    <x v="5"/>
    <n v="2"/>
    <d v="1899-12-30T00:00:12"/>
    <n v="32.4"/>
    <n v="0.2"/>
    <n v="12"/>
    <d v="1899-12-30T00:02:35"/>
    <n v="418.5"/>
    <n v="2.5833333333333335"/>
    <n v="155"/>
    <n v="138"/>
    <n v="0.85370000000000001"/>
    <n v="138.29939999999999"/>
  </r>
  <r>
    <n v="145"/>
    <x v="144"/>
    <n v="27"/>
    <n v="26"/>
    <x v="4"/>
    <n v="1"/>
    <d v="1899-12-30T00:00:11"/>
    <n v="4.7666666666666666"/>
    <n v="0.18333333333333332"/>
    <n v="11"/>
    <d v="1899-12-30T00:02:04"/>
    <n v="53.733333333333341"/>
    <n v="2.0666666666666669"/>
    <n v="124.00000000000001"/>
    <n v="21"/>
    <n v="0.81479999999999997"/>
    <n v="21.184799999999999"/>
  </r>
  <r>
    <n v="146"/>
    <x v="145"/>
    <n v="177"/>
    <n v="175"/>
    <x v="5"/>
    <n v="2"/>
    <d v="1899-12-30T00:00:11"/>
    <n v="32.083333333333329"/>
    <n v="0.18333333333333332"/>
    <n v="11"/>
    <d v="1899-12-30T00:02:19"/>
    <n v="405.41666666666663"/>
    <n v="2.3166666666666664"/>
    <n v="139"/>
    <n v="159"/>
    <n v="0.90859999999999996"/>
    <n v="159.005"/>
  </r>
  <r>
    <n v="147"/>
    <x v="146"/>
    <n v="134"/>
    <n v="131"/>
    <x v="7"/>
    <n v="3"/>
    <d v="1899-12-30T00:00:14"/>
    <n v="30.566666666666666"/>
    <n v="0.23333333333333334"/>
    <n v="14"/>
    <d v="1899-12-30T00:02:23"/>
    <n v="312.21666666666664"/>
    <n v="2.3833333333333333"/>
    <n v="143"/>
    <n v="106"/>
    <n v="0.81340000000000001"/>
    <n v="106.55540000000001"/>
  </r>
  <r>
    <n v="148"/>
    <x v="147"/>
    <n v="125"/>
    <n v="120"/>
    <x v="4"/>
    <n v="5"/>
    <d v="1899-12-30T00:00:14"/>
    <n v="28"/>
    <n v="0.23333333333333334"/>
    <n v="14"/>
    <d v="1899-12-30T00:02:20"/>
    <n v="280"/>
    <n v="2.3333333333333335"/>
    <n v="140"/>
    <n v="101"/>
    <n v="0.84550000000000003"/>
    <n v="101.46000000000001"/>
  </r>
  <r>
    <n v="149"/>
    <x v="148"/>
    <n v="167"/>
    <n v="163"/>
    <x v="7"/>
    <n v="4"/>
    <d v="1899-12-30T00:00:16"/>
    <n v="43.466666666666669"/>
    <n v="0.26666666666666666"/>
    <n v="16"/>
    <d v="1899-12-30T00:02:24"/>
    <n v="391.2"/>
    <n v="2.4"/>
    <n v="144"/>
    <n v="132"/>
    <n v="0.81210000000000004"/>
    <n v="132.3723"/>
  </r>
  <r>
    <n v="150"/>
    <x v="149"/>
    <n v="169"/>
    <n v="167"/>
    <x v="5"/>
    <n v="2"/>
    <d v="1899-12-30T00:00:09"/>
    <n v="25.05"/>
    <n v="0.15"/>
    <n v="9"/>
    <d v="1899-12-30T00:02:14"/>
    <n v="372.9666666666667"/>
    <n v="2.2333333333333334"/>
    <n v="134"/>
    <n v="150"/>
    <n v="0.89939999999999998"/>
    <n v="150.19979999999998"/>
  </r>
  <r>
    <n v="151"/>
    <x v="150"/>
    <n v="162"/>
    <n v="160"/>
    <x v="5"/>
    <n v="2"/>
    <d v="1899-12-30T00:00:16"/>
    <n v="42.666666666666664"/>
    <n v="0.26666666666666666"/>
    <n v="16"/>
    <d v="1899-12-30T00:02:15"/>
    <n v="360"/>
    <n v="2.25"/>
    <n v="135"/>
    <n v="133"/>
    <n v="0.83130000000000004"/>
    <n v="133.00800000000001"/>
  </r>
  <r>
    <n v="152"/>
    <x v="151"/>
    <n v="25"/>
    <n v="25"/>
    <x v="3"/>
    <n v="0"/>
    <d v="1899-12-30T00:00:16"/>
    <n v="6.666666666666667"/>
    <n v="0.26666666666666666"/>
    <n v="16"/>
    <d v="1899-12-30T00:02:35"/>
    <n v="64.583333333333343"/>
    <n v="2.5833333333333335"/>
    <n v="155"/>
    <n v="19"/>
    <n v="0.76"/>
    <n v="19"/>
  </r>
  <r>
    <n v="153"/>
    <x v="152"/>
    <n v="157"/>
    <n v="146"/>
    <x v="6"/>
    <n v="11"/>
    <d v="1899-12-30T00:00:17"/>
    <n v="41.366666666666667"/>
    <n v="0.28333333333333333"/>
    <n v="17"/>
    <d v="1899-12-30T00:02:17"/>
    <n v="333.36666666666667"/>
    <n v="2.2833333333333332"/>
    <n v="137"/>
    <n v="116"/>
    <n v="0.7974"/>
    <n v="116.4204"/>
  </r>
  <r>
    <n v="154"/>
    <x v="153"/>
    <n v="166"/>
    <n v="154"/>
    <x v="6"/>
    <n v="12"/>
    <d v="1899-12-30T00:00:25"/>
    <n v="64.166666666666671"/>
    <n v="0.41666666666666669"/>
    <n v="25"/>
    <d v="1899-12-30T00:02:18"/>
    <n v="354.2"/>
    <n v="2.2999999999999998"/>
    <n v="138"/>
    <n v="102"/>
    <n v="0.66259999999999997"/>
    <n v="102.04039999999999"/>
  </r>
  <r>
    <n v="155"/>
    <x v="154"/>
    <n v="58"/>
    <n v="55"/>
    <x v="0"/>
    <n v="3"/>
    <d v="1899-12-30T00:00:16"/>
    <n v="14.666666666666666"/>
    <n v="0.26666666666666666"/>
    <n v="16"/>
    <d v="1899-12-30T00:02:11"/>
    <n v="120.08333333333333"/>
    <n v="2.1833333333333331"/>
    <n v="131"/>
    <n v="40"/>
    <n v="0.74139999999999995"/>
    <n v="40.776999999999994"/>
  </r>
  <r>
    <n v="156"/>
    <x v="155"/>
    <n v="75"/>
    <n v="74"/>
    <x v="5"/>
    <n v="1"/>
    <d v="1899-12-30T00:00:15"/>
    <n v="18.5"/>
    <n v="0.25"/>
    <n v="15"/>
    <d v="1899-12-30T00:02:13"/>
    <n v="164.03333333333333"/>
    <n v="2.2166666666666668"/>
    <n v="133"/>
    <n v="62"/>
    <n v="0.84"/>
    <n v="62.16"/>
  </r>
  <r>
    <n v="157"/>
    <x v="156"/>
    <n v="28"/>
    <n v="28"/>
    <x v="3"/>
    <n v="0"/>
    <d v="1899-12-30T00:00:07"/>
    <n v="3.2666666666666666"/>
    <n v="0.11666666666666667"/>
    <n v="7"/>
    <d v="1899-12-30T00:02:28"/>
    <n v="69.066666666666663"/>
    <n v="2.4666666666666668"/>
    <n v="148"/>
    <n v="27"/>
    <n v="0.96430000000000005"/>
    <n v="27.000400000000003"/>
  </r>
  <r>
    <n v="158"/>
    <x v="157"/>
    <n v="108"/>
    <n v="107"/>
    <x v="12"/>
    <n v="1"/>
    <d v="1899-12-30T00:00:09"/>
    <n v="16.05"/>
    <n v="0.15"/>
    <n v="9"/>
    <d v="1899-12-30T00:02:11"/>
    <n v="233.61666666666665"/>
    <n v="2.1833333333333331"/>
    <n v="131"/>
    <n v="101"/>
    <n v="0.94440000000000002"/>
    <n v="101.0508"/>
  </r>
  <r>
    <n v="159"/>
    <x v="158"/>
    <n v="21"/>
    <n v="21"/>
    <x v="3"/>
    <n v="0"/>
    <d v="1899-12-30T00:00:07"/>
    <n v="2.4500000000000002"/>
    <n v="0.11666666666666667"/>
    <n v="7"/>
    <d v="1899-12-30T00:02:58"/>
    <n v="62.300000000000004"/>
    <n v="2.9666666666666668"/>
    <n v="178"/>
    <n v="20"/>
    <n v="0.95240000000000002"/>
    <n v="20.000399999999999"/>
  </r>
  <r>
    <n v="160"/>
    <x v="159"/>
    <n v="189"/>
    <n v="182"/>
    <x v="4"/>
    <n v="7"/>
    <d v="1899-12-30T00:00:21"/>
    <n v="63.699999999999996"/>
    <n v="0.35"/>
    <n v="21"/>
    <d v="1899-12-30T00:02:10"/>
    <n v="394.33333333333331"/>
    <n v="2.1666666666666665"/>
    <n v="130"/>
    <n v="138"/>
    <n v="0.76339999999999997"/>
    <n v="138.93879999999999"/>
  </r>
  <r>
    <n v="161"/>
    <x v="160"/>
    <n v="161"/>
    <n v="155"/>
    <x v="4"/>
    <n v="6"/>
    <d v="1899-12-30T00:00:19"/>
    <n v="49.083333333333329"/>
    <n v="0.31666666666666665"/>
    <n v="19"/>
    <d v="1899-12-30T00:02:27"/>
    <n v="379.75"/>
    <n v="2.4500000000000002"/>
    <n v="147"/>
    <n v="111"/>
    <n v="0.71879999999999999"/>
    <n v="111.414"/>
  </r>
  <r>
    <n v="162"/>
    <x v="161"/>
    <n v="155"/>
    <n v="151"/>
    <x v="7"/>
    <n v="4"/>
    <d v="1899-12-30T00:00:17"/>
    <n v="42.783333333333331"/>
    <n v="0.28333333333333333"/>
    <n v="17"/>
    <d v="1899-12-30T00:02:20"/>
    <n v="352.33333333333337"/>
    <n v="2.3333333333333335"/>
    <n v="140"/>
    <n v="121"/>
    <n v="0.80520000000000003"/>
    <n v="121.5852"/>
  </r>
  <r>
    <n v="163"/>
    <x v="162"/>
    <n v="161"/>
    <n v="150"/>
    <x v="2"/>
    <n v="11"/>
    <d v="1899-12-30T00:00:17"/>
    <n v="42.5"/>
    <n v="0.28333333333333333"/>
    <n v="17"/>
    <d v="1899-12-30T00:02:22"/>
    <n v="355"/>
    <n v="2.3666666666666667"/>
    <n v="142"/>
    <n v="112"/>
    <n v="0.75319999999999998"/>
    <n v="112.98"/>
  </r>
  <r>
    <n v="164"/>
    <x v="163"/>
    <n v="132"/>
    <n v="129"/>
    <x v="7"/>
    <n v="3"/>
    <d v="1899-12-30T00:00:27"/>
    <n v="58.050000000000004"/>
    <n v="0.45"/>
    <n v="27"/>
    <d v="1899-12-30T00:02:22"/>
    <n v="305.3"/>
    <n v="2.3666666666666667"/>
    <n v="142"/>
    <n v="84"/>
    <n v="0.65149999999999997"/>
    <n v="84.043499999999995"/>
  </r>
  <r>
    <n v="165"/>
    <x v="164"/>
    <n v="122"/>
    <n v="119"/>
    <x v="7"/>
    <n v="3"/>
    <d v="1899-12-30T00:00:16"/>
    <n v="31.733333333333334"/>
    <n v="0.26666666666666666"/>
    <n v="16"/>
    <d v="1899-12-30T00:02:24"/>
    <n v="285.59999999999997"/>
    <n v="2.4"/>
    <n v="144"/>
    <n v="95"/>
    <n v="0.8"/>
    <n v="95.2"/>
  </r>
  <r>
    <n v="166"/>
    <x v="165"/>
    <n v="17"/>
    <n v="17"/>
    <x v="3"/>
    <n v="0"/>
    <d v="1899-12-30T00:00:21"/>
    <n v="5.9499999999999993"/>
    <n v="0.35"/>
    <n v="21"/>
    <d v="1899-12-30T00:02:40"/>
    <n v="45.333333333333329"/>
    <n v="2.6666666666666665"/>
    <n v="160"/>
    <n v="12"/>
    <n v="0.76470000000000005"/>
    <n v="12.9999"/>
  </r>
  <r>
    <n v="167"/>
    <x v="166"/>
    <n v="45"/>
    <n v="45"/>
    <x v="3"/>
    <n v="0"/>
    <d v="1899-12-30T00:00:06"/>
    <n v="4.5"/>
    <n v="0.1"/>
    <n v="6"/>
    <d v="1899-12-30T00:02:06"/>
    <n v="94.5"/>
    <n v="2.1"/>
    <n v="126"/>
    <n v="43"/>
    <n v="0.9556"/>
    <n v="43.002000000000002"/>
  </r>
  <r>
    <n v="168"/>
    <x v="167"/>
    <n v="177"/>
    <n v="172"/>
    <x v="7"/>
    <n v="5"/>
    <d v="1899-12-30T00:00:20"/>
    <n v="57.333333333333329"/>
    <n v="0.33333333333333331"/>
    <n v="20"/>
    <d v="1899-12-30T00:02:23"/>
    <n v="409.93333333333334"/>
    <n v="2.3833333333333333"/>
    <n v="143"/>
    <n v="130"/>
    <n v="0.76"/>
    <n v="130.72"/>
  </r>
  <r>
    <n v="169"/>
    <x v="168"/>
    <n v="133"/>
    <n v="132"/>
    <x v="12"/>
    <n v="1"/>
    <d v="1899-12-30T00:00:10"/>
    <n v="22"/>
    <n v="0.16666666666666666"/>
    <n v="10"/>
    <d v="1899-12-30T00:02:25"/>
    <n v="319"/>
    <n v="2.4166666666666665"/>
    <n v="145"/>
    <n v="123"/>
    <n v="0.93230000000000002"/>
    <n v="123.06360000000001"/>
  </r>
  <r>
    <n v="170"/>
    <x v="169"/>
    <n v="177"/>
    <n v="167"/>
    <x v="0"/>
    <n v="10"/>
    <d v="1899-12-30T00:00:15"/>
    <n v="41.75"/>
    <n v="0.25"/>
    <n v="15"/>
    <d v="1899-12-30T00:02:22"/>
    <n v="395.23333333333335"/>
    <n v="2.3666666666666667"/>
    <n v="142"/>
    <n v="139"/>
    <n v="0.83240000000000003"/>
    <n v="139.01080000000002"/>
  </r>
  <r>
    <n v="171"/>
    <x v="170"/>
    <n v="127"/>
    <n v="124"/>
    <x v="7"/>
    <n v="3"/>
    <d v="1899-12-30T00:00:16"/>
    <n v="33.066666666666663"/>
    <n v="0.26666666666666666"/>
    <n v="16"/>
    <d v="1899-12-30T00:02:22"/>
    <n v="293.4666666666667"/>
    <n v="2.3666666666666667"/>
    <n v="142"/>
    <n v="101"/>
    <n v="0.81889999999999996"/>
    <n v="101.5436"/>
  </r>
  <r>
    <n v="172"/>
    <x v="171"/>
    <n v="148"/>
    <n v="147"/>
    <x v="12"/>
    <n v="1"/>
    <d v="1899-12-30T00:00:16"/>
    <n v="39.200000000000003"/>
    <n v="0.26666666666666666"/>
    <n v="16"/>
    <d v="1899-12-30T00:02:11"/>
    <n v="320.95"/>
    <n v="2.1833333333333331"/>
    <n v="131"/>
    <n v="122"/>
    <n v="0.83109999999999995"/>
    <n v="122.17169999999999"/>
  </r>
  <r>
    <n v="173"/>
    <x v="172"/>
    <n v="23"/>
    <n v="23"/>
    <x v="3"/>
    <n v="0"/>
    <d v="1899-12-30T00:00:32"/>
    <n v="12.266666666666666"/>
    <n v="0.53333333333333333"/>
    <n v="32"/>
    <d v="1899-12-30T00:02:02"/>
    <n v="46.766666666666666"/>
    <n v="2.0333333333333332"/>
    <n v="122"/>
    <n v="15"/>
    <n v="0.6522"/>
    <n v="15.0006"/>
  </r>
  <r>
    <n v="174"/>
    <x v="173"/>
    <n v="141"/>
    <n v="134"/>
    <x v="10"/>
    <n v="7"/>
    <d v="1899-12-30T00:00:24"/>
    <n v="53.6"/>
    <n v="0.4"/>
    <n v="24"/>
    <d v="1899-12-30T00:02:38"/>
    <n v="352.86666666666667"/>
    <n v="2.6333333333333333"/>
    <n v="158"/>
    <n v="96"/>
    <n v="0.72140000000000004"/>
    <n v="96.667600000000007"/>
  </r>
  <r>
    <n v="175"/>
    <x v="174"/>
    <n v="124"/>
    <n v="120"/>
    <x v="4"/>
    <n v="4"/>
    <d v="1899-12-30T00:00:20"/>
    <n v="40"/>
    <n v="0.33333333333333331"/>
    <n v="20"/>
    <d v="1899-12-30T00:02:33"/>
    <n v="306"/>
    <n v="2.5499999999999998"/>
    <n v="153"/>
    <n v="98"/>
    <n v="0.8226"/>
    <n v="98.712000000000003"/>
  </r>
  <r>
    <n v="176"/>
    <x v="175"/>
    <n v="165"/>
    <n v="156"/>
    <x v="0"/>
    <n v="9"/>
    <d v="1899-12-30T00:00:25"/>
    <n v="65"/>
    <n v="0.41666666666666669"/>
    <n v="25"/>
    <d v="1899-12-30T00:02:21"/>
    <n v="366.6"/>
    <n v="2.35"/>
    <n v="141"/>
    <n v="110"/>
    <n v="0.70550000000000002"/>
    <n v="110.05800000000001"/>
  </r>
  <r>
    <n v="177"/>
    <x v="176"/>
    <n v="168"/>
    <n v="166"/>
    <x v="5"/>
    <n v="2"/>
    <d v="1899-12-30T00:00:21"/>
    <n v="58.099999999999994"/>
    <n v="0.35"/>
    <n v="21"/>
    <d v="1899-12-30T00:02:33"/>
    <n v="423.29999999999995"/>
    <n v="2.5499999999999998"/>
    <n v="153"/>
    <n v="132"/>
    <n v="0.80120000000000002"/>
    <n v="132.9992"/>
  </r>
  <r>
    <n v="178"/>
    <x v="177"/>
    <n v="198"/>
    <n v="188"/>
    <x v="0"/>
    <n v="10"/>
    <d v="1899-12-30T00:00:22"/>
    <n v="68.933333333333323"/>
    <n v="0.36666666666666664"/>
    <n v="22"/>
    <d v="1899-12-30T00:02:32"/>
    <n v="476.26666666666665"/>
    <n v="2.5333333333333332"/>
    <n v="152"/>
    <n v="133"/>
    <n v="0.70920000000000005"/>
    <n v="133.3296"/>
  </r>
  <r>
    <n v="179"/>
    <x v="178"/>
    <n v="139"/>
    <n v="133"/>
    <x v="10"/>
    <n v="6"/>
    <d v="1899-12-30T00:00:17"/>
    <n v="37.68333333333333"/>
    <n v="0.28333333333333333"/>
    <n v="17"/>
    <d v="1899-12-30T00:02:40"/>
    <n v="354.66666666666663"/>
    <n v="2.6666666666666665"/>
    <n v="160"/>
    <n v="106"/>
    <n v="0.80149999999999999"/>
    <n v="106.59949999999999"/>
  </r>
  <r>
    <n v="180"/>
    <x v="179"/>
    <n v="46"/>
    <n v="45"/>
    <x v="7"/>
    <n v="1"/>
    <d v="1899-12-30T00:00:10"/>
    <n v="7.5"/>
    <n v="0.16666666666666666"/>
    <n v="10"/>
    <d v="1899-12-30T00:02:14"/>
    <n v="100.5"/>
    <n v="2.2333333333333334"/>
    <n v="134"/>
    <n v="40"/>
    <n v="0.88890000000000002"/>
    <n v="40.000500000000002"/>
  </r>
  <r>
    <n v="181"/>
    <x v="180"/>
    <n v="184"/>
    <n v="174"/>
    <x v="0"/>
    <n v="10"/>
    <d v="1899-12-30T00:00:23"/>
    <n v="66.7"/>
    <n v="0.38333333333333336"/>
    <n v="23"/>
    <d v="1899-12-30T00:02:37"/>
    <n v="455.3"/>
    <n v="2.6166666666666667"/>
    <n v="157"/>
    <n v="133"/>
    <n v="0.76539999999999997"/>
    <n v="133.17959999999999"/>
  </r>
  <r>
    <n v="182"/>
    <x v="181"/>
    <n v="207"/>
    <n v="190"/>
    <x v="1"/>
    <n v="17"/>
    <d v="1899-12-30T00:00:21"/>
    <n v="66.5"/>
    <n v="0.35"/>
    <n v="21"/>
    <d v="1899-12-30T00:02:23"/>
    <n v="452.83333333333331"/>
    <n v="2.3833333333333333"/>
    <n v="143"/>
    <n v="135"/>
    <n v="0.71360000000000001"/>
    <n v="135.584"/>
  </r>
  <r>
    <n v="183"/>
    <x v="182"/>
    <n v="191"/>
    <n v="180"/>
    <x v="0"/>
    <n v="11"/>
    <d v="1899-12-30T00:00:21"/>
    <n v="62.999999999999993"/>
    <n v="0.35"/>
    <n v="21"/>
    <d v="1899-12-30T00:02:32"/>
    <n v="456"/>
    <n v="2.5333333333333332"/>
    <n v="152"/>
    <n v="137"/>
    <n v="0.76500000000000001"/>
    <n v="137.69999999999999"/>
  </r>
  <r>
    <n v="184"/>
    <x v="183"/>
    <n v="213"/>
    <n v="204"/>
    <x v="10"/>
    <n v="9"/>
    <d v="1899-12-30T00:00:24"/>
    <n v="81.600000000000009"/>
    <n v="0.4"/>
    <n v="24"/>
    <d v="1899-12-30T00:02:26"/>
    <n v="496.40000000000003"/>
    <n v="2.4333333333333336"/>
    <n v="146"/>
    <n v="142"/>
    <n v="0.69669999999999999"/>
    <n v="142.1268"/>
  </r>
  <r>
    <n v="185"/>
    <x v="184"/>
    <n v="483"/>
    <n v="451"/>
    <x v="2"/>
    <n v="32"/>
    <d v="1899-12-30T00:00:16"/>
    <n v="120.26666666666667"/>
    <n v="0.26666666666666666"/>
    <n v="16"/>
    <d v="1899-12-30T00:00:57"/>
    <n v="428.45"/>
    <n v="0.95"/>
    <n v="57"/>
    <n v="357"/>
    <n v="0.79200000000000004"/>
    <n v="357.19200000000001"/>
  </r>
  <r>
    <n v="186"/>
    <x v="185"/>
    <n v="547"/>
    <n v="526"/>
    <x v="4"/>
    <n v="21"/>
    <d v="1899-12-30T00:00:19"/>
    <n v="166.56666666666666"/>
    <n v="0.31666666666666665"/>
    <n v="19"/>
    <d v="1899-12-30T00:01:21"/>
    <n v="710.1"/>
    <n v="1.35"/>
    <n v="81"/>
    <n v="429"/>
    <n v="0.81579999999999997"/>
    <n v="429.11079999999998"/>
  </r>
  <r>
    <n v="187"/>
    <x v="186"/>
    <n v="54"/>
    <n v="53"/>
    <x v="5"/>
    <n v="1"/>
    <d v="1899-12-30T00:00:25"/>
    <n v="22.083333333333336"/>
    <n v="0.41666666666666669"/>
    <n v="25"/>
    <d v="1899-12-30T00:02:36"/>
    <n v="137.80000000000001"/>
    <n v="2.6"/>
    <n v="156"/>
    <n v="37"/>
    <n v="0.70369999999999999"/>
    <n v="37.296100000000003"/>
  </r>
  <r>
    <n v="188"/>
    <x v="187"/>
    <n v="275"/>
    <n v="261"/>
    <x v="0"/>
    <n v="14"/>
    <d v="1899-12-30T00:00:22"/>
    <n v="95.699999999999989"/>
    <n v="0.36666666666666664"/>
    <n v="22"/>
    <d v="1899-12-30T00:02:13"/>
    <n v="578.55000000000007"/>
    <n v="2.2166666666666668"/>
    <n v="133"/>
    <n v="194"/>
    <n v="0.74439999999999995"/>
    <n v="194.2884"/>
  </r>
  <r>
    <n v="189"/>
    <x v="188"/>
    <n v="205"/>
    <n v="195"/>
    <x v="10"/>
    <n v="10"/>
    <d v="1899-12-30T00:00:24"/>
    <n v="78"/>
    <n v="0.4"/>
    <n v="24"/>
    <d v="1899-12-30T00:02:34"/>
    <n v="500.49999999999994"/>
    <n v="2.5666666666666664"/>
    <n v="154"/>
    <n v="138"/>
    <n v="0.70789999999999997"/>
    <n v="138.04050000000001"/>
  </r>
  <r>
    <n v="190"/>
    <x v="189"/>
    <n v="80"/>
    <n v="77"/>
    <x v="4"/>
    <n v="3"/>
    <d v="1899-12-30T00:00:10"/>
    <n v="12.833333333333332"/>
    <n v="0.16666666666666666"/>
    <n v="10"/>
    <d v="1899-12-30T00:02:11"/>
    <n v="168.11666666666665"/>
    <n v="2.1833333333333331"/>
    <n v="131"/>
    <n v="68"/>
    <n v="0.89610000000000001"/>
    <n v="68.999700000000004"/>
  </r>
  <r>
    <n v="191"/>
    <x v="190"/>
    <n v="200"/>
    <n v="195"/>
    <x v="7"/>
    <n v="5"/>
    <d v="1899-12-30T00:00:21"/>
    <n v="68.25"/>
    <n v="0.35"/>
    <n v="21"/>
    <d v="1899-12-30T00:02:30"/>
    <n v="487.5"/>
    <n v="2.5"/>
    <n v="150"/>
    <n v="146"/>
    <n v="0.75249999999999995"/>
    <n v="146.73749999999998"/>
  </r>
  <r>
    <n v="192"/>
    <x v="191"/>
    <n v="154"/>
    <n v="150"/>
    <x v="7"/>
    <n v="4"/>
    <d v="1899-12-30T00:00:21"/>
    <n v="52.5"/>
    <n v="0.35"/>
    <n v="21"/>
    <d v="1899-12-30T00:02:29"/>
    <n v="372.5"/>
    <n v="2.4833333333333334"/>
    <n v="149"/>
    <n v="111"/>
    <n v="0.74339999999999995"/>
    <n v="111.50999999999999"/>
  </r>
  <r>
    <n v="193"/>
    <x v="192"/>
    <n v="163"/>
    <n v="155"/>
    <x v="10"/>
    <n v="8"/>
    <d v="1899-12-30T00:00:23"/>
    <n v="59.416666666666671"/>
    <n v="0.38333333333333336"/>
    <n v="23"/>
    <d v="1899-12-30T00:02:18"/>
    <n v="356.5"/>
    <n v="2.2999999999999998"/>
    <n v="138"/>
    <n v="115"/>
    <n v="0.74519999999999997"/>
    <n v="115.506"/>
  </r>
  <r>
    <n v="194"/>
    <x v="193"/>
    <n v="12"/>
    <n v="12"/>
    <x v="3"/>
    <n v="0"/>
    <d v="1899-12-30T00:00:25"/>
    <n v="5"/>
    <n v="0.41666666666666669"/>
    <n v="25"/>
    <d v="1899-12-30T00:03:37"/>
    <n v="43.4"/>
    <n v="3.6166666666666667"/>
    <n v="217"/>
    <n v="8"/>
    <n v="0.66669999999999996"/>
    <n v="8.0003999999999991"/>
  </r>
  <r>
    <n v="195"/>
    <x v="194"/>
    <n v="218"/>
    <n v="212"/>
    <x v="7"/>
    <n v="6"/>
    <d v="1899-12-30T00:00:20"/>
    <n v="70.666666666666657"/>
    <n v="0.33333333333333331"/>
    <n v="20"/>
    <d v="1899-12-30T00:01:56"/>
    <n v="409.86666666666667"/>
    <n v="1.9333333333333333"/>
    <n v="116"/>
    <n v="160"/>
    <n v="0.75929999999999997"/>
    <n v="160.9716"/>
  </r>
  <r>
    <n v="196"/>
    <x v="195"/>
    <n v="172"/>
    <n v="163"/>
    <x v="0"/>
    <n v="9"/>
    <d v="1899-12-30T00:00:18"/>
    <n v="48.9"/>
    <n v="0.3"/>
    <n v="18"/>
    <d v="1899-12-30T00:02:09"/>
    <n v="350.45"/>
    <n v="2.15"/>
    <n v="129"/>
    <n v="133"/>
    <n v="0.81930000000000003"/>
    <n v="133.54590000000002"/>
  </r>
  <r>
    <n v="197"/>
    <x v="196"/>
    <n v="205"/>
    <n v="194"/>
    <x v="0"/>
    <n v="11"/>
    <d v="1899-12-30T00:00:18"/>
    <n v="58.199999999999996"/>
    <n v="0.3"/>
    <n v="18"/>
    <d v="1899-12-30T00:02:24"/>
    <n v="465.59999999999997"/>
    <n v="2.4"/>
    <n v="144"/>
    <n v="156"/>
    <n v="0.80600000000000005"/>
    <n v="156.364"/>
  </r>
  <r>
    <n v="198"/>
    <x v="197"/>
    <n v="178"/>
    <n v="168"/>
    <x v="0"/>
    <n v="10"/>
    <d v="1899-12-30T00:00:23"/>
    <n v="64.400000000000006"/>
    <n v="0.38333333333333336"/>
    <n v="23"/>
    <d v="1899-12-30T00:02:28"/>
    <n v="414.40000000000003"/>
    <n v="2.4666666666666668"/>
    <n v="148"/>
    <n v="115"/>
    <n v="0.68969999999999998"/>
    <n v="115.86959999999999"/>
  </r>
  <r>
    <n v="199"/>
    <x v="198"/>
    <n v="214"/>
    <n v="201"/>
    <x v="2"/>
    <n v="13"/>
    <d v="1899-12-30T00:00:23"/>
    <n v="77.050000000000011"/>
    <n v="0.38333333333333336"/>
    <n v="23"/>
    <d v="1899-12-30T00:02:11"/>
    <n v="438.84999999999997"/>
    <n v="2.1833333333333331"/>
    <n v="131"/>
    <n v="132"/>
    <n v="0.6603"/>
    <n v="132.72030000000001"/>
  </r>
  <r>
    <n v="200"/>
    <x v="199"/>
    <n v="169"/>
    <n v="161"/>
    <x v="10"/>
    <n v="8"/>
    <d v="1899-12-30T00:00:23"/>
    <n v="61.716666666666669"/>
    <n v="0.38333333333333336"/>
    <n v="23"/>
    <d v="1899-12-30T00:02:17"/>
    <n v="367.61666666666667"/>
    <n v="2.2833333333333332"/>
    <n v="137"/>
    <n v="115"/>
    <n v="0.71689999999999998"/>
    <n v="115.4209"/>
  </r>
  <r>
    <n v="201"/>
    <x v="200"/>
    <n v="46"/>
    <n v="46"/>
    <x v="3"/>
    <n v="0"/>
    <d v="1899-12-30T00:00:25"/>
    <n v="19.166666666666668"/>
    <n v="0.41666666666666669"/>
    <n v="25"/>
    <d v="1899-12-30T00:02:24"/>
    <n v="110.39999999999999"/>
    <n v="2.4"/>
    <n v="144"/>
    <n v="33"/>
    <n v="0.71740000000000004"/>
    <n v="33.000399999999999"/>
  </r>
  <r>
    <n v="202"/>
    <x v="201"/>
    <n v="183"/>
    <n v="177"/>
    <x v="4"/>
    <n v="6"/>
    <d v="1899-12-30T00:00:18"/>
    <n v="53.1"/>
    <n v="0.3"/>
    <n v="18"/>
    <d v="1899-12-30T00:02:30"/>
    <n v="442.5"/>
    <n v="2.5"/>
    <n v="150"/>
    <n v="143"/>
    <n v="0.81110000000000004"/>
    <n v="143.56470000000002"/>
  </r>
  <r>
    <n v="203"/>
    <x v="202"/>
    <n v="208"/>
    <n v="190"/>
    <x v="1"/>
    <n v="18"/>
    <d v="1899-12-30T00:00:21"/>
    <n v="66.5"/>
    <n v="0.35"/>
    <n v="21"/>
    <d v="1899-12-30T00:02:25"/>
    <n v="459.16666666666663"/>
    <n v="2.4166666666666665"/>
    <n v="145"/>
    <n v="140"/>
    <n v="0.74109999999999998"/>
    <n v="140.809"/>
  </r>
  <r>
    <n v="204"/>
    <x v="203"/>
    <n v="234"/>
    <n v="224"/>
    <x v="10"/>
    <n v="10"/>
    <d v="1899-12-30T00:00:22"/>
    <n v="82.133333333333326"/>
    <n v="0.36666666666666664"/>
    <n v="22"/>
    <d v="1899-12-30T00:02:15"/>
    <n v="504"/>
    <n v="2.25"/>
    <n v="135"/>
    <n v="166"/>
    <n v="0.74139999999999995"/>
    <n v="166.0736"/>
  </r>
  <r>
    <n v="205"/>
    <x v="204"/>
    <n v="204"/>
    <n v="194"/>
    <x v="10"/>
    <n v="10"/>
    <d v="1899-12-30T00:00:18"/>
    <n v="58.199999999999996"/>
    <n v="0.3"/>
    <n v="18"/>
    <d v="1899-12-30T00:02:17"/>
    <n v="442.96666666666664"/>
    <n v="2.2833333333333332"/>
    <n v="137"/>
    <n v="152"/>
    <n v="0.78710000000000002"/>
    <n v="152.69740000000002"/>
  </r>
  <r>
    <n v="206"/>
    <x v="205"/>
    <n v="204"/>
    <n v="189"/>
    <x v="6"/>
    <n v="15"/>
    <d v="1899-12-30T00:00:21"/>
    <n v="66.149999999999991"/>
    <n v="0.35"/>
    <n v="21"/>
    <d v="1899-12-30T00:02:15"/>
    <n v="425.25"/>
    <n v="2.25"/>
    <n v="135"/>
    <n v="133"/>
    <n v="0.70789999999999997"/>
    <n v="133.79309999999998"/>
  </r>
  <r>
    <n v="207"/>
    <x v="206"/>
    <n v="99"/>
    <n v="99"/>
    <x v="3"/>
    <n v="0"/>
    <d v="1899-12-30T00:00:16"/>
    <n v="26.4"/>
    <n v="0.26666666666666666"/>
    <n v="16"/>
    <d v="1899-12-30T00:02:25"/>
    <n v="239.24999999999997"/>
    <n v="2.4166666666666665"/>
    <n v="145"/>
    <n v="82"/>
    <n v="0.82830000000000004"/>
    <n v="82.0017"/>
  </r>
  <r>
    <n v="208"/>
    <x v="207"/>
    <n v="29"/>
    <n v="27"/>
    <x v="2"/>
    <n v="2"/>
    <d v="1899-12-30T00:00:19"/>
    <n v="8.5499999999999989"/>
    <n v="0.31666666666666665"/>
    <n v="19"/>
    <d v="1899-12-30T00:02:47"/>
    <n v="75.149999999999991"/>
    <n v="2.7833333333333332"/>
    <n v="167"/>
    <n v="21"/>
    <n v="0.78569999999999995"/>
    <n v="21.213899999999999"/>
  </r>
  <r>
    <n v="209"/>
    <x v="208"/>
    <n v="167"/>
    <n v="159"/>
    <x v="10"/>
    <n v="8"/>
    <d v="1899-12-30T00:00:23"/>
    <n v="60.95"/>
    <n v="0.38333333333333336"/>
    <n v="23"/>
    <d v="1899-12-30T00:02:28"/>
    <n v="392.20000000000005"/>
    <n v="2.4666666666666668"/>
    <n v="148"/>
    <n v="112"/>
    <n v="0.70479999999999998"/>
    <n v="112.06319999999999"/>
  </r>
  <r>
    <n v="210"/>
    <x v="209"/>
    <n v="164"/>
    <n v="161"/>
    <x v="5"/>
    <n v="3"/>
    <d v="1899-12-30T00:00:17"/>
    <n v="45.616666666666667"/>
    <n v="0.28333333333333333"/>
    <n v="17"/>
    <d v="1899-12-30T00:02:35"/>
    <n v="415.91666666666669"/>
    <n v="2.5833333333333335"/>
    <n v="155"/>
    <n v="131"/>
    <n v="0.81710000000000005"/>
    <n v="131.5531"/>
  </r>
  <r>
    <n v="211"/>
    <x v="210"/>
    <n v="158"/>
    <n v="147"/>
    <x v="2"/>
    <n v="11"/>
    <d v="1899-12-30T00:00:21"/>
    <n v="51.449999999999996"/>
    <n v="0.35"/>
    <n v="21"/>
    <d v="1899-12-30T00:02:34"/>
    <n v="377.29999999999995"/>
    <n v="2.5666666666666664"/>
    <n v="154"/>
    <n v="106"/>
    <n v="0.72440000000000004"/>
    <n v="106.4868"/>
  </r>
  <r>
    <n v="212"/>
    <x v="211"/>
    <n v="165"/>
    <n v="161"/>
    <x v="7"/>
    <n v="4"/>
    <d v="1899-12-30T00:00:17"/>
    <n v="45.616666666666667"/>
    <n v="0.28333333333333333"/>
    <n v="17"/>
    <d v="1899-12-30T00:02:26"/>
    <n v="391.76666666666671"/>
    <n v="2.4333333333333336"/>
    <n v="146"/>
    <n v="125"/>
    <n v="0.77910000000000001"/>
    <n v="125.43510000000001"/>
  </r>
  <r>
    <n v="213"/>
    <x v="212"/>
    <n v="129"/>
    <n v="124"/>
    <x v="4"/>
    <n v="5"/>
    <d v="1899-12-30T00:00:23"/>
    <n v="47.533333333333339"/>
    <n v="0.38333333333333336"/>
    <n v="23"/>
    <d v="1899-12-30T00:02:28"/>
    <n v="305.86666666666667"/>
    <n v="2.4666666666666668"/>
    <n v="148"/>
    <n v="87"/>
    <n v="0.7087"/>
    <n v="87.878799999999998"/>
  </r>
  <r>
    <n v="214"/>
    <x v="213"/>
    <n v="155"/>
    <n v="149"/>
    <x v="4"/>
    <n v="6"/>
    <d v="1899-12-30T00:00:23"/>
    <n v="57.116666666666667"/>
    <n v="0.38333333333333336"/>
    <n v="23"/>
    <d v="1899-12-30T00:02:26"/>
    <n v="362.56666666666672"/>
    <n v="2.4333333333333336"/>
    <n v="146"/>
    <n v="111"/>
    <n v="0.74509999999999998"/>
    <n v="111.01989999999999"/>
  </r>
  <r>
    <n v="215"/>
    <x v="214"/>
    <n v="24"/>
    <n v="22"/>
    <x v="1"/>
    <n v="2"/>
    <d v="1899-12-30T00:00:28"/>
    <n v="10.266666666666667"/>
    <n v="0.46666666666666667"/>
    <n v="28"/>
    <d v="1899-12-30T00:02:24"/>
    <n v="52.8"/>
    <n v="2.4"/>
    <n v="144"/>
    <n v="11"/>
    <n v="0.54169999999999996"/>
    <n v="11.917399999999999"/>
  </r>
  <r>
    <n v="216"/>
    <x v="215"/>
    <n v="209"/>
    <n v="200"/>
    <x v="10"/>
    <n v="9"/>
    <d v="1899-12-30T00:00:23"/>
    <n v="76.666666666666671"/>
    <n v="0.38333333333333336"/>
    <n v="23"/>
    <d v="1899-12-30T00:02:24"/>
    <n v="480"/>
    <n v="2.4"/>
    <n v="144"/>
    <n v="133"/>
    <n v="0.66669999999999996"/>
    <n v="133.34"/>
  </r>
  <r>
    <n v="217"/>
    <x v="216"/>
    <n v="239"/>
    <n v="226"/>
    <x v="0"/>
    <n v="13"/>
    <d v="1899-12-30T00:00:26"/>
    <n v="97.933333333333337"/>
    <n v="0.43333333333333335"/>
    <n v="26"/>
    <d v="1899-12-30T00:02:19"/>
    <n v="523.56666666666661"/>
    <n v="2.3166666666666664"/>
    <n v="139"/>
    <n v="151"/>
    <n v="0.67230000000000001"/>
    <n v="151.93979999999999"/>
  </r>
  <r>
    <n v="218"/>
    <x v="217"/>
    <n v="229"/>
    <n v="210"/>
    <x v="1"/>
    <n v="19"/>
    <d v="1899-12-30T00:00:29"/>
    <n v="101.5"/>
    <n v="0.48333333333333334"/>
    <n v="29"/>
    <d v="1899-12-30T00:02:23"/>
    <n v="500.5"/>
    <n v="2.3833333333333333"/>
    <n v="143"/>
    <n v="134"/>
    <n v="0.64159999999999995"/>
    <n v="134.73599999999999"/>
  </r>
  <r>
    <n v="219"/>
    <x v="218"/>
    <n v="194"/>
    <n v="172"/>
    <x v="8"/>
    <n v="22"/>
    <d v="1899-12-30T00:00:23"/>
    <n v="65.933333333333337"/>
    <n v="0.38333333333333336"/>
    <n v="23"/>
    <d v="1899-12-30T00:02:20"/>
    <n v="401.33333333333337"/>
    <n v="2.3333333333333335"/>
    <n v="140"/>
    <n v="113"/>
    <n v="0.66139999999999999"/>
    <n v="113.7608"/>
  </r>
  <r>
    <n v="220"/>
    <x v="219"/>
    <n v="202"/>
    <n v="179"/>
    <x v="8"/>
    <n v="23"/>
    <d v="1899-12-30T00:00:24"/>
    <n v="71.600000000000009"/>
    <n v="0.4"/>
    <n v="24"/>
    <d v="1899-12-30T00:02:16"/>
    <n v="405.73333333333335"/>
    <n v="2.2666666666666666"/>
    <n v="136"/>
    <n v="115"/>
    <n v="0.64429999999999998"/>
    <n v="115.3297"/>
  </r>
  <r>
    <n v="221"/>
    <x v="220"/>
    <n v="268"/>
    <n v="254"/>
    <x v="0"/>
    <n v="14"/>
    <d v="1899-12-30T00:00:15"/>
    <n v="63.5"/>
    <n v="0.25"/>
    <n v="15"/>
    <d v="1899-12-30T00:01:51"/>
    <n v="469.90000000000003"/>
    <n v="1.85"/>
    <n v="111"/>
    <n v="206"/>
    <n v="0.81130000000000002"/>
    <n v="206.0702"/>
  </r>
  <r>
    <n v="222"/>
    <x v="221"/>
    <n v="52"/>
    <n v="49"/>
    <x v="0"/>
    <n v="3"/>
    <d v="1899-12-30T00:00:18"/>
    <n v="14.7"/>
    <n v="0.3"/>
    <n v="18"/>
    <d v="1899-12-30T00:02:18"/>
    <n v="112.69999999999999"/>
    <n v="2.2999999999999998"/>
    <n v="138"/>
    <n v="37"/>
    <n v="0.76470000000000005"/>
    <n v="37.470300000000002"/>
  </r>
  <r>
    <n v="223"/>
    <x v="222"/>
    <n v="414"/>
    <n v="397"/>
    <x v="10"/>
    <n v="17"/>
    <d v="1899-12-30T00:00:23"/>
    <n v="152.18333333333334"/>
    <n v="0.38333333333333336"/>
    <n v="23"/>
    <d v="1899-12-30T00:01:58"/>
    <n v="780.76666666666677"/>
    <n v="1.9666666666666668"/>
    <n v="118"/>
    <n v="280"/>
    <n v="0.70730000000000004"/>
    <n v="280.79810000000003"/>
  </r>
  <r>
    <n v="224"/>
    <x v="223"/>
    <n v="346"/>
    <n v="325"/>
    <x v="2"/>
    <n v="21"/>
    <d v="1899-12-30T00:00:27"/>
    <n v="146.25"/>
    <n v="0.45"/>
    <n v="27"/>
    <d v="1899-12-30T00:02:22"/>
    <n v="769.16666666666663"/>
    <n v="2.3666666666666667"/>
    <n v="142"/>
    <n v="213"/>
    <n v="0.65690000000000004"/>
    <n v="213.49250000000001"/>
  </r>
  <r>
    <n v="225"/>
    <x v="224"/>
    <n v="187"/>
    <n v="179"/>
    <x v="10"/>
    <n v="8"/>
    <d v="1899-12-30T00:00:25"/>
    <n v="74.583333333333343"/>
    <n v="0.41666666666666669"/>
    <n v="25"/>
    <d v="1899-12-30T00:02:14"/>
    <n v="399.76666666666665"/>
    <n v="2.2333333333333334"/>
    <n v="134"/>
    <n v="119"/>
    <n v="0.67030000000000001"/>
    <n v="119.9837"/>
  </r>
  <r>
    <n v="226"/>
    <x v="225"/>
    <n v="203"/>
    <n v="186"/>
    <x v="1"/>
    <n v="17"/>
    <d v="1899-12-30T00:00:24"/>
    <n v="74.400000000000006"/>
    <n v="0.4"/>
    <n v="24"/>
    <d v="1899-12-30T00:02:38"/>
    <n v="489.8"/>
    <n v="2.6333333333333333"/>
    <n v="158"/>
    <n v="129"/>
    <n v="0.69589999999999996"/>
    <n v="129.4374"/>
  </r>
  <r>
    <n v="227"/>
    <x v="226"/>
    <n v="204"/>
    <n v="194"/>
    <x v="10"/>
    <n v="10"/>
    <d v="1899-12-30T00:00:18"/>
    <n v="58.199999999999996"/>
    <n v="0.3"/>
    <n v="18"/>
    <d v="1899-12-30T00:02:33"/>
    <n v="494.7"/>
    <n v="2.5499999999999998"/>
    <n v="153"/>
    <n v="159"/>
    <n v="0.82410000000000005"/>
    <n v="159.87540000000001"/>
  </r>
  <r>
    <n v="228"/>
    <x v="227"/>
    <n v="126"/>
    <n v="121"/>
    <x v="4"/>
    <n v="5"/>
    <d v="1899-12-30T00:00:21"/>
    <n v="42.349999999999994"/>
    <n v="0.35"/>
    <n v="21"/>
    <d v="1899-12-30T00:02:32"/>
    <n v="306.5333333333333"/>
    <n v="2.5333333333333332"/>
    <n v="152"/>
    <n v="85"/>
    <n v="0.70630000000000004"/>
    <n v="85.462299999999999"/>
  </r>
  <r>
    <n v="229"/>
    <x v="228"/>
    <n v="36"/>
    <n v="36"/>
    <x v="3"/>
    <n v="0"/>
    <d v="1899-12-30T00:00:17"/>
    <n v="10.199999999999999"/>
    <n v="0.28333333333333333"/>
    <n v="17"/>
    <d v="1899-12-30T00:02:07"/>
    <n v="76.2"/>
    <n v="2.1166666666666667"/>
    <n v="127"/>
    <n v="28"/>
    <n v="0.77780000000000005"/>
    <n v="28.000800000000002"/>
  </r>
  <r>
    <n v="230"/>
    <x v="229"/>
    <n v="180"/>
    <n v="165"/>
    <x v="1"/>
    <n v="15"/>
    <d v="1899-12-30T00:00:27"/>
    <n v="74.25"/>
    <n v="0.45"/>
    <n v="27"/>
    <d v="1899-12-30T00:02:30"/>
    <n v="412.5"/>
    <n v="2.5"/>
    <n v="150"/>
    <n v="109"/>
    <n v="0.66090000000000004"/>
    <n v="109.0485"/>
  </r>
  <r>
    <n v="231"/>
    <x v="230"/>
    <n v="169"/>
    <n v="162"/>
    <x v="10"/>
    <n v="7"/>
    <d v="1899-12-30T00:00:20"/>
    <n v="54"/>
    <n v="0.33333333333333331"/>
    <n v="20"/>
    <d v="1899-12-30T00:02:25"/>
    <n v="391.5"/>
    <n v="2.4166666666666665"/>
    <n v="145"/>
    <n v="120"/>
    <n v="0.74560000000000004"/>
    <n v="120.78720000000001"/>
  </r>
  <r>
    <n v="232"/>
    <x v="231"/>
    <n v="155"/>
    <n v="151"/>
    <x v="7"/>
    <n v="4"/>
    <d v="1899-12-30T00:00:21"/>
    <n v="52.849999999999994"/>
    <n v="0.35"/>
    <n v="21"/>
    <d v="1899-12-30T00:02:20"/>
    <n v="352.33333333333337"/>
    <n v="2.3333333333333335"/>
    <n v="140"/>
    <n v="107"/>
    <n v="0.7097"/>
    <n v="107.1647"/>
  </r>
  <r>
    <n v="233"/>
    <x v="232"/>
    <n v="169"/>
    <n v="137"/>
    <x v="14"/>
    <n v="32"/>
    <d v="1899-12-30T00:00:38"/>
    <n v="86.766666666666666"/>
    <n v="0.6333333333333333"/>
    <n v="38"/>
    <d v="1899-12-30T00:02:24"/>
    <n v="328.8"/>
    <n v="2.4"/>
    <n v="144"/>
    <n v="55"/>
    <n v="0.40360000000000001"/>
    <n v="55.293199999999999"/>
  </r>
  <r>
    <n v="234"/>
    <x v="233"/>
    <n v="61"/>
    <n v="45"/>
    <x v="15"/>
    <n v="16"/>
    <d v="1899-12-30T00:00:32"/>
    <n v="24"/>
    <n v="0.53333333333333333"/>
    <n v="32"/>
    <d v="1899-12-30T00:02:49"/>
    <n v="126.74999999999999"/>
    <n v="2.8166666666666664"/>
    <n v="169"/>
    <n v="18"/>
    <n v="0.4098"/>
    <n v="18.440999999999999"/>
  </r>
  <r>
    <n v="235"/>
    <x v="234"/>
    <n v="167"/>
    <n v="136"/>
    <x v="14"/>
    <n v="31"/>
    <d v="1899-12-30T00:00:42"/>
    <n v="95.199999999999989"/>
    <n v="0.7"/>
    <n v="42"/>
    <d v="1899-12-30T00:02:36"/>
    <n v="353.6"/>
    <n v="2.6"/>
    <n v="156"/>
    <n v="48"/>
    <n v="0.35980000000000001"/>
    <n v="48.9328"/>
  </r>
  <r>
    <n v="236"/>
    <x v="235"/>
    <n v="32"/>
    <n v="27"/>
    <x v="16"/>
    <n v="5"/>
    <d v="1899-12-30T00:00:35"/>
    <n v="15.750000000000002"/>
    <n v="0.58333333333333337"/>
    <n v="35"/>
    <d v="1899-12-30T00:02:22"/>
    <n v="63.9"/>
    <n v="2.3666666666666667"/>
    <n v="142"/>
    <n v="14"/>
    <n v="0.53129999999999999"/>
    <n v="14.3451"/>
  </r>
  <r>
    <n v="237"/>
    <x v="236"/>
    <n v="229"/>
    <n v="148"/>
    <x v="17"/>
    <n v="81"/>
    <d v="1899-12-30T00:00:36"/>
    <n v="88.8"/>
    <n v="0.6"/>
    <n v="36"/>
    <d v="1899-12-30T00:02:48"/>
    <n v="414.4"/>
    <n v="2.8"/>
    <n v="168"/>
    <n v="63"/>
    <n v="0.43180000000000002"/>
    <n v="63.906400000000005"/>
  </r>
  <r>
    <n v="238"/>
    <x v="237"/>
    <n v="208"/>
    <n v="204"/>
    <x v="5"/>
    <n v="4"/>
    <d v="1899-12-30T00:00:19"/>
    <n v="64.599999999999994"/>
    <n v="0.31666666666666665"/>
    <n v="19"/>
    <d v="1899-12-30T00:03:06"/>
    <n v="632.4"/>
    <n v="3.1"/>
    <n v="186"/>
    <n v="158"/>
    <n v="0.77669999999999995"/>
    <n v="158.4468"/>
  </r>
  <r>
    <n v="239"/>
    <x v="238"/>
    <n v="175"/>
    <n v="168"/>
    <x v="4"/>
    <n v="7"/>
    <d v="1899-12-30T00:00:25"/>
    <n v="70"/>
    <n v="0.41666666666666669"/>
    <n v="25"/>
    <d v="1899-12-30T00:02:51"/>
    <n v="478.8"/>
    <n v="2.85"/>
    <n v="171"/>
    <n v="109"/>
    <n v="0.6512"/>
    <n v="109.4016"/>
  </r>
  <r>
    <n v="240"/>
    <x v="239"/>
    <n v="177"/>
    <n v="167"/>
    <x v="0"/>
    <n v="10"/>
    <d v="1899-12-30T00:00:22"/>
    <n v="61.233333333333327"/>
    <n v="0.36666666666666664"/>
    <n v="22"/>
    <d v="1899-12-30T00:02:41"/>
    <n v="448.11666666666673"/>
    <n v="2.6833333333333336"/>
    <n v="161"/>
    <n v="114"/>
    <n v="0.68389999999999995"/>
    <n v="114.21129999999999"/>
  </r>
  <r>
    <n v="241"/>
    <x v="240"/>
    <n v="822"/>
    <n v="767"/>
    <x v="2"/>
    <n v="55"/>
    <d v="1899-12-30T00:00:24"/>
    <n v="306.8"/>
    <n v="0.4"/>
    <n v="24"/>
    <d v="1899-12-30T00:01:25"/>
    <n v="1086.5833333333335"/>
    <n v="1.4166666666666667"/>
    <n v="85"/>
    <n v="493"/>
    <n v="0.64400000000000002"/>
    <n v="493.94800000000004"/>
  </r>
  <r>
    <n v="242"/>
    <x v="241"/>
    <n v="87"/>
    <n v="85"/>
    <x v="7"/>
    <n v="2"/>
    <d v="1899-12-30T00:00:23"/>
    <n v="32.583333333333336"/>
    <n v="0.38333333333333336"/>
    <n v="23"/>
    <d v="1899-12-30T00:02:25"/>
    <n v="205.41666666666666"/>
    <n v="2.4166666666666665"/>
    <n v="145"/>
    <n v="57"/>
    <n v="0.67820000000000003"/>
    <n v="57.647000000000006"/>
  </r>
  <r>
    <n v="243"/>
    <x v="242"/>
    <n v="41"/>
    <n v="39"/>
    <x v="10"/>
    <n v="2"/>
    <d v="1899-12-30T00:00:15"/>
    <n v="9.75"/>
    <n v="0.25"/>
    <n v="15"/>
    <d v="1899-12-30T00:02:42"/>
    <n v="105.30000000000001"/>
    <n v="2.7"/>
    <n v="162"/>
    <n v="32"/>
    <n v="0.82499999999999996"/>
    <n v="32.174999999999997"/>
  </r>
  <r>
    <n v="244"/>
    <x v="243"/>
    <n v="280"/>
    <n v="257"/>
    <x v="1"/>
    <n v="23"/>
    <d v="1899-12-30T00:00:31"/>
    <n v="132.78333333333336"/>
    <n v="0.51666666666666672"/>
    <n v="31.000000000000004"/>
    <d v="1899-12-30T00:02:33"/>
    <n v="655.34999999999991"/>
    <n v="2.5499999999999998"/>
    <n v="153"/>
    <n v="164"/>
    <n v="0.63870000000000005"/>
    <n v="164.14590000000001"/>
  </r>
  <r>
    <n v="245"/>
    <x v="244"/>
    <n v="199"/>
    <n v="192"/>
    <x v="4"/>
    <n v="7"/>
    <d v="1899-12-30T00:00:22"/>
    <n v="70.399999999999991"/>
    <n v="0.36666666666666664"/>
    <n v="22"/>
    <d v="1899-12-30T00:02:46"/>
    <n v="531.20000000000005"/>
    <n v="2.7666666666666666"/>
    <n v="166"/>
    <n v="141"/>
    <n v="0.73870000000000002"/>
    <n v="141.8304"/>
  </r>
  <r>
    <n v="246"/>
    <x v="245"/>
    <n v="252"/>
    <n v="239"/>
    <x v="0"/>
    <n v="13"/>
    <d v="1899-12-30T00:00:29"/>
    <n v="115.51666666666667"/>
    <n v="0.48333333333333334"/>
    <n v="29"/>
    <d v="1899-12-30T00:02:29"/>
    <n v="593.51666666666665"/>
    <n v="2.4833333333333334"/>
    <n v="149"/>
    <n v="155"/>
    <n v="0.6492"/>
    <n v="155.15880000000001"/>
  </r>
  <r>
    <n v="247"/>
    <x v="246"/>
    <n v="220"/>
    <n v="208"/>
    <x v="0"/>
    <n v="12"/>
    <d v="1899-12-30T00:00:20"/>
    <n v="69.333333333333329"/>
    <n v="0.33333333333333331"/>
    <n v="20"/>
    <d v="1899-12-30T00:02:36"/>
    <n v="540.80000000000007"/>
    <n v="2.6"/>
    <n v="156"/>
    <n v="157"/>
    <n v="0.75590000000000002"/>
    <n v="157.22720000000001"/>
  </r>
  <r>
    <n v="248"/>
    <x v="247"/>
    <n v="206"/>
    <n v="193"/>
    <x v="2"/>
    <n v="13"/>
    <d v="1899-12-30T00:00:24"/>
    <n v="77.2"/>
    <n v="0.4"/>
    <n v="24"/>
    <d v="1899-12-30T00:02:27"/>
    <n v="472.85"/>
    <n v="2.4500000000000002"/>
    <n v="147"/>
    <n v="145"/>
    <n v="0.75490000000000002"/>
    <n v="145.69570000000002"/>
  </r>
  <r>
    <n v="249"/>
    <x v="248"/>
    <n v="217"/>
    <n v="206"/>
    <x v="0"/>
    <n v="11"/>
    <d v="1899-12-30T00:00:22"/>
    <n v="75.533333333333331"/>
    <n v="0.36666666666666664"/>
    <n v="22"/>
    <d v="1899-12-30T00:02:26"/>
    <n v="501.26666666666671"/>
    <n v="2.4333333333333336"/>
    <n v="146"/>
    <n v="146"/>
    <n v="0.71030000000000004"/>
    <n v="146.3218"/>
  </r>
  <r>
    <n v="250"/>
    <x v="249"/>
    <n v="24"/>
    <n v="24"/>
    <x v="3"/>
    <n v="0"/>
    <d v="1899-12-30T00:00:19"/>
    <n v="7.6"/>
    <n v="0.31666666666666665"/>
    <n v="19"/>
    <d v="1899-12-30T00:02:50"/>
    <n v="68"/>
    <n v="2.8333333333333335"/>
    <n v="170"/>
    <n v="19"/>
    <n v="0.79169999999999996"/>
    <n v="19.000799999999998"/>
  </r>
  <r>
    <n v="251"/>
    <x v="250"/>
    <n v="248"/>
    <n v="238"/>
    <x v="10"/>
    <n v="10"/>
    <d v="1899-12-30T00:00:13"/>
    <n v="51.56666666666667"/>
    <n v="0.21666666666666667"/>
    <n v="13"/>
    <d v="1899-12-30T00:02:27"/>
    <n v="583.1"/>
    <n v="2.4500000000000002"/>
    <n v="147"/>
    <n v="202"/>
    <n v="0.85250000000000004"/>
    <n v="202.89500000000001"/>
  </r>
  <r>
    <n v="252"/>
    <x v="251"/>
    <n v="222"/>
    <n v="212"/>
    <x v="10"/>
    <n v="10"/>
    <d v="1899-12-30T00:00:20"/>
    <n v="70.666666666666657"/>
    <n v="0.33333333333333331"/>
    <n v="20"/>
    <d v="1899-12-30T00:02:25"/>
    <n v="512.33333333333326"/>
    <n v="2.4166666666666665"/>
    <n v="145"/>
    <n v="164"/>
    <n v="0.77729999999999999"/>
    <n v="164.7876"/>
  </r>
  <r>
    <n v="253"/>
    <x v="252"/>
    <n v="190"/>
    <n v="178"/>
    <x v="2"/>
    <n v="12"/>
    <d v="1899-12-30T00:00:32"/>
    <n v="94.933333333333337"/>
    <n v="0.53333333333333333"/>
    <n v="32"/>
    <d v="1899-12-30T00:02:27"/>
    <n v="436.1"/>
    <n v="2.4500000000000002"/>
    <n v="147"/>
    <n v="98"/>
    <n v="0.55079999999999996"/>
    <n v="98.042399999999986"/>
  </r>
  <r>
    <n v="254"/>
    <x v="253"/>
    <n v="238"/>
    <n v="231"/>
    <x v="7"/>
    <n v="7"/>
    <d v="1899-12-30T00:00:20"/>
    <n v="77"/>
    <n v="0.33333333333333331"/>
    <n v="20"/>
    <d v="1899-12-30T00:02:27"/>
    <n v="565.95000000000005"/>
    <n v="2.4500000000000002"/>
    <n v="147"/>
    <n v="184"/>
    <n v="0.79659999999999997"/>
    <n v="184.0146"/>
  </r>
  <r>
    <n v="255"/>
    <x v="254"/>
    <n v="214"/>
    <n v="205"/>
    <x v="10"/>
    <n v="9"/>
    <d v="1899-12-30T00:00:20"/>
    <n v="68.333333333333329"/>
    <n v="0.33333333333333331"/>
    <n v="20"/>
    <d v="1899-12-30T00:02:34"/>
    <n v="526.16666666666663"/>
    <n v="2.5666666666666664"/>
    <n v="154"/>
    <n v="162"/>
    <n v="0.79049999999999998"/>
    <n v="162.05250000000001"/>
  </r>
  <r>
    <n v="256"/>
    <x v="255"/>
    <n v="186"/>
    <n v="176"/>
    <x v="0"/>
    <n v="10"/>
    <d v="1899-12-30T00:00:23"/>
    <n v="67.466666666666669"/>
    <n v="0.38333333333333336"/>
    <n v="23"/>
    <d v="1899-12-30T00:02:15"/>
    <n v="396"/>
    <n v="2.25"/>
    <n v="135"/>
    <n v="124"/>
    <n v="0.70879999999999999"/>
    <n v="124.7488"/>
  </r>
  <r>
    <n v="257"/>
    <x v="256"/>
    <n v="21"/>
    <n v="20"/>
    <x v="10"/>
    <n v="1"/>
    <d v="1899-12-30T00:00:14"/>
    <n v="4.666666666666667"/>
    <n v="0.23333333333333334"/>
    <n v="14"/>
    <d v="1899-12-30T00:02:25"/>
    <n v="48.333333333333329"/>
    <n v="2.4166666666666665"/>
    <n v="145"/>
    <n v="17"/>
    <n v="0.85"/>
    <n v="17"/>
  </r>
  <r>
    <n v="258"/>
    <x v="257"/>
    <n v="169"/>
    <n v="157"/>
    <x v="6"/>
    <n v="12"/>
    <d v="1899-12-30T00:00:21"/>
    <n v="54.949999999999996"/>
    <n v="0.35"/>
    <n v="21"/>
    <d v="1899-12-30T00:02:29"/>
    <n v="389.88333333333333"/>
    <n v="2.4833333333333334"/>
    <n v="149"/>
    <n v="122"/>
    <n v="0.77710000000000001"/>
    <n v="122.0047"/>
  </r>
  <r>
    <n v="259"/>
    <x v="258"/>
    <n v="149"/>
    <n v="141"/>
    <x v="0"/>
    <n v="8"/>
    <d v="1899-12-30T00:00:16"/>
    <n v="37.6"/>
    <n v="0.26666666666666666"/>
    <n v="16"/>
    <d v="1899-12-30T00:02:38"/>
    <n v="371.3"/>
    <n v="2.6333333333333333"/>
    <n v="158"/>
    <n v="111"/>
    <n v="0.79049999999999998"/>
    <n v="111.4605"/>
  </r>
  <r>
    <n v="260"/>
    <x v="259"/>
    <n v="171"/>
    <n v="164"/>
    <x v="10"/>
    <n v="7"/>
    <d v="1899-12-30T00:00:19"/>
    <n v="51.93333333333333"/>
    <n v="0.31666666666666665"/>
    <n v="19"/>
    <d v="1899-12-30T00:02:22"/>
    <n v="388.13333333333333"/>
    <n v="2.3666666666666667"/>
    <n v="142"/>
    <n v="126"/>
    <n v="0.77190000000000003"/>
    <n v="126.5916"/>
  </r>
  <r>
    <n v="261"/>
    <x v="260"/>
    <n v="127"/>
    <n v="122"/>
    <x v="4"/>
    <n v="5"/>
    <d v="1899-12-30T00:00:13"/>
    <n v="26.433333333333334"/>
    <n v="0.21666666666666667"/>
    <n v="13"/>
    <d v="1899-12-30T00:02:22"/>
    <n v="288.73333333333335"/>
    <n v="2.3666666666666667"/>
    <n v="142"/>
    <n v="107"/>
    <n v="0.878"/>
    <n v="107.116"/>
  </r>
  <r>
    <n v="262"/>
    <x v="261"/>
    <n v="21"/>
    <n v="21"/>
    <x v="3"/>
    <n v="0"/>
    <d v="1899-12-30T00:00:08"/>
    <n v="2.8"/>
    <n v="0.13333333333333333"/>
    <n v="8"/>
    <d v="1899-12-30T00:03:03"/>
    <n v="64.05"/>
    <n v="3.05"/>
    <n v="183"/>
    <n v="19"/>
    <n v="0.90480000000000005"/>
    <n v="19.000800000000002"/>
  </r>
  <r>
    <n v="263"/>
    <x v="262"/>
    <n v="5"/>
    <n v="5"/>
    <x v="3"/>
    <n v="0"/>
    <d v="1899-12-30T00:00:14"/>
    <n v="1.1666666666666667"/>
    <n v="0.23333333333333334"/>
    <n v="14"/>
    <d v="1899-12-30T00:02:37"/>
    <n v="13.083333333333334"/>
    <n v="2.6166666666666667"/>
    <n v="157"/>
    <n v="4"/>
    <n v="0.8"/>
    <n v="4"/>
  </r>
  <r>
    <n v="264"/>
    <x v="263"/>
    <n v="33"/>
    <n v="32"/>
    <x v="4"/>
    <n v="1"/>
    <d v="1899-12-30T00:00:26"/>
    <n v="13.866666666666667"/>
    <n v="0.43333333333333335"/>
    <n v="26"/>
    <d v="1899-12-30T00:02:04"/>
    <n v="66.13333333333334"/>
    <n v="2.0666666666666669"/>
    <n v="124.00000000000001"/>
    <n v="21"/>
    <n v="0.66669999999999996"/>
    <n v="21.334399999999999"/>
  </r>
  <r>
    <n v="265"/>
    <x v="264"/>
    <n v="145"/>
    <n v="139"/>
    <x v="10"/>
    <n v="6"/>
    <d v="1899-12-30T00:00:20"/>
    <n v="46.333333333333329"/>
    <n v="0.33333333333333331"/>
    <n v="20"/>
    <d v="1899-12-30T00:02:28"/>
    <n v="342.86666666666667"/>
    <n v="2.4666666666666668"/>
    <n v="148"/>
    <n v="109"/>
    <n v="0.79020000000000001"/>
    <n v="109.8378"/>
  </r>
  <r>
    <n v="266"/>
    <x v="265"/>
    <n v="129"/>
    <n v="127"/>
    <x v="5"/>
    <n v="2"/>
    <d v="1899-12-30T00:00:19"/>
    <n v="40.216666666666661"/>
    <n v="0.31666666666666665"/>
    <n v="19"/>
    <d v="1899-12-30T00:02:13"/>
    <n v="281.51666666666671"/>
    <n v="2.2166666666666668"/>
    <n v="133"/>
    <n v="95"/>
    <n v="0.75590000000000002"/>
    <n v="95.999300000000005"/>
  </r>
  <r>
    <n v="267"/>
    <x v="266"/>
    <n v="194"/>
    <n v="178"/>
    <x v="1"/>
    <n v="16"/>
    <d v="1899-12-30T00:00:26"/>
    <n v="77.13333333333334"/>
    <n v="0.43333333333333335"/>
    <n v="26"/>
    <d v="1899-12-30T00:02:36"/>
    <n v="462.8"/>
    <n v="2.6"/>
    <n v="156"/>
    <n v="119"/>
    <n v="0.67190000000000005"/>
    <n v="119.59820000000001"/>
  </r>
  <r>
    <n v="268"/>
    <x v="267"/>
    <n v="194"/>
    <n v="187"/>
    <x v="4"/>
    <n v="7"/>
    <d v="1899-12-30T00:00:24"/>
    <n v="74.8"/>
    <n v="0.4"/>
    <n v="24"/>
    <d v="1899-12-30T00:02:25"/>
    <n v="451.91666666666663"/>
    <n v="2.4166666666666665"/>
    <n v="145"/>
    <n v="144"/>
    <n v="0.77249999999999996"/>
    <n v="144.45749999999998"/>
  </r>
  <r>
    <n v="269"/>
    <x v="268"/>
    <n v="202"/>
    <n v="195"/>
    <x v="4"/>
    <n v="7"/>
    <d v="1899-12-30T00:00:21"/>
    <n v="68.25"/>
    <n v="0.35"/>
    <n v="21"/>
    <d v="1899-12-30T00:02:21"/>
    <n v="458.25"/>
    <n v="2.35"/>
    <n v="141"/>
    <n v="145"/>
    <n v="0.74750000000000005"/>
    <n v="145.76250000000002"/>
  </r>
  <r>
    <n v="270"/>
    <x v="269"/>
    <n v="214"/>
    <n v="208"/>
    <x v="7"/>
    <n v="6"/>
    <d v="1899-12-30T00:00:13"/>
    <n v="45.06666666666667"/>
    <n v="0.21666666666666667"/>
    <n v="13"/>
    <d v="1899-12-30T00:02:19"/>
    <n v="481.86666666666662"/>
    <n v="2.3166666666666664"/>
    <n v="139"/>
    <n v="183"/>
    <n v="0.88149999999999995"/>
    <n v="183.35199999999998"/>
  </r>
  <r>
    <n v="271"/>
    <x v="270"/>
    <n v="28"/>
    <n v="28"/>
    <x v="3"/>
    <n v="0"/>
    <d v="1899-12-30T00:00:13"/>
    <n v="6.0666666666666664"/>
    <n v="0.21666666666666667"/>
    <n v="13"/>
    <d v="1899-12-30T00:02:13"/>
    <n v="62.06666666666667"/>
    <n v="2.2166666666666668"/>
    <n v="133"/>
    <n v="25"/>
    <n v="0.89290000000000003"/>
    <n v="25.001200000000001"/>
  </r>
  <r>
    <n v="272"/>
    <x v="271"/>
    <n v="191"/>
    <n v="187"/>
    <x v="7"/>
    <n v="4"/>
    <d v="1899-12-30T00:00:15"/>
    <n v="46.75"/>
    <n v="0.25"/>
    <n v="15"/>
    <d v="1899-12-30T00:02:23"/>
    <n v="445.68333333333334"/>
    <n v="2.3833333333333333"/>
    <n v="143"/>
    <n v="154"/>
    <n v="0.82540000000000002"/>
    <n v="154.34980000000002"/>
  </r>
  <r>
    <n v="273"/>
    <x v="272"/>
    <n v="205"/>
    <n v="197"/>
    <x v="4"/>
    <n v="8"/>
    <d v="1899-12-30T00:00:21"/>
    <n v="68.949999999999989"/>
    <n v="0.35"/>
    <n v="21"/>
    <d v="1899-12-30T00:02:27"/>
    <n v="482.65000000000003"/>
    <n v="2.4500000000000002"/>
    <n v="147"/>
    <n v="146"/>
    <n v="0.74380000000000002"/>
    <n v="146.52860000000001"/>
  </r>
  <r>
    <n v="274"/>
    <x v="273"/>
    <n v="198"/>
    <n v="196"/>
    <x v="5"/>
    <n v="2"/>
    <d v="1899-12-30T00:00:23"/>
    <n v="75.13333333333334"/>
    <n v="0.38333333333333336"/>
    <n v="23"/>
    <d v="1899-12-30T00:02:28"/>
    <n v="483.4666666666667"/>
    <n v="2.4666666666666668"/>
    <n v="148"/>
    <n v="144"/>
    <n v="0.73599999999999999"/>
    <n v="144.256"/>
  </r>
  <r>
    <n v="275"/>
    <x v="274"/>
    <n v="184"/>
    <n v="177"/>
    <x v="4"/>
    <n v="7"/>
    <d v="1899-12-30T00:00:20"/>
    <n v="59"/>
    <n v="0.33333333333333331"/>
    <n v="20"/>
    <d v="1899-12-30T00:02:41"/>
    <n v="474.95000000000005"/>
    <n v="2.6833333333333336"/>
    <n v="161"/>
    <n v="139"/>
    <n v="0.78569999999999995"/>
    <n v="139.06889999999999"/>
  </r>
  <r>
    <n v="276"/>
    <x v="275"/>
    <n v="184"/>
    <n v="174"/>
    <x v="0"/>
    <n v="10"/>
    <d v="1899-12-30T00:00:25"/>
    <n v="72.5"/>
    <n v="0.41666666666666669"/>
    <n v="25"/>
    <d v="1899-12-30T00:02:27"/>
    <n v="426.3"/>
    <n v="2.4500000000000002"/>
    <n v="147"/>
    <n v="121"/>
    <n v="0.7"/>
    <n v="121.8"/>
  </r>
  <r>
    <n v="277"/>
    <x v="276"/>
    <n v="168"/>
    <n v="160"/>
    <x v="10"/>
    <n v="8"/>
    <d v="1899-12-30T00:00:26"/>
    <n v="69.333333333333343"/>
    <n v="0.43333333333333335"/>
    <n v="26"/>
    <d v="1899-12-30T00:02:25"/>
    <n v="386.66666666666663"/>
    <n v="2.4166666666666665"/>
    <n v="145"/>
    <n v="109"/>
    <n v="0.68259999999999998"/>
    <n v="109.21599999999999"/>
  </r>
  <r>
    <n v="278"/>
    <x v="277"/>
    <n v="39"/>
    <n v="37"/>
    <x v="0"/>
    <n v="2"/>
    <d v="1899-12-30T00:00:14"/>
    <n v="8.6333333333333329"/>
    <n v="0.23333333333333334"/>
    <n v="14"/>
    <d v="1899-12-30T00:02:08"/>
    <n v="78.933333333333337"/>
    <n v="2.1333333333333333"/>
    <n v="128"/>
    <n v="29"/>
    <n v="0.81079999999999997"/>
    <n v="29.999599999999997"/>
  </r>
  <r>
    <n v="279"/>
    <x v="278"/>
    <n v="225"/>
    <n v="210"/>
    <x v="2"/>
    <n v="15"/>
    <d v="1899-12-30T00:00:28"/>
    <n v="98"/>
    <n v="0.46666666666666667"/>
    <n v="28"/>
    <d v="1899-12-30T00:02:13"/>
    <n v="465.5"/>
    <n v="2.2166666666666668"/>
    <n v="133"/>
    <n v="140"/>
    <n v="0.66969999999999996"/>
    <n v="140.637"/>
  </r>
  <r>
    <n v="280"/>
    <x v="279"/>
    <n v="182"/>
    <n v="174"/>
    <x v="10"/>
    <n v="8"/>
    <d v="1899-12-30T00:00:32"/>
    <n v="92.8"/>
    <n v="0.53333333333333333"/>
    <n v="32"/>
    <d v="1899-12-30T00:02:16"/>
    <n v="394.4"/>
    <n v="2.2666666666666666"/>
    <n v="136"/>
    <n v="104"/>
    <n v="0.60219999999999996"/>
    <n v="104.78279999999999"/>
  </r>
  <r>
    <n v="281"/>
    <x v="280"/>
    <n v="346"/>
    <n v="305"/>
    <x v="8"/>
    <n v="41"/>
    <d v="1899-12-30T00:00:45"/>
    <n v="228.75"/>
    <n v="0.75"/>
    <n v="45"/>
    <d v="1899-12-30T00:01:57"/>
    <n v="594.75"/>
    <n v="1.95"/>
    <n v="117"/>
    <n v="137"/>
    <n v="0.45029999999999998"/>
    <n v="137.3415"/>
  </r>
  <r>
    <n v="282"/>
    <x v="281"/>
    <n v="450"/>
    <n v="441"/>
    <x v="5"/>
    <n v="9"/>
    <d v="1899-12-30T00:00:19"/>
    <n v="139.65"/>
    <n v="0.31666666666666665"/>
    <n v="19"/>
    <d v="1899-12-30T00:01:53"/>
    <n v="830.55"/>
    <n v="1.8833333333333333"/>
    <n v="113"/>
    <n v="345"/>
    <n v="0.78300000000000003"/>
    <n v="345.303"/>
  </r>
  <r>
    <n v="283"/>
    <x v="282"/>
    <n v="259"/>
    <n v="248"/>
    <x v="10"/>
    <n v="11"/>
    <d v="1899-12-30T00:00:20"/>
    <n v="82.666666666666657"/>
    <n v="0.33333333333333331"/>
    <n v="20"/>
    <d v="1899-12-30T00:02:06"/>
    <n v="520.80000000000007"/>
    <n v="2.1"/>
    <n v="126"/>
    <n v="186"/>
    <n v="0.75390000000000001"/>
    <n v="186.96719999999999"/>
  </r>
  <r>
    <n v="284"/>
    <x v="283"/>
    <n v="231"/>
    <n v="214"/>
    <x v="6"/>
    <n v="17"/>
    <d v="1899-12-30T00:00:18"/>
    <n v="64.2"/>
    <n v="0.3"/>
    <n v="18"/>
    <d v="1899-12-30T00:02:06"/>
    <n v="449.40000000000003"/>
    <n v="2.1"/>
    <n v="126"/>
    <n v="170"/>
    <n v="0.79559999999999997"/>
    <n v="170.25839999999999"/>
  </r>
  <r>
    <n v="285"/>
    <x v="284"/>
    <n v="48"/>
    <n v="47"/>
    <x v="7"/>
    <n v="1"/>
    <d v="1899-12-30T00:00:13"/>
    <n v="10.183333333333334"/>
    <n v="0.21666666666666667"/>
    <n v="13"/>
    <d v="1899-12-30T00:02:03"/>
    <n v="96.35"/>
    <n v="2.0499999999999998"/>
    <n v="122.99999999999999"/>
    <n v="42"/>
    <n v="0.89580000000000004"/>
    <n v="42.102600000000002"/>
  </r>
  <r>
    <n v="286"/>
    <x v="285"/>
    <n v="246"/>
    <n v="236"/>
    <x v="10"/>
    <n v="10"/>
    <d v="1899-12-30T00:00:20"/>
    <n v="78.666666666666657"/>
    <n v="0.33333333333333331"/>
    <n v="20"/>
    <d v="1899-12-30T00:02:11"/>
    <n v="515.26666666666665"/>
    <n v="2.1833333333333331"/>
    <n v="131"/>
    <n v="186"/>
    <n v="0.79179999999999995"/>
    <n v="186.86479999999997"/>
  </r>
  <r>
    <n v="287"/>
    <x v="286"/>
    <n v="202"/>
    <n v="195"/>
    <x v="4"/>
    <n v="7"/>
    <d v="1899-12-30T00:00:25"/>
    <n v="81.25"/>
    <n v="0.41666666666666669"/>
    <n v="25"/>
    <d v="1899-12-30T00:02:15"/>
    <n v="438.75"/>
    <n v="2.25"/>
    <n v="135"/>
    <n v="145"/>
    <n v="0.745"/>
    <n v="145.27500000000001"/>
  </r>
  <r>
    <n v="288"/>
    <x v="287"/>
    <n v="153"/>
    <n v="150"/>
    <x v="5"/>
    <n v="3"/>
    <d v="1899-12-30T00:00:15"/>
    <n v="37.5"/>
    <n v="0.25"/>
    <n v="15"/>
    <d v="1899-12-30T00:02:15"/>
    <n v="337.5"/>
    <n v="2.25"/>
    <n v="135"/>
    <n v="123"/>
    <n v="0.82240000000000002"/>
    <n v="123.36"/>
  </r>
  <r>
    <n v="289"/>
    <x v="288"/>
    <n v="178"/>
    <n v="172"/>
    <x v="4"/>
    <n v="6"/>
    <d v="1899-12-30T00:00:19"/>
    <n v="54.466666666666661"/>
    <n v="0.31666666666666665"/>
    <n v="19"/>
    <d v="1899-12-30T00:02:15"/>
    <n v="387"/>
    <n v="2.25"/>
    <n v="135"/>
    <n v="134"/>
    <n v="0.78290000000000004"/>
    <n v="134.65880000000001"/>
  </r>
  <r>
    <n v="290"/>
    <x v="289"/>
    <n v="172"/>
    <n v="165"/>
    <x v="10"/>
    <n v="7"/>
    <d v="1899-12-30T00:00:19"/>
    <n v="52.25"/>
    <n v="0.31666666666666665"/>
    <n v="19"/>
    <d v="1899-12-30T00:02:24"/>
    <n v="396"/>
    <n v="2.4"/>
    <n v="144"/>
    <n v="130"/>
    <n v="0.79290000000000005"/>
    <n v="130.82850000000002"/>
  </r>
  <r>
    <n v="291"/>
    <x v="290"/>
    <n v="208"/>
    <n v="200"/>
    <x v="4"/>
    <n v="8"/>
    <d v="1899-12-30T00:00:26"/>
    <n v="86.666666666666671"/>
    <n v="0.43333333333333335"/>
    <n v="26"/>
    <d v="1899-12-30T00:02:23"/>
    <n v="476.66666666666669"/>
    <n v="2.3833333333333333"/>
    <n v="143"/>
    <n v="137"/>
    <n v="0.68779999999999997"/>
    <n v="137.56"/>
  </r>
  <r>
    <n v="292"/>
    <x v="291"/>
    <n v="77"/>
    <n v="76"/>
    <x v="5"/>
    <n v="1"/>
    <d v="1899-12-30T00:00:29"/>
    <n v="36.733333333333334"/>
    <n v="0.48333333333333334"/>
    <n v="29"/>
    <d v="1899-12-30T00:02:16"/>
    <n v="172.26666666666665"/>
    <n v="2.2666666666666666"/>
    <n v="136"/>
    <n v="44"/>
    <n v="0.58440000000000003"/>
    <n v="44.414400000000001"/>
  </r>
  <r>
    <n v="293"/>
    <x v="292"/>
    <n v="291"/>
    <n v="250"/>
    <x v="18"/>
    <n v="41"/>
    <d v="1899-12-30T00:00:41"/>
    <n v="170.83333333333334"/>
    <n v="0.68333333333333335"/>
    <n v="41"/>
    <d v="1899-12-30T00:02:20"/>
    <n v="583.33333333333337"/>
    <n v="2.3333333333333335"/>
    <n v="140"/>
    <n v="138"/>
    <n v="0.5544"/>
    <n v="138.6"/>
  </r>
  <r>
    <n v="294"/>
    <x v="293"/>
    <n v="219"/>
    <n v="212"/>
    <x v="4"/>
    <n v="7"/>
    <d v="1899-12-30T00:00:21"/>
    <n v="74.199999999999989"/>
    <n v="0.35"/>
    <n v="21"/>
    <d v="1899-12-30T00:02:19"/>
    <n v="491.13333333333327"/>
    <n v="2.3166666666666664"/>
    <n v="139"/>
    <n v="162"/>
    <n v="0.76849999999999996"/>
    <n v="162.922"/>
  </r>
  <r>
    <n v="295"/>
    <x v="294"/>
    <n v="173"/>
    <n v="169"/>
    <x v="7"/>
    <n v="4"/>
    <d v="1899-12-30T00:00:18"/>
    <n v="50.699999999999996"/>
    <n v="0.3"/>
    <n v="18"/>
    <d v="1899-12-30T00:02:13"/>
    <n v="374.61666666666667"/>
    <n v="2.2166666666666668"/>
    <n v="133"/>
    <n v="137"/>
    <n v="0.81399999999999995"/>
    <n v="137.566"/>
  </r>
  <r>
    <n v="296"/>
    <x v="295"/>
    <n v="204"/>
    <n v="197"/>
    <x v="4"/>
    <n v="7"/>
    <d v="1899-12-30T00:00:17"/>
    <n v="55.816666666666663"/>
    <n v="0.28333333333333333"/>
    <n v="17"/>
    <d v="1899-12-30T00:02:23"/>
    <n v="469.51666666666665"/>
    <n v="2.3833333333333333"/>
    <n v="143"/>
    <n v="157"/>
    <n v="0.8"/>
    <n v="157.60000000000002"/>
  </r>
  <r>
    <n v="297"/>
    <x v="296"/>
    <n v="216"/>
    <n v="185"/>
    <x v="18"/>
    <n v="31"/>
    <d v="1899-12-30T00:00:30"/>
    <n v="92.5"/>
    <n v="0.5"/>
    <n v="30"/>
    <d v="1899-12-30T00:02:17"/>
    <n v="422.41666666666663"/>
    <n v="2.2833333333333332"/>
    <n v="137"/>
    <n v="113"/>
    <n v="0.61429999999999996"/>
    <n v="113.6455"/>
  </r>
  <r>
    <n v="298"/>
    <x v="297"/>
    <n v="461"/>
    <n v="441"/>
    <x v="10"/>
    <n v="20"/>
    <d v="1899-12-30T00:00:30"/>
    <n v="220.5"/>
    <n v="0.5"/>
    <n v="30"/>
    <d v="1899-12-30T00:02:18"/>
    <n v="1014.3"/>
    <n v="2.2999999999999998"/>
    <n v="138"/>
    <n v="271"/>
    <n v="0.6149"/>
    <n v="271.17090000000002"/>
  </r>
  <r>
    <n v="299"/>
    <x v="298"/>
    <n v="56"/>
    <n v="55"/>
    <x v="5"/>
    <n v="1"/>
    <d v="1899-12-30T00:00:26"/>
    <n v="23.833333333333336"/>
    <n v="0.43333333333333335"/>
    <n v="26"/>
    <d v="1899-12-30T00:02:11"/>
    <n v="120.08333333333333"/>
    <n v="2.1833333333333331"/>
    <n v="131"/>
    <n v="36"/>
    <n v="0.66069999999999995"/>
    <n v="36.338499999999996"/>
  </r>
  <r>
    <n v="300"/>
    <x v="299"/>
    <n v="192"/>
    <n v="176"/>
    <x v="1"/>
    <n v="16"/>
    <d v="1899-12-30T00:00:23"/>
    <n v="67.466666666666669"/>
    <n v="0.38333333333333336"/>
    <n v="23"/>
    <d v="1899-12-30T00:02:05"/>
    <n v="366.66666666666669"/>
    <n v="2.0833333333333335"/>
    <n v="125.00000000000001"/>
    <n v="120"/>
    <n v="0.68279999999999996"/>
    <n v="120.1728"/>
  </r>
  <r>
    <n v="301"/>
    <x v="300"/>
    <n v="382"/>
    <n v="365"/>
    <x v="10"/>
    <n v="17"/>
    <d v="1899-12-30T00:00:20"/>
    <n v="121.66666666666666"/>
    <n v="0.33333333333333331"/>
    <n v="20"/>
    <d v="1899-12-30T00:01:35"/>
    <n v="577.91666666666674"/>
    <n v="1.5833333333333335"/>
    <n v="95.000000000000014"/>
    <n v="266"/>
    <n v="0.73140000000000005"/>
    <n v="266.96100000000001"/>
  </r>
  <r>
    <n v="302"/>
    <x v="301"/>
    <n v="246"/>
    <n v="223"/>
    <x v="9"/>
    <n v="23"/>
    <d v="1899-12-30T00:00:25"/>
    <n v="92.916666666666671"/>
    <n v="0.41666666666666669"/>
    <n v="25"/>
    <d v="1899-12-30T00:02:14"/>
    <n v="498.03333333333336"/>
    <n v="2.2333333333333334"/>
    <n v="134"/>
    <n v="159"/>
    <n v="0.7167"/>
    <n v="159.82409999999999"/>
  </r>
  <r>
    <n v="303"/>
    <x v="302"/>
    <n v="48"/>
    <n v="46"/>
    <x v="10"/>
    <n v="2"/>
    <d v="1899-12-30T00:00:26"/>
    <n v="19.933333333333334"/>
    <n v="0.43333333333333335"/>
    <n v="26"/>
    <d v="1899-12-30T00:02:14"/>
    <n v="102.73333333333333"/>
    <n v="2.2333333333333334"/>
    <n v="134"/>
    <n v="33"/>
    <n v="0.72340000000000004"/>
    <n v="33.276400000000002"/>
  </r>
  <r>
    <n v="304"/>
    <x v="303"/>
    <n v="221"/>
    <n v="205"/>
    <x v="6"/>
    <n v="16"/>
    <d v="1899-12-30T00:00:26"/>
    <n v="88.833333333333343"/>
    <n v="0.43333333333333335"/>
    <n v="26"/>
    <d v="1899-12-30T00:02:15"/>
    <n v="461.25"/>
    <n v="2.25"/>
    <n v="135"/>
    <n v="129"/>
    <n v="0.63080000000000003"/>
    <n v="129.31399999999999"/>
  </r>
  <r>
    <n v="305"/>
    <x v="304"/>
    <n v="275"/>
    <n v="261"/>
    <x v="0"/>
    <n v="14"/>
    <d v="1899-12-30T00:00:33"/>
    <n v="143.55000000000001"/>
    <n v="0.55000000000000004"/>
    <n v="33"/>
    <d v="1899-12-30T00:02:19"/>
    <n v="604.65"/>
    <n v="2.3166666666666664"/>
    <n v="139"/>
    <n v="152"/>
    <n v="0.58520000000000005"/>
    <n v="152.7372"/>
  </r>
  <r>
    <n v="306"/>
    <x v="305"/>
    <n v="39"/>
    <n v="36"/>
    <x v="6"/>
    <n v="3"/>
    <d v="1899-12-30T00:00:19"/>
    <n v="11.399999999999999"/>
    <n v="0.31666666666666665"/>
    <n v="19"/>
    <d v="1899-12-30T00:01:53"/>
    <n v="67.8"/>
    <n v="1.8833333333333333"/>
    <n v="113"/>
    <n v="28"/>
    <n v="0.77780000000000005"/>
    <n v="28.000800000000002"/>
  </r>
  <r>
    <n v="307"/>
    <x v="306"/>
    <n v="250"/>
    <n v="236"/>
    <x v="0"/>
    <n v="14"/>
    <d v="1899-12-30T00:00:29"/>
    <n v="114.06666666666666"/>
    <n v="0.48333333333333334"/>
    <n v="29"/>
    <d v="1899-12-30T00:02:08"/>
    <n v="503.46666666666664"/>
    <n v="2.1333333333333333"/>
    <n v="128"/>
    <n v="139"/>
    <n v="0.59040000000000004"/>
    <n v="139.33440000000002"/>
  </r>
  <r>
    <n v="308"/>
    <x v="307"/>
    <n v="197"/>
    <n v="184"/>
    <x v="2"/>
    <n v="13"/>
    <d v="1899-12-30T00:00:29"/>
    <n v="88.933333333333337"/>
    <n v="0.48333333333333334"/>
    <n v="29"/>
    <d v="1899-12-30T00:02:23"/>
    <n v="438.5333333333333"/>
    <n v="2.3833333333333333"/>
    <n v="143"/>
    <n v="102"/>
    <n v="0.55610000000000004"/>
    <n v="102.3224"/>
  </r>
  <r>
    <n v="309"/>
    <x v="308"/>
    <n v="223"/>
    <n v="208"/>
    <x v="2"/>
    <n v="15"/>
    <d v="1899-12-30T00:00:28"/>
    <n v="97.066666666666663"/>
    <n v="0.46666666666666667"/>
    <n v="28"/>
    <d v="1899-12-30T00:02:21"/>
    <n v="488.8"/>
    <n v="2.35"/>
    <n v="141"/>
    <n v="150"/>
    <n v="0.72270000000000001"/>
    <n v="150.32159999999999"/>
  </r>
  <r>
    <n v="310"/>
    <x v="309"/>
    <n v="240"/>
    <n v="236"/>
    <x v="5"/>
    <n v="4"/>
    <d v="1899-12-30T00:00:18"/>
    <n v="70.8"/>
    <n v="0.3"/>
    <n v="18"/>
    <d v="1899-12-30T00:02:14"/>
    <n v="527.06666666666672"/>
    <n v="2.2333333333333334"/>
    <n v="134"/>
    <n v="183"/>
    <n v="0.7792"/>
    <n v="183.8912"/>
  </r>
  <r>
    <n v="311"/>
    <x v="310"/>
    <n v="55"/>
    <n v="52"/>
    <x v="0"/>
    <n v="3"/>
    <d v="1899-12-30T00:00:16"/>
    <n v="13.866666666666667"/>
    <n v="0.26666666666666666"/>
    <n v="16"/>
    <d v="1899-12-30T00:02:19"/>
    <n v="120.46666666666665"/>
    <n v="2.3166666666666664"/>
    <n v="139"/>
    <n v="40"/>
    <n v="0.78180000000000005"/>
    <n v="40.653600000000004"/>
  </r>
  <r>
    <n v="312"/>
    <x v="311"/>
    <n v="59"/>
    <n v="54"/>
    <x v="1"/>
    <n v="5"/>
    <d v="1899-12-30T00:00:08"/>
    <n v="7.2"/>
    <n v="0.13333333333333333"/>
    <n v="8"/>
    <d v="1899-12-30T00:02:06"/>
    <n v="113.4"/>
    <n v="2.1"/>
    <n v="126"/>
    <n v="45"/>
    <n v="0.84750000000000003"/>
    <n v="45.765000000000001"/>
  </r>
  <r>
    <n v="313"/>
    <x v="312"/>
    <n v="36"/>
    <n v="31"/>
    <x v="11"/>
    <n v="5"/>
    <d v="1899-12-30T00:00:11"/>
    <n v="5.6833333333333327"/>
    <n v="0.18333333333333332"/>
    <n v="11"/>
    <d v="1899-12-30T00:02:22"/>
    <n v="73.366666666666674"/>
    <n v="2.3666666666666667"/>
    <n v="142"/>
    <n v="22"/>
    <n v="0.72219999999999995"/>
    <n v="22.388199999999998"/>
  </r>
  <r>
    <n v="314"/>
    <x v="313"/>
    <n v="229"/>
    <n v="219"/>
    <x v="10"/>
    <n v="10"/>
    <d v="1899-12-30T00:00:13"/>
    <n v="47.45"/>
    <n v="0.21666666666666667"/>
    <n v="13"/>
    <d v="1899-12-30T00:02:07"/>
    <n v="463.55"/>
    <n v="2.1166666666666667"/>
    <n v="127"/>
    <n v="185"/>
    <n v="0.84889999999999999"/>
    <n v="185.9091"/>
  </r>
  <r>
    <n v="315"/>
    <x v="314"/>
    <n v="206"/>
    <n v="189"/>
    <x v="1"/>
    <n v="17"/>
    <d v="1899-12-30T00:00:15"/>
    <n v="47.25"/>
    <n v="0.25"/>
    <n v="15"/>
    <d v="1899-12-30T00:02:19"/>
    <n v="437.84999999999997"/>
    <n v="2.3166666666666664"/>
    <n v="139"/>
    <n v="156"/>
    <n v="0.82830000000000004"/>
    <n v="156.5487"/>
  </r>
  <r>
    <n v="316"/>
    <x v="315"/>
    <n v="225"/>
    <n v="200"/>
    <x v="8"/>
    <n v="25"/>
    <d v="1899-12-30T00:00:21"/>
    <n v="70"/>
    <n v="0.35"/>
    <n v="21"/>
    <d v="1899-12-30T00:02:21"/>
    <n v="470"/>
    <n v="2.35"/>
    <n v="141"/>
    <n v="146"/>
    <n v="0.73109999999999997"/>
    <n v="146.22"/>
  </r>
  <r>
    <n v="317"/>
    <x v="316"/>
    <n v="200"/>
    <n v="193"/>
    <x v="4"/>
    <n v="7"/>
    <d v="1899-12-30T00:00:17"/>
    <n v="54.68333333333333"/>
    <n v="0.28333333333333333"/>
    <n v="17"/>
    <d v="1899-12-30T00:02:23"/>
    <n v="459.98333333333335"/>
    <n v="2.3833333333333333"/>
    <n v="143"/>
    <n v="153"/>
    <n v="0.79290000000000005"/>
    <n v="153.02970000000002"/>
  </r>
  <r>
    <n v="318"/>
    <x v="317"/>
    <n v="189"/>
    <n v="179"/>
    <x v="0"/>
    <n v="10"/>
    <d v="1899-12-30T00:00:22"/>
    <n v="65.633333333333326"/>
    <n v="0.36666666666666664"/>
    <n v="22"/>
    <d v="1899-12-30T00:02:10"/>
    <n v="387.83333333333331"/>
    <n v="2.1666666666666665"/>
    <n v="130"/>
    <n v="139"/>
    <n v="0.78069999999999995"/>
    <n v="139.74529999999999"/>
  </r>
  <r>
    <n v="319"/>
    <x v="318"/>
    <n v="169"/>
    <n v="159"/>
    <x v="0"/>
    <n v="10"/>
    <d v="1899-12-30T00:00:22"/>
    <n v="58.3"/>
    <n v="0.36666666666666664"/>
    <n v="22"/>
    <d v="1899-12-30T00:02:23"/>
    <n v="378.95"/>
    <n v="2.3833333333333333"/>
    <n v="143"/>
    <n v="117"/>
    <n v="0.73650000000000004"/>
    <n v="117.10350000000001"/>
  </r>
  <r>
    <n v="320"/>
    <x v="319"/>
    <n v="41"/>
    <n v="40"/>
    <x v="7"/>
    <n v="1"/>
    <d v="1899-12-30T00:00:25"/>
    <n v="16.666666666666668"/>
    <n v="0.41666666666666669"/>
    <n v="25"/>
    <d v="1899-12-30T00:02:32"/>
    <n v="101.33333333333333"/>
    <n v="2.5333333333333332"/>
    <n v="152"/>
    <n v="27"/>
    <n v="0.68289999999999995"/>
    <n v="27.315999999999999"/>
  </r>
  <r>
    <n v="321"/>
    <x v="320"/>
    <n v="218"/>
    <n v="187"/>
    <x v="18"/>
    <n v="31"/>
    <d v="1899-12-30T00:00:48"/>
    <n v="149.6"/>
    <n v="0.8"/>
    <n v="48"/>
    <d v="1899-12-30T00:02:15"/>
    <n v="420.75"/>
    <n v="2.25"/>
    <n v="135"/>
    <n v="97"/>
    <n v="0.52110000000000001"/>
    <n v="97.445700000000002"/>
  </r>
  <r>
    <n v="322"/>
    <x v="321"/>
    <n v="194"/>
    <n v="185"/>
    <x v="10"/>
    <n v="9"/>
    <d v="1899-12-30T00:00:21"/>
    <n v="64.75"/>
    <n v="0.35"/>
    <n v="21"/>
    <d v="1899-12-30T00:02:10"/>
    <n v="400.83333333333331"/>
    <n v="2.1666666666666665"/>
    <n v="130"/>
    <n v="132"/>
    <n v="0.71579999999999999"/>
    <n v="132.423"/>
  </r>
  <r>
    <n v="323"/>
    <x v="322"/>
    <n v="176"/>
    <n v="172"/>
    <x v="7"/>
    <n v="4"/>
    <d v="1899-12-30T00:00:16"/>
    <n v="45.866666666666667"/>
    <n v="0.26666666666666666"/>
    <n v="16"/>
    <d v="1899-12-30T00:02:20"/>
    <n v="401.33333333333337"/>
    <n v="2.3333333333333335"/>
    <n v="140"/>
    <n v="141"/>
    <n v="0.82079999999999997"/>
    <n v="141.17759999999998"/>
  </r>
  <r>
    <n v="324"/>
    <x v="323"/>
    <n v="181"/>
    <n v="179"/>
    <x v="5"/>
    <n v="2"/>
    <d v="1899-12-30T00:00:18"/>
    <n v="53.699999999999996"/>
    <n v="0.3"/>
    <n v="18"/>
    <d v="1899-12-30T00:02:21"/>
    <n v="420.65000000000003"/>
    <n v="2.35"/>
    <n v="141"/>
    <n v="144"/>
    <n v="0.80559999999999998"/>
    <n v="144.20239999999998"/>
  </r>
  <r>
    <n v="325"/>
    <x v="324"/>
    <n v="159"/>
    <n v="151"/>
    <x v="0"/>
    <n v="8"/>
    <d v="1899-12-30T00:00:29"/>
    <n v="72.983333333333334"/>
    <n v="0.48333333333333334"/>
    <n v="29"/>
    <d v="1899-12-30T00:01:59"/>
    <n v="299.48333333333335"/>
    <n v="1.9833333333333334"/>
    <n v="119"/>
    <n v="92"/>
    <n v="0.61009999999999998"/>
    <n v="92.125100000000003"/>
  </r>
  <r>
    <n v="326"/>
    <x v="325"/>
    <n v="144"/>
    <n v="135"/>
    <x v="2"/>
    <n v="9"/>
    <d v="1899-12-30T00:00:24"/>
    <n v="54"/>
    <n v="0.4"/>
    <n v="24"/>
    <d v="1899-12-30T00:02:12"/>
    <n v="297"/>
    <n v="2.2000000000000002"/>
    <n v="132"/>
    <n v="95"/>
    <n v="0.70630000000000004"/>
    <n v="95.350500000000011"/>
  </r>
  <r>
    <n v="327"/>
    <x v="326"/>
    <n v="30"/>
    <n v="29"/>
    <x v="4"/>
    <n v="1"/>
    <d v="1899-12-30T00:00:33"/>
    <n v="15.950000000000001"/>
    <n v="0.55000000000000004"/>
    <n v="33"/>
    <d v="1899-12-30T00:02:58"/>
    <n v="86.033333333333331"/>
    <n v="2.9666666666666668"/>
    <n v="178"/>
    <n v="17"/>
    <n v="0.6"/>
    <n v="17.399999999999999"/>
  </r>
  <r>
    <n v="328"/>
    <x v="327"/>
    <n v="197"/>
    <n v="185"/>
    <x v="2"/>
    <n v="12"/>
    <d v="1899-12-30T00:00:24"/>
    <n v="74"/>
    <n v="0.4"/>
    <n v="24"/>
    <d v="1899-12-30T00:02:18"/>
    <n v="425.49999999999994"/>
    <n v="2.2999999999999998"/>
    <n v="138"/>
    <n v="126"/>
    <n v="0.68230000000000002"/>
    <n v="126.2255"/>
  </r>
  <r>
    <n v="329"/>
    <x v="328"/>
    <n v="56"/>
    <n v="47"/>
    <x v="19"/>
    <n v="9"/>
    <d v="1899-12-30T00:00:24"/>
    <n v="18.8"/>
    <n v="0.4"/>
    <n v="24"/>
    <d v="1899-12-30T00:02:22"/>
    <n v="111.23333333333333"/>
    <n v="2.3666666666666667"/>
    <n v="142"/>
    <n v="27"/>
    <n v="0.58930000000000005"/>
    <n v="27.697100000000002"/>
  </r>
  <r>
    <n v="330"/>
    <x v="329"/>
    <n v="182"/>
    <n v="153"/>
    <x v="16"/>
    <n v="29"/>
    <d v="1899-12-30T00:00:38"/>
    <n v="96.899999999999991"/>
    <n v="0.6333333333333333"/>
    <n v="38"/>
    <d v="1899-12-30T00:02:17"/>
    <n v="349.34999999999997"/>
    <n v="2.2833333333333332"/>
    <n v="137"/>
    <n v="82"/>
    <n v="0.53890000000000005"/>
    <n v="82.451700000000002"/>
  </r>
  <r>
    <n v="331"/>
    <x v="330"/>
    <n v="178"/>
    <n v="166"/>
    <x v="2"/>
    <n v="12"/>
    <d v="1899-12-30T00:00:30"/>
    <n v="83"/>
    <n v="0.5"/>
    <n v="30"/>
    <d v="1899-12-30T00:02:24"/>
    <n v="398.4"/>
    <n v="2.4"/>
    <n v="144"/>
    <n v="103"/>
    <n v="0.62070000000000003"/>
    <n v="103.03620000000001"/>
  </r>
  <r>
    <n v="332"/>
    <x v="331"/>
    <n v="183"/>
    <n v="164"/>
    <x v="13"/>
    <n v="19"/>
    <d v="1899-12-30T00:00:25"/>
    <n v="68.333333333333343"/>
    <n v="0.41666666666666669"/>
    <n v="25"/>
    <d v="1899-12-30T00:02:04"/>
    <n v="338.93333333333339"/>
    <n v="2.0666666666666669"/>
    <n v="124.00000000000001"/>
    <n v="108"/>
    <n v="0.65910000000000002"/>
    <n v="108.0924"/>
  </r>
  <r>
    <n v="333"/>
    <x v="332"/>
    <n v="197"/>
    <n v="182"/>
    <x v="6"/>
    <n v="15"/>
    <d v="1899-12-30T00:00:28"/>
    <n v="84.933333333333337"/>
    <n v="0.46666666666666667"/>
    <n v="28"/>
    <d v="1899-12-30T00:02:25"/>
    <n v="439.83333333333331"/>
    <n v="2.4166666666666665"/>
    <n v="145"/>
    <n v="117"/>
    <n v="0.64800000000000002"/>
    <n v="117.93600000000001"/>
  </r>
  <r>
    <n v="334"/>
    <x v="333"/>
    <n v="60"/>
    <n v="58"/>
    <x v="4"/>
    <n v="2"/>
    <d v="1899-12-30T00:00:37"/>
    <n v="35.766666666666666"/>
    <n v="0.6166666666666667"/>
    <n v="37"/>
    <d v="1899-12-30T00:02:36"/>
    <n v="150.80000000000001"/>
    <n v="2.6"/>
    <n v="156"/>
    <n v="31"/>
    <n v="0.54239999999999999"/>
    <n v="31.459199999999999"/>
  </r>
  <r>
    <n v="335"/>
    <x v="334"/>
    <n v="241"/>
    <n v="224"/>
    <x v="6"/>
    <n v="17"/>
    <d v="1899-12-30T00:00:23"/>
    <n v="85.866666666666674"/>
    <n v="0.38333333333333336"/>
    <n v="23"/>
    <d v="1899-12-30T00:02:25"/>
    <n v="541.33333333333326"/>
    <n v="2.4166666666666665"/>
    <n v="145"/>
    <n v="157"/>
    <n v="0.7046"/>
    <n v="157.8304"/>
  </r>
  <r>
    <n v="336"/>
    <x v="335"/>
    <n v="307"/>
    <n v="295"/>
    <x v="4"/>
    <n v="12"/>
    <d v="1899-12-30T00:00:29"/>
    <n v="142.58333333333334"/>
    <n v="0.48333333333333334"/>
    <n v="29"/>
    <d v="1899-12-30T00:02:16"/>
    <n v="668.66666666666663"/>
    <n v="2.2666666666666666"/>
    <n v="136"/>
    <n v="178"/>
    <n v="0.60460000000000003"/>
    <n v="178.357"/>
  </r>
  <r>
    <n v="337"/>
    <x v="336"/>
    <n v="295"/>
    <n v="289"/>
    <x v="7"/>
    <n v="6"/>
    <d v="1899-12-30T00:00:26"/>
    <n v="125.23333333333333"/>
    <n v="0.43333333333333335"/>
    <n v="26"/>
    <d v="1899-12-30T00:02:23"/>
    <n v="688.7833333333333"/>
    <n v="2.3833333333333333"/>
    <n v="143"/>
    <n v="204"/>
    <n v="0.70689999999999997"/>
    <n v="204.29409999999999"/>
  </r>
  <r>
    <n v="338"/>
    <x v="337"/>
    <n v="239"/>
    <n v="230"/>
    <x v="4"/>
    <n v="9"/>
    <d v="1899-12-30T00:00:26"/>
    <n v="99.666666666666671"/>
    <n v="0.43333333333333335"/>
    <n v="26"/>
    <d v="1899-12-30T00:02:14"/>
    <n v="513.66666666666663"/>
    <n v="2.2333333333333334"/>
    <n v="134"/>
    <n v="158"/>
    <n v="0.68910000000000005"/>
    <n v="158.49300000000002"/>
  </r>
  <r>
    <n v="339"/>
    <x v="338"/>
    <n v="241"/>
    <n v="231"/>
    <x v="10"/>
    <n v="10"/>
    <d v="1899-12-30T00:00:23"/>
    <n v="88.550000000000011"/>
    <n v="0.38333333333333336"/>
    <n v="23"/>
    <d v="1899-12-30T00:02:25"/>
    <n v="558.25"/>
    <n v="2.4166666666666665"/>
    <n v="145"/>
    <n v="167"/>
    <n v="0.72460000000000002"/>
    <n v="167.3826"/>
  </r>
  <r>
    <n v="340"/>
    <x v="339"/>
    <n v="211"/>
    <n v="195"/>
    <x v="6"/>
    <n v="16"/>
    <d v="1899-12-30T00:00:33"/>
    <n v="107.25000000000001"/>
    <n v="0.55000000000000004"/>
    <n v="33"/>
    <d v="1899-12-30T00:02:42"/>
    <n v="526.5"/>
    <n v="2.7"/>
    <n v="162"/>
    <n v="102"/>
    <n v="0.52400000000000002"/>
    <n v="102.18"/>
  </r>
  <r>
    <n v="341"/>
    <x v="340"/>
    <n v="40"/>
    <n v="35"/>
    <x v="20"/>
    <n v="5"/>
    <d v="1899-12-30T00:00:40"/>
    <n v="23.333333333333332"/>
    <n v="0.66666666666666663"/>
    <n v="40"/>
    <d v="1899-12-30T00:02:35"/>
    <n v="90.416666666666671"/>
    <n v="2.5833333333333335"/>
    <n v="155"/>
    <n v="16"/>
    <n v="0.47499999999999998"/>
    <n v="16.625"/>
  </r>
  <r>
    <n v="342"/>
    <x v="341"/>
    <n v="192"/>
    <n v="174"/>
    <x v="9"/>
    <n v="18"/>
    <d v="1899-12-30T00:00:32"/>
    <n v="92.8"/>
    <n v="0.53333333333333333"/>
    <n v="32"/>
    <d v="1899-12-30T00:02:16"/>
    <n v="394.4"/>
    <n v="2.2666666666666666"/>
    <n v="136"/>
    <n v="97"/>
    <n v="0.55789999999999995"/>
    <n v="97.07459999999999"/>
  </r>
  <r>
    <n v="343"/>
    <x v="342"/>
    <n v="201"/>
    <n v="179"/>
    <x v="13"/>
    <n v="22"/>
    <d v="1899-12-30T00:00:35"/>
    <n v="104.41666666666667"/>
    <n v="0.58333333333333337"/>
    <n v="35"/>
    <d v="1899-12-30T00:02:18"/>
    <n v="411.7"/>
    <n v="2.2999999999999998"/>
    <n v="138"/>
    <n v="102"/>
    <n v="0.57289999999999996"/>
    <n v="102.5491"/>
  </r>
  <r>
    <n v="344"/>
    <x v="343"/>
    <n v="274"/>
    <n v="247"/>
    <x v="9"/>
    <n v="27"/>
    <d v="1899-12-30T00:00:28"/>
    <n v="115.26666666666667"/>
    <n v="0.46666666666666667"/>
    <n v="28"/>
    <d v="1899-12-30T00:02:10"/>
    <n v="535.16666666666663"/>
    <n v="2.1666666666666665"/>
    <n v="130"/>
    <n v="157"/>
    <n v="0.63939999999999997"/>
    <n v="157.93179999999998"/>
  </r>
  <r>
    <n v="345"/>
    <x v="344"/>
    <n v="205"/>
    <n v="176"/>
    <x v="18"/>
    <n v="29"/>
    <d v="1899-12-30T00:00:41"/>
    <n v="120.26666666666667"/>
    <n v="0.68333333333333335"/>
    <n v="41"/>
    <d v="1899-12-30T00:02:16"/>
    <n v="398.93333333333334"/>
    <n v="2.2666666666666666"/>
    <n v="136"/>
    <n v="81"/>
    <n v="0.46229999999999999"/>
    <n v="81.364800000000002"/>
  </r>
  <r>
    <n v="346"/>
    <x v="345"/>
    <n v="177"/>
    <n v="160"/>
    <x v="9"/>
    <n v="17"/>
    <d v="1899-12-30T00:00:28"/>
    <n v="74.666666666666671"/>
    <n v="0.46666666666666667"/>
    <n v="28"/>
    <d v="1899-12-30T00:02:20"/>
    <n v="373.33333333333337"/>
    <n v="2.3333333333333335"/>
    <n v="140"/>
    <n v="94"/>
    <n v="0.59199999999999997"/>
    <n v="94.72"/>
  </r>
  <r>
    <n v="347"/>
    <x v="346"/>
    <n v="159"/>
    <n v="151"/>
    <x v="0"/>
    <n v="8"/>
    <d v="1899-12-30T00:00:22"/>
    <n v="55.36666666666666"/>
    <n v="0.36666666666666664"/>
    <n v="22"/>
    <d v="1899-12-30T00:02:08"/>
    <n v="322.13333333333333"/>
    <n v="2.1333333333333333"/>
    <n v="128"/>
    <n v="110"/>
    <n v="0.73250000000000004"/>
    <n v="110.6075"/>
  </r>
  <r>
    <n v="348"/>
    <x v="347"/>
    <n v="33"/>
    <n v="28"/>
    <x v="16"/>
    <n v="5"/>
    <d v="1899-12-30T00:00:13"/>
    <n v="6.0666666666666664"/>
    <n v="0.21666666666666667"/>
    <n v="13"/>
    <d v="1899-12-30T00:02:30"/>
    <n v="70"/>
    <n v="2.5"/>
    <n v="150"/>
    <n v="18"/>
    <n v="0.66669999999999996"/>
    <n v="18.6676"/>
  </r>
  <r>
    <n v="349"/>
    <x v="348"/>
    <n v="228"/>
    <n v="210"/>
    <x v="6"/>
    <n v="18"/>
    <d v="1899-12-30T00:00:23"/>
    <n v="80.5"/>
    <n v="0.38333333333333336"/>
    <n v="23"/>
    <d v="1899-12-30T00:02:08"/>
    <n v="448"/>
    <n v="2.1333333333333333"/>
    <n v="128"/>
    <n v="140"/>
    <n v="0.66669999999999996"/>
    <n v="140.00700000000001"/>
  </r>
  <r>
    <n v="350"/>
    <x v="349"/>
    <n v="177"/>
    <n v="172"/>
    <x v="7"/>
    <n v="5"/>
    <d v="1899-12-30T00:00:25"/>
    <n v="71.666666666666671"/>
    <n v="0.41666666666666669"/>
    <n v="25"/>
    <d v="1899-12-30T00:02:15"/>
    <n v="387"/>
    <n v="2.25"/>
    <n v="135"/>
    <n v="118"/>
    <n v="0.69140000000000001"/>
    <n v="118.9208"/>
  </r>
  <r>
    <n v="351"/>
    <x v="350"/>
    <n v="197"/>
    <n v="169"/>
    <x v="18"/>
    <n v="28"/>
    <d v="1899-12-30T00:00:34"/>
    <n v="95.766666666666666"/>
    <n v="0.56666666666666665"/>
    <n v="34"/>
    <d v="1899-12-30T00:02:30"/>
    <n v="422.5"/>
    <n v="2.5"/>
    <n v="150"/>
    <n v="94"/>
    <n v="0.55669999999999997"/>
    <n v="94.082299999999989"/>
  </r>
  <r>
    <n v="352"/>
    <x v="351"/>
    <n v="721"/>
    <n v="616"/>
    <x v="18"/>
    <n v="105"/>
    <d v="1899-12-30T00:00:57"/>
    <n v="585.19999999999993"/>
    <n v="0.95"/>
    <n v="57"/>
    <d v="1899-12-30T00:01:55"/>
    <n v="1180.6666666666665"/>
    <n v="1.9166666666666665"/>
    <n v="114.99999999999999"/>
    <n v="174"/>
    <n v="0.28310000000000002"/>
    <n v="174.3896"/>
  </r>
  <r>
    <n v="353"/>
    <x v="352"/>
    <n v="301"/>
    <n v="270"/>
    <x v="13"/>
    <n v="31"/>
    <d v="1899-12-30T00:00:42"/>
    <n v="189"/>
    <n v="0.7"/>
    <n v="42"/>
    <d v="1899-12-30T00:02:05"/>
    <n v="562.5"/>
    <n v="2.0833333333333335"/>
    <n v="125.00000000000001"/>
    <n v="114"/>
    <n v="0.42470000000000002"/>
    <n v="114.66900000000001"/>
  </r>
  <r>
    <n v="354"/>
    <x v="353"/>
    <n v="179"/>
    <n v="175"/>
    <x v="7"/>
    <n v="4"/>
    <d v="1899-12-30T00:00:24"/>
    <n v="70"/>
    <n v="0.4"/>
    <n v="24"/>
    <d v="1899-12-30T00:02:21"/>
    <n v="411.25"/>
    <n v="2.35"/>
    <n v="141"/>
    <n v="124"/>
    <n v="0.71350000000000002"/>
    <n v="124.8625"/>
  </r>
  <r>
    <n v="355"/>
    <x v="354"/>
    <n v="45"/>
    <n v="45"/>
    <x v="3"/>
    <n v="0"/>
    <d v="1899-12-30T00:00:16"/>
    <n v="12"/>
    <n v="0.26666666666666666"/>
    <n v="16"/>
    <d v="1899-12-30T00:02:11"/>
    <n v="98.249999999999986"/>
    <n v="2.1833333333333331"/>
    <n v="131"/>
    <n v="39"/>
    <n v="0.86670000000000003"/>
    <n v="39.0015"/>
  </r>
  <r>
    <n v="356"/>
    <x v="355"/>
    <n v="180"/>
    <n v="164"/>
    <x v="1"/>
    <n v="16"/>
    <d v="1899-12-30T00:00:25"/>
    <n v="68.333333333333343"/>
    <n v="0.41666666666666669"/>
    <n v="25"/>
    <d v="1899-12-30T00:02:22"/>
    <n v="388.13333333333333"/>
    <n v="2.3666666666666667"/>
    <n v="142"/>
    <n v="101"/>
    <n v="0.61799999999999999"/>
    <n v="101.352"/>
  </r>
  <r>
    <n v="357"/>
    <x v="356"/>
    <n v="206"/>
    <n v="200"/>
    <x v="7"/>
    <n v="6"/>
    <d v="1899-12-30T00:00:22"/>
    <n v="73.333333333333329"/>
    <n v="0.36666666666666664"/>
    <n v="22"/>
    <d v="1899-12-30T00:02:19"/>
    <n v="463.33333333333326"/>
    <n v="2.3166666666666664"/>
    <n v="139"/>
    <n v="149"/>
    <n v="0.74629999999999996"/>
    <n v="149.26"/>
  </r>
  <r>
    <n v="358"/>
    <x v="357"/>
    <n v="187"/>
    <n v="181"/>
    <x v="4"/>
    <n v="6"/>
    <d v="1899-12-30T00:00:32"/>
    <n v="96.533333333333331"/>
    <n v="0.53333333333333333"/>
    <n v="32"/>
    <d v="1899-12-30T00:02:30"/>
    <n v="452.5"/>
    <n v="2.5"/>
    <n v="150"/>
    <n v="113"/>
    <n v="0.627"/>
    <n v="113.48699999999999"/>
  </r>
  <r>
    <n v="359"/>
    <x v="358"/>
    <n v="186"/>
    <n v="177"/>
    <x v="10"/>
    <n v="9"/>
    <d v="1899-12-30T00:00:28"/>
    <n v="82.6"/>
    <n v="0.46666666666666667"/>
    <n v="28"/>
    <d v="1899-12-30T00:02:22"/>
    <n v="418.9"/>
    <n v="2.3666666666666667"/>
    <n v="142"/>
    <n v="120"/>
    <n v="0.67930000000000001"/>
    <n v="120.23610000000001"/>
  </r>
  <r>
    <n v="360"/>
    <x v="359"/>
    <n v="189"/>
    <n v="180"/>
    <x v="10"/>
    <n v="9"/>
    <d v="1899-12-30T00:00:35"/>
    <n v="105"/>
    <n v="0.58333333333333337"/>
    <n v="35"/>
    <d v="1899-12-30T00:02:15"/>
    <n v="405"/>
    <n v="2.25"/>
    <n v="135"/>
    <n v="101"/>
    <n v="0.5645"/>
    <n v="101.61"/>
  </r>
  <r>
    <n v="361"/>
    <x v="360"/>
    <n v="127"/>
    <n v="116"/>
    <x v="1"/>
    <n v="11"/>
    <d v="1899-12-30T00:00:34"/>
    <n v="65.733333333333334"/>
    <n v="0.56666666666666665"/>
    <n v="34"/>
    <d v="1899-12-30T00:02:25"/>
    <n v="280.33333333333331"/>
    <n v="2.4166666666666665"/>
    <n v="145"/>
    <n v="65"/>
    <n v="0.5645"/>
    <n v="65.481999999999999"/>
  </r>
  <r>
    <n v="362"/>
    <x v="361"/>
    <n v="93"/>
    <n v="90"/>
    <x v="4"/>
    <n v="3"/>
    <d v="1899-12-30T00:00:26"/>
    <n v="39"/>
    <n v="0.43333333333333335"/>
    <n v="26"/>
    <d v="1899-12-30T00:01:57"/>
    <n v="175.5"/>
    <n v="1.95"/>
    <n v="117"/>
    <n v="57"/>
    <n v="0.63439999999999996"/>
    <n v="57.095999999999997"/>
  </r>
  <r>
    <n v="363"/>
    <x v="362"/>
    <n v="328"/>
    <n v="292"/>
    <x v="13"/>
    <n v="36"/>
    <d v="1899-12-30T00:00:37"/>
    <n v="180.06666666666666"/>
    <n v="0.6166666666666667"/>
    <n v="37"/>
    <d v="1899-12-30T00:02:17"/>
    <n v="666.73333333333335"/>
    <n v="2.2833333333333332"/>
    <n v="137"/>
    <n v="145"/>
    <n v="0.49680000000000002"/>
    <n v="145.06560000000002"/>
  </r>
  <r>
    <n v="364"/>
    <x v="363"/>
    <n v="238"/>
    <n v="223"/>
    <x v="2"/>
    <n v="15"/>
    <d v="1899-12-30T00:00:33"/>
    <n v="122.65"/>
    <n v="0.55000000000000004"/>
    <n v="33"/>
    <d v="1899-12-30T00:02:23"/>
    <n v="531.48333333333335"/>
    <n v="2.3833333333333333"/>
    <n v="143"/>
    <n v="132"/>
    <n v="0.59230000000000005"/>
    <n v="132.08290000000002"/>
  </r>
  <r>
    <n v="365"/>
    <x v="364"/>
    <n v="237"/>
    <n v="222"/>
    <x v="2"/>
    <n v="15"/>
    <d v="1899-12-30T00:00:34"/>
    <n v="125.8"/>
    <n v="0.56666666666666665"/>
    <n v="34"/>
    <d v="1899-12-30T00:02:24"/>
    <n v="532.79999999999995"/>
    <n v="2.4"/>
    <n v="144"/>
    <n v="119"/>
    <n v="0.53849999999999998"/>
    <n v="119.547"/>
  </r>
  <r>
    <n v="366"/>
    <x v="365"/>
    <n v="257"/>
    <n v="235"/>
    <x v="1"/>
    <n v="22"/>
    <d v="1899-12-30T00:00:45"/>
    <n v="176.25"/>
    <n v="0.75"/>
    <n v="45"/>
    <d v="1899-12-30T00:02:31"/>
    <n v="591.41666666666663"/>
    <n v="2.5166666666666666"/>
    <n v="151"/>
    <n v="104"/>
    <n v="0.4466"/>
    <n v="104.95099999999999"/>
  </r>
  <r>
    <n v="367"/>
    <x v="366"/>
    <n v="238"/>
    <n v="223"/>
    <x v="2"/>
    <n v="15"/>
    <d v="1899-12-30T00:00:32"/>
    <n v="118.93333333333334"/>
    <n v="0.53333333333333333"/>
    <n v="32"/>
    <d v="1899-12-30T00:02:17"/>
    <n v="509.18333333333328"/>
    <n v="2.2833333333333332"/>
    <n v="137"/>
    <n v="121"/>
    <n v="0.54700000000000004"/>
    <n v="121.98100000000001"/>
  </r>
  <r>
    <n v="368"/>
    <x v="367"/>
    <n v="199"/>
    <n v="164"/>
    <x v="21"/>
    <n v="35"/>
    <d v="1899-12-30T00:00:32"/>
    <n v="87.466666666666669"/>
    <n v="0.53333333333333333"/>
    <n v="32"/>
    <d v="1899-12-30T00:02:13"/>
    <n v="363.53333333333336"/>
    <n v="2.2166666666666668"/>
    <n v="133"/>
    <n v="97"/>
    <n v="0.59179999999999999"/>
    <n v="97.055199999999999"/>
  </r>
  <r>
    <n v="369"/>
    <x v="368"/>
    <n v="30"/>
    <n v="27"/>
    <x v="9"/>
    <n v="3"/>
    <d v="1899-12-30T00:00:32"/>
    <n v="14.4"/>
    <n v="0.53333333333333333"/>
    <n v="32"/>
    <d v="1899-12-30T00:02:34"/>
    <n v="69.3"/>
    <n v="2.5666666666666664"/>
    <n v="154"/>
    <n v="16"/>
    <n v="0.60709999999999997"/>
    <n v="16.3917"/>
  </r>
  <r>
    <n v="370"/>
    <x v="369"/>
    <n v="176"/>
    <n v="163"/>
    <x v="6"/>
    <n v="13"/>
    <d v="1899-12-30T00:00:38"/>
    <n v="103.23333333333333"/>
    <n v="0.6333333333333333"/>
    <n v="38"/>
    <d v="1899-12-30T00:02:05"/>
    <n v="339.58333333333337"/>
    <n v="2.0833333333333335"/>
    <n v="125.00000000000001"/>
    <n v="88"/>
    <n v="0.54290000000000005"/>
    <n v="88.492700000000013"/>
  </r>
  <r>
    <n v="371"/>
    <x v="370"/>
    <n v="162"/>
    <n v="144"/>
    <x v="8"/>
    <n v="18"/>
    <d v="1899-12-30T00:00:41"/>
    <n v="98.4"/>
    <n v="0.68333333333333335"/>
    <n v="41"/>
    <d v="1899-12-30T00:02:25"/>
    <n v="348"/>
    <n v="2.4166666666666665"/>
    <n v="145"/>
    <n v="72"/>
    <n v="0.50309999999999999"/>
    <n v="72.446399999999997"/>
  </r>
  <r>
    <n v="372"/>
    <x v="371"/>
    <n v="169"/>
    <n v="157"/>
    <x v="6"/>
    <n v="12"/>
    <d v="1899-12-30T00:00:29"/>
    <n v="75.88333333333334"/>
    <n v="0.48333333333333334"/>
    <n v="29"/>
    <d v="1899-12-30T00:02:29"/>
    <n v="389.88333333333333"/>
    <n v="2.4833333333333334"/>
    <n v="149"/>
    <n v="84"/>
    <n v="0.53890000000000005"/>
    <n v="84.607300000000009"/>
  </r>
  <r>
    <n v="373"/>
    <x v="372"/>
    <n v="155"/>
    <n v="146"/>
    <x v="0"/>
    <n v="9"/>
    <d v="1899-12-30T00:00:30"/>
    <n v="73"/>
    <n v="0.5"/>
    <n v="30"/>
    <d v="1899-12-30T00:02:18"/>
    <n v="335.79999999999995"/>
    <n v="2.2999999999999998"/>
    <n v="138"/>
    <n v="74"/>
    <n v="0.50980000000000003"/>
    <n v="74.430800000000005"/>
  </r>
  <r>
    <n v="374"/>
    <x v="373"/>
    <n v="247"/>
    <n v="205"/>
    <x v="21"/>
    <n v="42"/>
    <d v="1899-12-30T00:00:49"/>
    <n v="167.41666666666666"/>
    <n v="0.81666666666666665"/>
    <n v="49"/>
    <d v="1899-12-30T00:02:26"/>
    <n v="498.83333333333337"/>
    <n v="2.4333333333333336"/>
    <n v="146"/>
    <n v="78"/>
    <n v="0.38490000000000002"/>
    <n v="78.904499999999999"/>
  </r>
  <r>
    <n v="375"/>
    <x v="374"/>
    <n v="191"/>
    <n v="186"/>
    <x v="7"/>
    <n v="5"/>
    <d v="1899-12-30T00:00:24"/>
    <n v="74.400000000000006"/>
    <n v="0.4"/>
    <n v="24"/>
    <d v="1899-12-30T00:02:14"/>
    <n v="415.40000000000003"/>
    <n v="2.2333333333333334"/>
    <n v="134"/>
    <n v="131"/>
    <n v="0.70530000000000004"/>
    <n v="131.1858"/>
  </r>
  <r>
    <n v="376"/>
    <x v="375"/>
    <n v="30"/>
    <n v="29"/>
    <x v="4"/>
    <n v="1"/>
    <d v="1899-12-30T00:00:06"/>
    <n v="2.9000000000000004"/>
    <n v="0.1"/>
    <n v="6"/>
    <d v="1899-12-30T00:02:15"/>
    <n v="65.25"/>
    <n v="2.25"/>
    <n v="135"/>
    <n v="27"/>
    <n v="0.93330000000000002"/>
    <n v="27.0657"/>
  </r>
  <r>
    <n v="377"/>
    <x v="376"/>
    <n v="316"/>
    <n v="290"/>
    <x v="1"/>
    <n v="26"/>
    <d v="1899-12-30T00:00:31"/>
    <n v="149.83333333333334"/>
    <n v="0.51666666666666672"/>
    <n v="31.000000000000004"/>
    <d v="1899-12-30T00:02:21"/>
    <n v="681.5"/>
    <n v="2.35"/>
    <n v="141"/>
    <n v="171"/>
    <n v="0.59160000000000001"/>
    <n v="171.56399999999999"/>
  </r>
  <r>
    <n v="378"/>
    <x v="377"/>
    <n v="211"/>
    <n v="195"/>
    <x v="6"/>
    <n v="16"/>
    <d v="1899-12-30T00:00:34"/>
    <n v="110.5"/>
    <n v="0.56666666666666665"/>
    <n v="34"/>
    <d v="1899-12-30T00:02:21"/>
    <n v="458.25"/>
    <n v="2.35"/>
    <n v="141"/>
    <n v="108"/>
    <n v="0.55769999999999997"/>
    <n v="108.75149999999999"/>
  </r>
  <r>
    <n v="379"/>
    <x v="378"/>
    <n v="208"/>
    <n v="169"/>
    <x v="14"/>
    <n v="39"/>
    <d v="1899-12-30T00:00:45"/>
    <n v="126.75"/>
    <n v="0.75"/>
    <n v="45"/>
    <d v="1899-12-30T00:02:18"/>
    <n v="388.7"/>
    <n v="2.2999999999999998"/>
    <n v="138"/>
    <n v="77"/>
    <n v="0.45850000000000002"/>
    <n v="77.486500000000007"/>
  </r>
  <r>
    <n v="380"/>
    <x v="379"/>
    <n v="130"/>
    <n v="124"/>
    <x v="10"/>
    <n v="6"/>
    <d v="1899-12-30T00:00:22"/>
    <n v="45.466666666666661"/>
    <n v="0.36666666666666664"/>
    <n v="22"/>
    <d v="1899-12-30T00:02:17"/>
    <n v="283.13333333333333"/>
    <n v="2.2833333333333332"/>
    <n v="137"/>
    <n v="85"/>
    <n v="0.68989999999999996"/>
    <n v="85.547599999999989"/>
  </r>
  <r>
    <n v="381"/>
    <x v="380"/>
    <n v="134"/>
    <n v="129"/>
    <x v="4"/>
    <n v="5"/>
    <d v="1899-12-30T00:00:24"/>
    <n v="51.6"/>
    <n v="0.4"/>
    <n v="24"/>
    <d v="1899-12-30T00:02:12"/>
    <n v="283.8"/>
    <n v="2.2000000000000002"/>
    <n v="132"/>
    <n v="91"/>
    <n v="0.70899999999999996"/>
    <n v="91.460999999999999"/>
  </r>
  <r>
    <n v="382"/>
    <x v="381"/>
    <n v="124"/>
    <n v="121"/>
    <x v="7"/>
    <n v="3"/>
    <d v="1899-12-30T00:00:27"/>
    <n v="54.45"/>
    <n v="0.45"/>
    <n v="27"/>
    <d v="1899-12-30T00:02:19"/>
    <n v="280.31666666666666"/>
    <n v="2.3166666666666664"/>
    <n v="139"/>
    <n v="85"/>
    <n v="0.70730000000000004"/>
    <n v="85.583300000000008"/>
  </r>
  <r>
    <n v="383"/>
    <x v="382"/>
    <n v="47"/>
    <n v="43"/>
    <x v="1"/>
    <n v="4"/>
    <d v="1899-12-30T00:00:37"/>
    <n v="26.516666666666669"/>
    <n v="0.6166666666666667"/>
    <n v="37"/>
    <d v="1899-12-30T00:02:18"/>
    <n v="98.899999999999991"/>
    <n v="2.2999999999999998"/>
    <n v="138"/>
    <n v="23"/>
    <n v="0.54349999999999998"/>
    <n v="23.3705"/>
  </r>
  <r>
    <n v="384"/>
    <x v="383"/>
    <n v="197"/>
    <n v="186"/>
    <x v="0"/>
    <n v="11"/>
    <d v="1899-12-30T00:00:28"/>
    <n v="86.8"/>
    <n v="0.46666666666666667"/>
    <n v="28"/>
    <d v="1899-12-30T00:02:18"/>
    <n v="427.79999999999995"/>
    <n v="2.2999999999999998"/>
    <n v="138"/>
    <n v="118"/>
    <n v="0.63829999999999998"/>
    <n v="118.7238"/>
  </r>
  <r>
    <n v="385"/>
    <x v="384"/>
    <n v="158"/>
    <n v="146"/>
    <x v="6"/>
    <n v="12"/>
    <d v="1899-12-30T00:00:31"/>
    <n v="75.433333333333337"/>
    <n v="0.51666666666666672"/>
    <n v="31.000000000000004"/>
    <d v="1899-12-30T00:02:24"/>
    <n v="350.4"/>
    <n v="2.4"/>
    <n v="144"/>
    <n v="83"/>
    <n v="0.5696"/>
    <n v="83.161599999999993"/>
  </r>
  <r>
    <n v="386"/>
    <x v="385"/>
    <n v="163"/>
    <n v="151"/>
    <x v="6"/>
    <n v="12"/>
    <d v="1899-12-30T00:00:28"/>
    <n v="70.466666666666669"/>
    <n v="0.46666666666666667"/>
    <n v="28"/>
    <d v="1899-12-30T00:02:13"/>
    <n v="334.7166666666667"/>
    <n v="2.2166666666666668"/>
    <n v="133"/>
    <n v="96"/>
    <n v="0.63749999999999996"/>
    <n v="96.262499999999989"/>
  </r>
  <r>
    <n v="387"/>
    <x v="386"/>
    <n v="178"/>
    <n v="160"/>
    <x v="13"/>
    <n v="18"/>
    <d v="1899-12-30T00:00:35"/>
    <n v="93.333333333333343"/>
    <n v="0.58333333333333337"/>
    <n v="35"/>
    <d v="1899-12-30T00:02:39"/>
    <n v="424"/>
    <n v="2.65"/>
    <n v="159"/>
    <n v="87"/>
    <n v="0.54490000000000005"/>
    <n v="87.184000000000012"/>
  </r>
  <r>
    <n v="388"/>
    <x v="387"/>
    <n v="151"/>
    <n v="128"/>
    <x v="16"/>
    <n v="23"/>
    <d v="1899-12-30T00:00:35"/>
    <n v="74.666666666666671"/>
    <n v="0.58333333333333337"/>
    <n v="35"/>
    <d v="1899-12-30T00:02:23"/>
    <n v="305.06666666666666"/>
    <n v="2.3833333333333333"/>
    <n v="143"/>
    <n v="68"/>
    <n v="0.53380000000000005"/>
    <n v="68.326400000000007"/>
  </r>
  <r>
    <n v="389"/>
    <x v="388"/>
    <n v="118"/>
    <n v="106"/>
    <x v="13"/>
    <n v="12"/>
    <d v="1899-12-30T00:00:33"/>
    <n v="58.300000000000004"/>
    <n v="0.55000000000000004"/>
    <n v="33"/>
    <d v="1899-12-30T00:02:25"/>
    <n v="256.16666666666663"/>
    <n v="2.4166666666666665"/>
    <n v="145"/>
    <n v="58"/>
    <n v="0.55169999999999997"/>
    <n v="58.480199999999996"/>
  </r>
  <r>
    <n v="390"/>
    <x v="389"/>
    <n v="31"/>
    <n v="28"/>
    <x v="9"/>
    <n v="3"/>
    <d v="1899-12-30T00:00:40"/>
    <n v="18.666666666666664"/>
    <n v="0.66666666666666663"/>
    <n v="40"/>
    <d v="1899-12-30T00:02:40"/>
    <n v="74.666666666666657"/>
    <n v="2.6666666666666665"/>
    <n v="160"/>
    <n v="12"/>
    <n v="0.43330000000000002"/>
    <n v="12.132400000000001"/>
  </r>
  <r>
    <n v="391"/>
    <x v="390"/>
    <n v="139"/>
    <n v="134"/>
    <x v="4"/>
    <n v="5"/>
    <d v="1899-12-30T00:00:31"/>
    <n v="69.233333333333334"/>
    <n v="0.51666666666666672"/>
    <n v="31.000000000000004"/>
    <d v="1899-12-30T00:02:23"/>
    <n v="319.36666666666667"/>
    <n v="2.3833333333333333"/>
    <n v="143"/>
    <n v="79"/>
    <n v="0.59419999999999995"/>
    <n v="79.622799999999998"/>
  </r>
  <r>
    <n v="392"/>
    <x v="391"/>
    <n v="171"/>
    <n v="154"/>
    <x v="9"/>
    <n v="17"/>
    <d v="1899-12-30T00:00:27"/>
    <n v="69.3"/>
    <n v="0.45"/>
    <n v="27"/>
    <d v="1899-12-30T00:02:24"/>
    <n v="369.59999999999997"/>
    <n v="2.4"/>
    <n v="144"/>
    <n v="101"/>
    <n v="0.65659999999999996"/>
    <n v="101.1164"/>
  </r>
  <r>
    <n v="393"/>
    <x v="392"/>
    <n v="160"/>
    <n v="156"/>
    <x v="7"/>
    <n v="4"/>
    <d v="1899-12-30T00:00:27"/>
    <n v="70.2"/>
    <n v="0.45"/>
    <n v="27"/>
    <d v="1899-12-30T00:02:15"/>
    <n v="351"/>
    <n v="2.25"/>
    <n v="135"/>
    <n v="100"/>
    <n v="0.64559999999999995"/>
    <n v="100.71359999999999"/>
  </r>
  <r>
    <n v="394"/>
    <x v="393"/>
    <n v="177"/>
    <n v="169"/>
    <x v="10"/>
    <n v="8"/>
    <d v="1899-12-30T00:00:29"/>
    <n v="81.683333333333337"/>
    <n v="0.48333333333333334"/>
    <n v="29"/>
    <d v="1899-12-30T00:02:31"/>
    <n v="425.31666666666666"/>
    <n v="2.5166666666666666"/>
    <n v="151"/>
    <n v="108"/>
    <n v="0.64370000000000005"/>
    <n v="108.78530000000001"/>
  </r>
  <r>
    <n v="395"/>
    <x v="394"/>
    <n v="187"/>
    <n v="180"/>
    <x v="4"/>
    <n v="7"/>
    <d v="1899-12-30T00:00:26"/>
    <n v="78"/>
    <n v="0.43333333333333335"/>
    <n v="26"/>
    <d v="1899-12-30T00:02:22"/>
    <n v="426"/>
    <n v="2.3666666666666667"/>
    <n v="142"/>
    <n v="118"/>
    <n v="0.65590000000000004"/>
    <n v="118.06200000000001"/>
  </r>
  <r>
    <n v="396"/>
    <x v="395"/>
    <n v="147"/>
    <n v="138"/>
    <x v="2"/>
    <n v="9"/>
    <d v="1899-12-30T00:00:26"/>
    <n v="59.800000000000004"/>
    <n v="0.43333333333333335"/>
    <n v="26"/>
    <d v="1899-12-30T00:02:24"/>
    <n v="331.2"/>
    <n v="2.4"/>
    <n v="144"/>
    <n v="84"/>
    <n v="0.61380000000000001"/>
    <n v="84.704400000000007"/>
  </r>
  <r>
    <n v="397"/>
    <x v="396"/>
    <n v="35"/>
    <n v="35"/>
    <x v="3"/>
    <n v="0"/>
    <d v="1899-12-30T00:00:08"/>
    <n v="4.666666666666667"/>
    <n v="0.13333333333333333"/>
    <n v="8"/>
    <d v="1899-12-30T00:02:10"/>
    <n v="75.833333333333329"/>
    <n v="2.1666666666666665"/>
    <n v="130"/>
    <n v="30"/>
    <n v="0.88570000000000004"/>
    <n v="30.999500000000001"/>
  </r>
  <r>
    <n v="398"/>
    <x v="397"/>
    <n v="208"/>
    <n v="194"/>
    <x v="2"/>
    <n v="14"/>
    <d v="1899-12-30T00:00:35"/>
    <n v="113.16666666666667"/>
    <n v="0.58333333333333337"/>
    <n v="35"/>
    <d v="1899-12-30T00:02:26"/>
    <n v="472.06666666666672"/>
    <n v="2.4333333333333336"/>
    <n v="146"/>
    <n v="110"/>
    <n v="0.56930000000000003"/>
    <n v="110.44420000000001"/>
  </r>
  <r>
    <n v="399"/>
    <x v="398"/>
    <n v="162"/>
    <n v="155"/>
    <x v="10"/>
    <n v="7"/>
    <d v="1899-12-30T00:00:19"/>
    <n v="49.083333333333329"/>
    <n v="0.31666666666666665"/>
    <n v="19"/>
    <d v="1899-12-30T00:02:17"/>
    <n v="353.91666666666663"/>
    <n v="2.2833333333333332"/>
    <n v="137"/>
    <n v="120"/>
    <n v="0.77990000000000004"/>
    <n v="120.8845"/>
  </r>
  <r>
    <n v="400"/>
    <x v="399"/>
    <n v="152"/>
    <n v="143"/>
    <x v="0"/>
    <n v="9"/>
    <d v="1899-12-30T00:00:22"/>
    <n v="52.43333333333333"/>
    <n v="0.36666666666666664"/>
    <n v="22"/>
    <d v="1899-12-30T00:02:28"/>
    <n v="352.73333333333335"/>
    <n v="2.4666666666666668"/>
    <n v="148"/>
    <n v="100"/>
    <n v="0.7"/>
    <n v="100.1"/>
  </r>
  <r>
    <n v="401"/>
    <x v="400"/>
    <n v="132"/>
    <n v="125"/>
    <x v="0"/>
    <n v="7"/>
    <d v="1899-12-30T00:00:26"/>
    <n v="54.166666666666671"/>
    <n v="0.43333333333333335"/>
    <n v="26"/>
    <d v="1899-12-30T00:02:07"/>
    <n v="264.58333333333331"/>
    <n v="2.1166666666666667"/>
    <n v="127"/>
    <n v="86"/>
    <n v="0.68940000000000001"/>
    <n v="86.174999999999997"/>
  </r>
  <r>
    <n v="402"/>
    <x v="401"/>
    <n v="133"/>
    <n v="131"/>
    <x v="5"/>
    <n v="2"/>
    <d v="1899-12-30T00:00:12"/>
    <n v="26.200000000000003"/>
    <n v="0.2"/>
    <n v="12"/>
    <d v="1899-12-30T00:02:19"/>
    <n v="303.48333333333329"/>
    <n v="2.3166666666666664"/>
    <n v="139"/>
    <n v="114"/>
    <n v="0.87119999999999997"/>
    <n v="114.1272"/>
  </r>
  <r>
    <n v="403"/>
    <x v="402"/>
    <n v="129"/>
    <n v="121"/>
    <x v="2"/>
    <n v="8"/>
    <d v="1899-12-30T00:00:33"/>
    <n v="66.550000000000011"/>
    <n v="0.55000000000000004"/>
    <n v="33"/>
    <d v="1899-12-30T00:02:37"/>
    <n v="316.61666666666667"/>
    <n v="2.6166666666666667"/>
    <n v="157"/>
    <n v="74"/>
    <n v="0.61419999999999997"/>
    <n v="74.31819999999999"/>
  </r>
  <r>
    <n v="404"/>
    <x v="403"/>
    <n v="37"/>
    <n v="35"/>
    <x v="0"/>
    <n v="2"/>
    <d v="1899-12-30T00:00:19"/>
    <n v="11.083333333333332"/>
    <n v="0.31666666666666665"/>
    <n v="19"/>
    <d v="1899-12-30T00:02:21"/>
    <n v="82.25"/>
    <n v="2.35"/>
    <n v="141"/>
    <n v="26"/>
    <n v="0.75680000000000003"/>
    <n v="26.488"/>
  </r>
  <r>
    <n v="405"/>
    <x v="404"/>
    <n v="56"/>
    <n v="54"/>
    <x v="4"/>
    <n v="2"/>
    <d v="1899-12-30T00:00:13"/>
    <n v="11.700000000000001"/>
    <n v="0.21666666666666667"/>
    <n v="13"/>
    <d v="1899-12-30T00:02:33"/>
    <n v="137.69999999999999"/>
    <n v="2.5499999999999998"/>
    <n v="153"/>
    <n v="47"/>
    <n v="0.87270000000000003"/>
    <n v="47.125799999999998"/>
  </r>
  <r>
    <n v="406"/>
    <x v="405"/>
    <n v="215"/>
    <n v="210"/>
    <x v="7"/>
    <n v="5"/>
    <d v="1899-12-30T00:00:12"/>
    <n v="42"/>
    <n v="0.2"/>
    <n v="12"/>
    <d v="1899-12-30T00:01:34"/>
    <n v="329"/>
    <n v="1.5666666666666667"/>
    <n v="94"/>
    <n v="184"/>
    <n v="0.87739999999999996"/>
    <n v="184.25399999999999"/>
  </r>
  <r>
    <n v="407"/>
    <x v="406"/>
    <n v="50"/>
    <n v="46"/>
    <x v="6"/>
    <n v="4"/>
    <d v="1899-12-30T00:00:14"/>
    <n v="10.733333333333334"/>
    <n v="0.23333333333333334"/>
    <n v="14"/>
    <d v="1899-12-30T00:02:42"/>
    <n v="124.2"/>
    <n v="2.7"/>
    <n v="162"/>
    <n v="33"/>
    <n v="0.72"/>
    <n v="33.119999999999997"/>
  </r>
  <r>
    <n v="408"/>
    <x v="407"/>
    <n v="136"/>
    <n v="129"/>
    <x v="0"/>
    <n v="7"/>
    <d v="1899-12-30T00:00:22"/>
    <n v="47.3"/>
    <n v="0.36666666666666664"/>
    <n v="22"/>
    <d v="1899-12-30T00:02:26"/>
    <n v="313.90000000000003"/>
    <n v="2.4333333333333336"/>
    <n v="146"/>
    <n v="85"/>
    <n v="0.66420000000000001"/>
    <n v="85.681799999999996"/>
  </r>
  <r>
    <n v="409"/>
    <x v="408"/>
    <n v="160"/>
    <n v="142"/>
    <x v="8"/>
    <n v="18"/>
    <d v="1899-12-30T00:00:35"/>
    <n v="82.833333333333343"/>
    <n v="0.58333333333333337"/>
    <n v="35"/>
    <d v="1899-12-30T00:02:34"/>
    <n v="364.46666666666664"/>
    <n v="2.5666666666666664"/>
    <n v="154"/>
    <n v="79"/>
    <n v="0.55920000000000003"/>
    <n v="79.406400000000005"/>
  </r>
  <r>
    <n v="410"/>
    <x v="409"/>
    <n v="132"/>
    <n v="115"/>
    <x v="20"/>
    <n v="17"/>
    <d v="1899-12-30T00:00:36"/>
    <n v="69"/>
    <n v="0.6"/>
    <n v="36"/>
    <d v="1899-12-30T00:02:27"/>
    <n v="281.75"/>
    <n v="2.4500000000000002"/>
    <n v="147"/>
    <n v="56"/>
    <n v="0.4884"/>
    <n v="56.165999999999997"/>
  </r>
  <r>
    <n v="411"/>
    <x v="410"/>
    <n v="30"/>
    <n v="28"/>
    <x v="2"/>
    <n v="2"/>
    <d v="1899-12-30T00:00:47"/>
    <n v="21.933333333333334"/>
    <n v="0.78333333333333333"/>
    <n v="47"/>
    <d v="1899-12-30T00:02:36"/>
    <n v="72.8"/>
    <n v="2.6"/>
    <n v="156"/>
    <n v="11"/>
    <n v="0.4"/>
    <n v="11.200000000000001"/>
  </r>
  <r>
    <n v="412"/>
    <x v="411"/>
    <n v="150"/>
    <n v="140"/>
    <x v="2"/>
    <n v="10"/>
    <d v="1899-12-30T00:00:29"/>
    <n v="67.666666666666671"/>
    <n v="0.48333333333333334"/>
    <n v="29"/>
    <d v="1899-12-30T00:02:32"/>
    <n v="354.66666666666663"/>
    <n v="2.5333333333333332"/>
    <n v="152"/>
    <n v="88"/>
    <n v="0.63090000000000002"/>
    <n v="88.326000000000008"/>
  </r>
  <r>
    <n v="413"/>
    <x v="412"/>
    <n v="160"/>
    <n v="144"/>
    <x v="9"/>
    <n v="16"/>
    <d v="1899-12-30T00:00:46"/>
    <n v="110.4"/>
    <n v="0.76666666666666672"/>
    <n v="46"/>
    <d v="1899-12-30T00:02:39"/>
    <n v="381.59999999999997"/>
    <n v="2.65"/>
    <n v="159"/>
    <n v="71"/>
    <n v="0.49680000000000002"/>
    <n v="71.539200000000008"/>
  </r>
  <r>
    <n v="414"/>
    <x v="413"/>
    <n v="132"/>
    <n v="122"/>
    <x v="6"/>
    <n v="10"/>
    <d v="1899-12-30T00:00:37"/>
    <n v="75.233333333333334"/>
    <n v="0.6166666666666667"/>
    <n v="37"/>
    <d v="1899-12-30T00:02:38"/>
    <n v="321.26666666666665"/>
    <n v="2.6333333333333333"/>
    <n v="158"/>
    <n v="61"/>
    <n v="0.5"/>
    <n v="61"/>
  </r>
  <r>
    <n v="415"/>
    <x v="414"/>
    <n v="161"/>
    <n v="151"/>
    <x v="2"/>
    <n v="10"/>
    <d v="1899-12-30T00:00:28"/>
    <n v="70.466666666666669"/>
    <n v="0.46666666666666667"/>
    <n v="28"/>
    <d v="1899-12-30T00:02:07"/>
    <n v="319.61666666666667"/>
    <n v="2.1166666666666667"/>
    <n v="127"/>
    <n v="92"/>
    <n v="0.6139"/>
    <n v="92.698899999999995"/>
  </r>
  <r>
    <n v="416"/>
    <x v="415"/>
    <n v="156"/>
    <n v="149"/>
    <x v="10"/>
    <n v="7"/>
    <d v="1899-12-30T00:00:22"/>
    <n v="54.633333333333333"/>
    <n v="0.36666666666666664"/>
    <n v="22"/>
    <d v="1899-12-30T00:02:28"/>
    <n v="367.53333333333336"/>
    <n v="2.4666666666666668"/>
    <n v="148"/>
    <n v="104"/>
    <n v="0.70320000000000005"/>
    <n v="104.77680000000001"/>
  </r>
  <r>
    <n v="417"/>
    <x v="416"/>
    <n v="137"/>
    <n v="128"/>
    <x v="2"/>
    <n v="9"/>
    <d v="1899-12-30T00:00:31"/>
    <n v="66.13333333333334"/>
    <n v="0.51666666666666672"/>
    <n v="31.000000000000004"/>
    <d v="1899-12-30T00:02:30"/>
    <n v="320"/>
    <n v="2.5"/>
    <n v="150"/>
    <n v="80"/>
    <n v="0.62690000000000001"/>
    <n v="80.243200000000002"/>
  </r>
  <r>
    <n v="418"/>
    <x v="417"/>
    <n v="28"/>
    <n v="25"/>
    <x v="13"/>
    <n v="3"/>
    <d v="1899-12-30T00:01:00"/>
    <n v="25"/>
    <n v="1"/>
    <n v="60"/>
    <d v="1899-12-30T00:02:47"/>
    <n v="69.583333333333329"/>
    <n v="2.7833333333333332"/>
    <n v="167"/>
    <n v="8"/>
    <n v="0.32140000000000002"/>
    <n v="8.0350000000000001"/>
  </r>
  <r>
    <n v="419"/>
    <x v="418"/>
    <n v="141"/>
    <n v="133"/>
    <x v="0"/>
    <n v="8"/>
    <d v="1899-12-30T00:00:33"/>
    <n v="73.150000000000006"/>
    <n v="0.55000000000000004"/>
    <n v="33"/>
    <d v="1899-12-30T00:02:42"/>
    <n v="359.1"/>
    <n v="2.7"/>
    <n v="162"/>
    <n v="84"/>
    <n v="0.6331"/>
    <n v="84.202299999999994"/>
  </r>
  <r>
    <n v="420"/>
    <x v="419"/>
    <n v="130"/>
    <n v="123"/>
    <x v="0"/>
    <n v="7"/>
    <d v="1899-12-30T00:00:32"/>
    <n v="65.599999999999994"/>
    <n v="0.53333333333333333"/>
    <n v="32"/>
    <d v="1899-12-30T00:02:40"/>
    <n v="328"/>
    <n v="2.6666666666666665"/>
    <n v="160"/>
    <n v="65"/>
    <n v="0.53490000000000004"/>
    <n v="65.792700000000011"/>
  </r>
  <r>
    <n v="421"/>
    <x v="420"/>
    <n v="161"/>
    <n v="155"/>
    <x v="4"/>
    <n v="6"/>
    <d v="1899-12-30T00:00:27"/>
    <n v="69.75"/>
    <n v="0.45"/>
    <n v="27"/>
    <d v="1899-12-30T00:02:43"/>
    <n v="421.08333333333337"/>
    <n v="2.7166666666666668"/>
    <n v="163"/>
    <n v="114"/>
    <n v="0.73580000000000001"/>
    <n v="114.04900000000001"/>
  </r>
  <r>
    <n v="422"/>
    <x v="421"/>
    <n v="139"/>
    <n v="132"/>
    <x v="0"/>
    <n v="7"/>
    <d v="1899-12-30T00:00:28"/>
    <n v="61.6"/>
    <n v="0.46666666666666667"/>
    <n v="28"/>
    <d v="1899-12-30T00:02:40"/>
    <n v="352"/>
    <n v="2.6666666666666665"/>
    <n v="160"/>
    <n v="83"/>
    <n v="0.6331"/>
    <n v="83.569199999999995"/>
  </r>
  <r>
    <n v="423"/>
    <x v="422"/>
    <n v="167"/>
    <n v="130"/>
    <x v="22"/>
    <n v="37"/>
    <d v="1899-12-30T00:00:29"/>
    <n v="62.833333333333336"/>
    <n v="0.48333333333333334"/>
    <n v="29"/>
    <d v="1899-12-30T00:02:34"/>
    <n v="333.66666666666663"/>
    <n v="2.5666666666666664"/>
    <n v="154"/>
    <n v="70"/>
    <n v="0.54600000000000004"/>
    <n v="70.98"/>
  </r>
  <r>
    <n v="424"/>
    <x v="423"/>
    <n v="138"/>
    <n v="122"/>
    <x v="8"/>
    <n v="16"/>
    <d v="1899-12-30T00:00:35"/>
    <n v="71.166666666666671"/>
    <n v="0.58333333333333337"/>
    <n v="35"/>
    <d v="1899-12-30T00:02:49"/>
    <n v="343.63333333333333"/>
    <n v="2.8166666666666664"/>
    <n v="169"/>
    <n v="70"/>
    <n v="0.57779999999999998"/>
    <n v="70.491599999999991"/>
  </r>
  <r>
    <n v="425"/>
    <x v="424"/>
    <n v="47"/>
    <n v="44"/>
    <x v="2"/>
    <n v="3"/>
    <d v="1899-12-30T00:00:26"/>
    <n v="19.066666666666666"/>
    <n v="0.43333333333333335"/>
    <n v="26"/>
    <d v="1899-12-30T00:03:11"/>
    <n v="140.06666666666666"/>
    <n v="3.1833333333333331"/>
    <n v="191"/>
    <n v="27"/>
    <n v="0.63039999999999996"/>
    <n v="27.737599999999997"/>
  </r>
  <r>
    <n v="426"/>
    <x v="425"/>
    <n v="230"/>
    <n v="206"/>
    <x v="13"/>
    <n v="24"/>
    <d v="1899-12-30T00:00:38"/>
    <n v="130.46666666666667"/>
    <n v="0.6333333333333333"/>
    <n v="38"/>
    <d v="1899-12-30T00:02:34"/>
    <n v="528.73333333333323"/>
    <n v="2.5666666666666664"/>
    <n v="154"/>
    <n v="96"/>
    <n v="0.4672"/>
    <n v="96.243200000000002"/>
  </r>
  <r>
    <n v="427"/>
    <x v="426"/>
    <n v="177"/>
    <n v="153"/>
    <x v="11"/>
    <n v="24"/>
    <d v="1899-12-30T00:00:30"/>
    <n v="76.5"/>
    <n v="0.5"/>
    <n v="30"/>
    <d v="1899-12-30T00:02:53"/>
    <n v="441.15"/>
    <n v="2.8833333333333333"/>
    <n v="173"/>
    <n v="84"/>
    <n v="0.55489999999999995"/>
    <n v="84.899699999999996"/>
  </r>
  <r>
    <n v="428"/>
    <x v="427"/>
    <n v="159"/>
    <n v="149"/>
    <x v="2"/>
    <n v="10"/>
    <d v="1899-12-30T00:00:33"/>
    <n v="81.95"/>
    <n v="0.55000000000000004"/>
    <n v="33"/>
    <d v="1899-12-30T00:02:40"/>
    <n v="397.33333333333331"/>
    <n v="2.6666666666666665"/>
    <n v="160"/>
    <n v="90"/>
    <n v="0.61040000000000005"/>
    <n v="90.949600000000004"/>
  </r>
  <r>
    <n v="429"/>
    <x v="428"/>
    <n v="151"/>
    <n v="135"/>
    <x v="13"/>
    <n v="16"/>
    <d v="1899-12-30T00:00:36"/>
    <n v="81"/>
    <n v="0.6"/>
    <n v="36"/>
    <d v="1899-12-30T00:02:32"/>
    <n v="342"/>
    <n v="2.5333333333333332"/>
    <n v="152"/>
    <n v="71"/>
    <n v="0.52739999999999998"/>
    <n v="71.198999999999998"/>
  </r>
  <r>
    <n v="430"/>
    <x v="429"/>
    <n v="138"/>
    <n v="126"/>
    <x v="1"/>
    <n v="12"/>
    <d v="1899-12-30T00:00:34"/>
    <n v="71.399999999999991"/>
    <n v="0.56666666666666665"/>
    <n v="34"/>
    <d v="1899-12-30T00:02:17"/>
    <n v="287.7"/>
    <n v="2.2833333333333332"/>
    <n v="137"/>
    <n v="75"/>
    <n v="0.59699999999999998"/>
    <n v="75.221999999999994"/>
  </r>
  <r>
    <n v="431"/>
    <x v="430"/>
    <n v="118"/>
    <n v="118"/>
    <x v="3"/>
    <n v="0"/>
    <d v="1899-12-30T00:00:26"/>
    <n v="51.133333333333333"/>
    <n v="0.43333333333333335"/>
    <n v="26"/>
    <d v="1899-12-30T00:02:33"/>
    <n v="300.89999999999998"/>
    <n v="2.5499999999999998"/>
    <n v="153"/>
    <n v="77"/>
    <n v="0.66100000000000003"/>
    <n v="77.998000000000005"/>
  </r>
  <r>
    <n v="432"/>
    <x v="431"/>
    <n v="22"/>
    <n v="21"/>
    <x v="10"/>
    <n v="1"/>
    <d v="1899-12-30T00:00:42"/>
    <n v="14.7"/>
    <n v="0.7"/>
    <n v="42"/>
    <d v="1899-12-30T00:02:24"/>
    <n v="50.4"/>
    <n v="2.4"/>
    <n v="144"/>
    <n v="10"/>
    <n v="0.52380000000000004"/>
    <n v="10.9998"/>
  </r>
  <r>
    <n v="433"/>
    <x v="432"/>
    <n v="177"/>
    <n v="156"/>
    <x v="8"/>
    <n v="21"/>
    <d v="1899-12-30T00:00:42"/>
    <n v="109.19999999999999"/>
    <n v="0.7"/>
    <n v="42"/>
    <d v="1899-12-30T00:02:39"/>
    <n v="413.4"/>
    <n v="2.65"/>
    <n v="159"/>
    <n v="66"/>
    <n v="0.42370000000000002"/>
    <n v="66.097200000000001"/>
  </r>
  <r>
    <n v="434"/>
    <x v="433"/>
    <n v="156"/>
    <n v="147"/>
    <x v="0"/>
    <n v="9"/>
    <d v="1899-12-30T00:00:29"/>
    <n v="71.05"/>
    <n v="0.48333333333333334"/>
    <n v="29"/>
    <d v="1899-12-30T00:02:31"/>
    <n v="369.95"/>
    <n v="2.5166666666666666"/>
    <n v="151"/>
    <n v="93"/>
    <n v="0.63639999999999997"/>
    <n v="93.550799999999995"/>
  </r>
  <r>
    <n v="435"/>
    <x v="434"/>
    <n v="123"/>
    <n v="121"/>
    <x v="5"/>
    <n v="2"/>
    <d v="1899-12-30T00:00:26"/>
    <n v="52.433333333333337"/>
    <n v="0.43333333333333335"/>
    <n v="26"/>
    <d v="1899-12-30T00:02:28"/>
    <n v="298.4666666666667"/>
    <n v="2.4666666666666668"/>
    <n v="148"/>
    <n v="77"/>
    <n v="0.64229999999999998"/>
    <n v="77.718299999999999"/>
  </r>
  <r>
    <n v="436"/>
    <x v="435"/>
    <n v="130"/>
    <n v="125"/>
    <x v="4"/>
    <n v="5"/>
    <d v="1899-12-30T00:00:26"/>
    <n v="54.166666666666671"/>
    <n v="0.43333333333333335"/>
    <n v="26"/>
    <d v="1899-12-30T00:02:29"/>
    <n v="310.41666666666669"/>
    <n v="2.4833333333333334"/>
    <n v="149"/>
    <n v="83"/>
    <n v="0.66930000000000001"/>
    <n v="83.662499999999994"/>
  </r>
  <r>
    <n v="437"/>
    <x v="436"/>
    <n v="141"/>
    <n v="134"/>
    <x v="10"/>
    <n v="7"/>
    <d v="1899-12-30T00:00:39"/>
    <n v="87.100000000000009"/>
    <n v="0.65"/>
    <n v="39"/>
    <d v="1899-12-30T00:02:33"/>
    <n v="341.7"/>
    <n v="2.5499999999999998"/>
    <n v="153"/>
    <n v="75"/>
    <n v="0.56430000000000002"/>
    <n v="75.616200000000006"/>
  </r>
  <r>
    <n v="438"/>
    <x v="437"/>
    <n v="121"/>
    <n v="113"/>
    <x v="2"/>
    <n v="8"/>
    <d v="1899-12-30T00:00:38"/>
    <n v="71.566666666666663"/>
    <n v="0.6333333333333333"/>
    <n v="38"/>
    <d v="1899-12-30T00:02:38"/>
    <n v="297.56666666666666"/>
    <n v="2.6333333333333333"/>
    <n v="158"/>
    <n v="57"/>
    <n v="0.50829999999999997"/>
    <n v="57.437899999999999"/>
  </r>
  <r>
    <n v="439"/>
    <x v="438"/>
    <n v="35"/>
    <n v="31"/>
    <x v="8"/>
    <n v="4"/>
    <d v="1899-12-30T00:00:34"/>
    <n v="17.566666666666666"/>
    <n v="0.56666666666666665"/>
    <n v="34"/>
    <d v="1899-12-30T00:02:05"/>
    <n v="64.583333333333343"/>
    <n v="2.0833333333333335"/>
    <n v="125.00000000000001"/>
    <n v="14"/>
    <n v="0.47060000000000002"/>
    <n v="14.588600000000001"/>
  </r>
  <r>
    <n v="440"/>
    <x v="439"/>
    <n v="240"/>
    <n v="226"/>
    <x v="0"/>
    <n v="14"/>
    <d v="1899-12-30T00:00:36"/>
    <n v="135.6"/>
    <n v="0.6"/>
    <n v="36"/>
    <d v="1899-12-30T00:02:15"/>
    <n v="508.5"/>
    <n v="2.25"/>
    <n v="135"/>
    <n v="128"/>
    <n v="0.57020000000000004"/>
    <n v="128.86520000000002"/>
  </r>
  <r>
    <n v="441"/>
    <x v="440"/>
    <n v="130"/>
    <n v="118"/>
    <x v="9"/>
    <n v="12"/>
    <d v="1899-12-30T00:00:32"/>
    <n v="62.93333333333333"/>
    <n v="0.53333333333333333"/>
    <n v="32"/>
    <d v="1899-12-30T00:02:23"/>
    <n v="281.23333333333335"/>
    <n v="2.3833333333333333"/>
    <n v="143"/>
    <n v="68"/>
    <n v="0.57809999999999995"/>
    <n v="68.215799999999987"/>
  </r>
  <r>
    <n v="442"/>
    <x v="441"/>
    <n v="140"/>
    <n v="130"/>
    <x v="6"/>
    <n v="10"/>
    <d v="1899-12-30T00:00:29"/>
    <n v="62.833333333333336"/>
    <n v="0.48333333333333334"/>
    <n v="29"/>
    <d v="1899-12-30T00:02:31"/>
    <n v="327.16666666666669"/>
    <n v="2.5166666666666666"/>
    <n v="151"/>
    <n v="81"/>
    <n v="0.62319999999999998"/>
    <n v="81.015999999999991"/>
  </r>
  <r>
    <n v="443"/>
    <x v="442"/>
    <n v="131"/>
    <n v="111"/>
    <x v="16"/>
    <n v="20"/>
    <d v="1899-12-30T00:00:38"/>
    <n v="70.3"/>
    <n v="0.6333333333333333"/>
    <n v="38"/>
    <d v="1899-12-30T00:03:16"/>
    <n v="362.59999999999997"/>
    <n v="3.2666666666666666"/>
    <n v="196"/>
    <n v="66"/>
    <n v="0.59689999999999999"/>
    <n v="66.255899999999997"/>
  </r>
  <r>
    <n v="444"/>
    <x v="443"/>
    <n v="74"/>
    <n v="74"/>
    <x v="3"/>
    <n v="0"/>
    <d v="1899-12-30T00:00:13"/>
    <n v="16.033333333333335"/>
    <n v="0.21666666666666667"/>
    <n v="13"/>
    <d v="1899-12-30T00:02:55"/>
    <n v="215.83333333333331"/>
    <n v="2.9166666666666665"/>
    <n v="175"/>
    <n v="66"/>
    <n v="0.89190000000000003"/>
    <n v="66.000600000000006"/>
  </r>
  <r>
    <n v="445"/>
    <x v="444"/>
    <n v="24"/>
    <n v="24"/>
    <x v="3"/>
    <n v="0"/>
    <d v="1899-12-30T00:00:12"/>
    <n v="4.8000000000000007"/>
    <n v="0.2"/>
    <n v="12"/>
    <d v="1899-12-30T00:02:47"/>
    <n v="66.8"/>
    <n v="2.7833333333333332"/>
    <n v="167"/>
    <n v="19"/>
    <n v="0.83330000000000004"/>
    <n v="19.999200000000002"/>
  </r>
  <r>
    <n v="446"/>
    <x v="445"/>
    <n v="11"/>
    <n v="10"/>
    <x v="9"/>
    <n v="1"/>
    <d v="1899-12-30T00:00:13"/>
    <n v="2.166666666666667"/>
    <n v="0.21666666666666667"/>
    <n v="13"/>
    <d v="1899-12-30T00:02:24"/>
    <n v="24"/>
    <n v="2.4"/>
    <n v="144"/>
    <n v="8"/>
    <n v="0.81820000000000004"/>
    <n v="8.1820000000000004"/>
  </r>
  <r>
    <n v="447"/>
    <x v="446"/>
    <n v="28"/>
    <n v="26"/>
    <x v="6"/>
    <n v="2"/>
    <d v="1899-12-30T00:00:10"/>
    <n v="4.333333333333333"/>
    <n v="0.16666666666666666"/>
    <n v="10"/>
    <d v="1899-12-30T00:02:30"/>
    <n v="65"/>
    <n v="2.5"/>
    <n v="150"/>
    <n v="21"/>
    <n v="0.81479999999999997"/>
    <n v="21.184799999999999"/>
  </r>
  <r>
    <n v="448"/>
    <x v="447"/>
    <n v="43"/>
    <n v="43"/>
    <x v="3"/>
    <n v="0"/>
    <d v="1899-12-30T00:00:08"/>
    <n v="5.7333333333333334"/>
    <n v="0.13333333333333333"/>
    <n v="8"/>
    <d v="1899-12-30T00:02:23"/>
    <n v="102.48333333333333"/>
    <n v="2.3833333333333333"/>
    <n v="143"/>
    <n v="37"/>
    <n v="0.88370000000000004"/>
    <n v="37.999099999999999"/>
  </r>
  <r>
    <n v="449"/>
    <x v="448"/>
    <n v="62"/>
    <n v="62"/>
    <x v="3"/>
    <n v="0"/>
    <d v="1899-12-30T00:00:17"/>
    <n v="17.566666666666666"/>
    <n v="0.28333333333333333"/>
    <n v="17"/>
    <d v="1899-12-30T00:02:12"/>
    <n v="136.4"/>
    <n v="2.2000000000000002"/>
    <n v="132"/>
    <n v="51"/>
    <n v="0.8226"/>
    <n v="51.001199999999997"/>
  </r>
  <r>
    <n v="450"/>
    <x v="449"/>
    <n v="70"/>
    <n v="69"/>
    <x v="5"/>
    <n v="1"/>
    <d v="1899-12-30T00:00:22"/>
    <n v="25.299999999999997"/>
    <n v="0.36666666666666664"/>
    <n v="22"/>
    <d v="1899-12-30T00:02:06"/>
    <n v="144.9"/>
    <n v="2.1"/>
    <n v="126"/>
    <n v="56"/>
    <n v="0.81430000000000002"/>
    <n v="56.186700000000002"/>
  </r>
  <r>
    <n v="451"/>
    <x v="450"/>
    <n v="107"/>
    <n v="97"/>
    <x v="9"/>
    <n v="10"/>
    <d v="1899-12-30T00:00:21"/>
    <n v="33.949999999999996"/>
    <n v="0.35"/>
    <n v="21"/>
    <d v="1899-12-30T00:02:26"/>
    <n v="236.03333333333336"/>
    <n v="2.4333333333333336"/>
    <n v="146"/>
    <n v="66"/>
    <n v="0.68869999999999998"/>
    <n v="66.803899999999999"/>
  </r>
  <r>
    <n v="452"/>
    <x v="451"/>
    <n v="91"/>
    <n v="85"/>
    <x v="2"/>
    <n v="6"/>
    <d v="1899-12-30T00:00:30"/>
    <n v="42.5"/>
    <n v="0.5"/>
    <n v="30"/>
    <d v="1899-12-30T00:02:27"/>
    <n v="208.25000000000003"/>
    <n v="2.4500000000000002"/>
    <n v="147"/>
    <n v="53"/>
    <n v="0.62639999999999996"/>
    <n v="53.244"/>
  </r>
  <r>
    <n v="453"/>
    <x v="452"/>
    <n v="25"/>
    <n v="25"/>
    <x v="3"/>
    <n v="0"/>
    <d v="1899-12-30T00:00:11"/>
    <n v="4.583333333333333"/>
    <n v="0.18333333333333332"/>
    <n v="11"/>
    <d v="1899-12-30T00:02:40"/>
    <n v="66.666666666666657"/>
    <n v="2.6666666666666665"/>
    <n v="160"/>
    <n v="21"/>
    <n v="0.84"/>
    <n v="21"/>
  </r>
  <r>
    <n v="454"/>
    <x v="453"/>
    <n v="85"/>
    <n v="79"/>
    <x v="6"/>
    <n v="6"/>
    <d v="1899-12-30T00:00:24"/>
    <n v="31.6"/>
    <n v="0.4"/>
    <n v="24"/>
    <d v="1899-12-30T00:02:31"/>
    <n v="198.81666666666666"/>
    <n v="2.5166666666666666"/>
    <n v="151"/>
    <n v="57"/>
    <n v="0.72289999999999999"/>
    <n v="57.109099999999998"/>
  </r>
  <r>
    <n v="455"/>
    <x v="454"/>
    <n v="91"/>
    <n v="83"/>
    <x v="1"/>
    <n v="8"/>
    <d v="1899-12-30T00:00:26"/>
    <n v="35.966666666666669"/>
    <n v="0.43333333333333335"/>
    <n v="26"/>
    <d v="1899-12-30T00:02:37"/>
    <n v="217.18333333333334"/>
    <n v="2.6166666666666667"/>
    <n v="157"/>
    <n v="51"/>
    <n v="0.62639999999999996"/>
    <n v="51.991199999999999"/>
  </r>
  <r>
    <n v="456"/>
    <x v="455"/>
    <n v="48"/>
    <n v="46"/>
    <x v="10"/>
    <n v="2"/>
    <d v="1899-12-30T00:00:11"/>
    <n v="8.4333333333333336"/>
    <n v="0.18333333333333332"/>
    <n v="11"/>
    <d v="1899-12-30T00:02:13"/>
    <n v="101.96666666666667"/>
    <n v="2.2166666666666668"/>
    <n v="133"/>
    <n v="38"/>
    <n v="0.82979999999999998"/>
    <n v="38.1708"/>
  </r>
  <r>
    <n v="457"/>
    <x v="456"/>
    <n v="14"/>
    <n v="11"/>
    <x v="23"/>
    <n v="3"/>
    <d v="1899-12-30T00:00:18"/>
    <n v="3.3"/>
    <n v="0.3"/>
    <n v="18"/>
    <d v="1899-12-30T00:02:27"/>
    <n v="26.950000000000003"/>
    <n v="2.4500000000000002"/>
    <n v="147"/>
    <n v="6"/>
    <n v="0.61539999999999995"/>
    <n v="6.7693999999999992"/>
  </r>
  <r>
    <n v="458"/>
    <x v="457"/>
    <n v="43"/>
    <n v="42"/>
    <x v="7"/>
    <n v="1"/>
    <d v="1899-12-30T00:00:22"/>
    <n v="15.399999999999999"/>
    <n v="0.36666666666666664"/>
    <n v="22"/>
    <d v="1899-12-30T00:02:47"/>
    <n v="116.89999999999999"/>
    <n v="2.7833333333333332"/>
    <n v="167"/>
    <n v="31"/>
    <n v="0.73809999999999998"/>
    <n v="31.0002"/>
  </r>
  <r>
    <n v="459"/>
    <x v="458"/>
    <n v="74"/>
    <n v="69"/>
    <x v="2"/>
    <n v="5"/>
    <d v="1899-12-30T00:00:23"/>
    <n v="26.450000000000003"/>
    <n v="0.38333333333333336"/>
    <n v="23"/>
    <d v="1899-12-30T00:02:31"/>
    <n v="173.65"/>
    <n v="2.5166666666666666"/>
    <n v="151"/>
    <n v="52"/>
    <n v="0.7671"/>
    <n v="52.929900000000004"/>
  </r>
  <r>
    <n v="460"/>
    <x v="459"/>
    <n v="33"/>
    <n v="33"/>
    <x v="3"/>
    <n v="0"/>
    <d v="1899-12-30T00:00:14"/>
    <n v="7.7"/>
    <n v="0.23333333333333334"/>
    <n v="14"/>
    <d v="1899-12-30T00:02:25"/>
    <n v="79.75"/>
    <n v="2.4166666666666665"/>
    <n v="145"/>
    <n v="27"/>
    <n v="0.81820000000000004"/>
    <n v="27.000600000000002"/>
  </r>
  <r>
    <n v="461"/>
    <x v="460"/>
    <n v="124"/>
    <n v="112"/>
    <x v="9"/>
    <n v="12"/>
    <d v="1899-12-30T00:00:26"/>
    <n v="48.533333333333331"/>
    <n v="0.43333333333333335"/>
    <n v="26"/>
    <d v="1899-12-30T00:02:36"/>
    <n v="291.2"/>
    <n v="2.6"/>
    <n v="156"/>
    <n v="72"/>
    <n v="0.64749999999999996"/>
    <n v="72.52"/>
  </r>
  <r>
    <n v="462"/>
    <x v="461"/>
    <n v="130"/>
    <n v="126"/>
    <x v="4"/>
    <n v="4"/>
    <d v="1899-12-30T00:00:25"/>
    <n v="52.5"/>
    <n v="0.41666666666666669"/>
    <n v="25"/>
    <d v="1899-12-30T00:02:30"/>
    <n v="315"/>
    <n v="2.5"/>
    <n v="150"/>
    <n v="83"/>
    <n v="0.65890000000000004"/>
    <n v="83.0214"/>
  </r>
  <r>
    <n v="463"/>
    <x v="462"/>
    <n v="139"/>
    <n v="139"/>
    <x v="3"/>
    <n v="0"/>
    <d v="1899-12-30T00:00:18"/>
    <n v="41.699999999999996"/>
    <n v="0.3"/>
    <n v="18"/>
    <d v="1899-12-30T00:02:40"/>
    <n v="370.66666666666663"/>
    <n v="2.6666666666666665"/>
    <n v="160"/>
    <n v="107"/>
    <n v="0.77539999999999998"/>
    <n v="107.78059999999999"/>
  </r>
  <r>
    <n v="464"/>
    <x v="463"/>
    <n v="138"/>
    <n v="130"/>
    <x v="0"/>
    <n v="8"/>
    <d v="1899-12-30T00:00:26"/>
    <n v="56.333333333333336"/>
    <n v="0.43333333333333335"/>
    <n v="26"/>
    <d v="1899-12-30T00:02:27"/>
    <n v="318.5"/>
    <n v="2.4500000000000002"/>
    <n v="147"/>
    <n v="79"/>
    <n v="0.61480000000000001"/>
    <n v="79.924000000000007"/>
  </r>
  <r>
    <n v="465"/>
    <x v="464"/>
    <n v="125"/>
    <n v="119"/>
    <x v="10"/>
    <n v="6"/>
    <d v="1899-12-30T00:00:22"/>
    <n v="43.633333333333333"/>
    <n v="0.36666666666666664"/>
    <n v="22"/>
    <d v="1899-12-30T00:02:29"/>
    <n v="295.51666666666665"/>
    <n v="2.4833333333333334"/>
    <n v="149"/>
    <n v="80"/>
    <n v="0.68"/>
    <n v="80.92"/>
  </r>
  <r>
    <n v="466"/>
    <x v="465"/>
    <n v="98"/>
    <n v="96"/>
    <x v="7"/>
    <n v="2"/>
    <d v="1899-12-30T00:00:20"/>
    <n v="32"/>
    <n v="0.33333333333333331"/>
    <n v="20"/>
    <d v="1899-12-30T00:02:36"/>
    <n v="249.60000000000002"/>
    <n v="2.6"/>
    <n v="156"/>
    <n v="74"/>
    <n v="0.7732"/>
    <n v="74.227199999999996"/>
  </r>
  <r>
    <n v="467"/>
    <x v="466"/>
    <n v="12"/>
    <n v="12"/>
    <x v="3"/>
    <n v="0"/>
    <d v="1899-12-30T00:00:18"/>
    <n v="3.5999999999999996"/>
    <n v="0.3"/>
    <n v="18"/>
    <d v="1899-12-30T00:03:07"/>
    <n v="37.4"/>
    <n v="3.1166666666666667"/>
    <n v="187"/>
    <n v="9"/>
    <n v="0.83330000000000004"/>
    <n v="9.9996000000000009"/>
  </r>
  <r>
    <n v="468"/>
    <x v="467"/>
    <n v="119"/>
    <n v="117"/>
    <x v="5"/>
    <n v="2"/>
    <d v="1899-12-30T00:00:18"/>
    <n v="35.1"/>
    <n v="0.3"/>
    <n v="18"/>
    <d v="1899-12-30T00:02:39"/>
    <n v="310.05"/>
    <n v="2.65"/>
    <n v="159"/>
    <n v="91"/>
    <n v="0.78149999999999997"/>
    <n v="91.43549999999999"/>
  </r>
  <r>
    <n v="469"/>
    <x v="468"/>
    <n v="100"/>
    <n v="96"/>
    <x v="4"/>
    <n v="4"/>
    <d v="1899-12-30T00:00:21"/>
    <n v="33.599999999999994"/>
    <n v="0.35"/>
    <n v="21"/>
    <d v="1899-12-30T00:02:37"/>
    <n v="251.2"/>
    <n v="2.6166666666666667"/>
    <n v="157"/>
    <n v="72"/>
    <n v="0.76"/>
    <n v="72.960000000000008"/>
  </r>
  <r>
    <n v="470"/>
    <x v="469"/>
    <n v="146"/>
    <n v="133"/>
    <x v="1"/>
    <n v="13"/>
    <d v="1899-12-30T00:00:31"/>
    <n v="68.716666666666669"/>
    <n v="0.51666666666666672"/>
    <n v="31.000000000000004"/>
    <d v="1899-12-30T00:02:30"/>
    <n v="332.5"/>
    <n v="2.5"/>
    <n v="150"/>
    <n v="76"/>
    <n v="0.57750000000000001"/>
    <n v="76.807500000000005"/>
  </r>
  <r>
    <n v="471"/>
    <x v="470"/>
    <n v="131"/>
    <n v="127"/>
    <x v="4"/>
    <n v="4"/>
    <d v="1899-12-30T00:00:22"/>
    <n v="46.566666666666663"/>
    <n v="0.36666666666666664"/>
    <n v="22"/>
    <d v="1899-12-30T00:02:25"/>
    <n v="306.91666666666663"/>
    <n v="2.4166666666666665"/>
    <n v="145"/>
    <n v="92"/>
    <n v="0.72660000000000002"/>
    <n v="92.278199999999998"/>
  </r>
  <r>
    <n v="472"/>
    <x v="471"/>
    <n v="107"/>
    <n v="104"/>
    <x v="7"/>
    <n v="3"/>
    <d v="1899-12-30T00:00:08"/>
    <n v="13.866666666666667"/>
    <n v="0.13333333333333333"/>
    <n v="8"/>
    <d v="1899-12-30T00:02:27"/>
    <n v="254.8"/>
    <n v="2.4500000000000002"/>
    <n v="147"/>
    <n v="96"/>
    <n v="0.92449999999999999"/>
    <n v="96.147999999999996"/>
  </r>
  <r>
    <n v="473"/>
    <x v="472"/>
    <n v="112"/>
    <n v="105"/>
    <x v="2"/>
    <n v="7"/>
    <d v="1899-12-30T00:00:24"/>
    <n v="42"/>
    <n v="0.4"/>
    <n v="24"/>
    <d v="1899-12-30T00:02:38"/>
    <n v="276.5"/>
    <n v="2.6333333333333333"/>
    <n v="158"/>
    <n v="70"/>
    <n v="0.67269999999999996"/>
    <n v="70.633499999999998"/>
  </r>
  <r>
    <n v="474"/>
    <x v="473"/>
    <n v="21"/>
    <n v="21"/>
    <x v="3"/>
    <n v="0"/>
    <d v="1899-12-30T00:00:32"/>
    <n v="11.2"/>
    <n v="0.53333333333333333"/>
    <n v="32"/>
    <d v="1899-12-30T00:02:31"/>
    <n v="52.85"/>
    <n v="2.5166666666666666"/>
    <n v="151"/>
    <n v="10"/>
    <n v="0.52380000000000004"/>
    <n v="10.9998"/>
  </r>
  <r>
    <n v="475"/>
    <x v="474"/>
    <n v="125"/>
    <n v="104"/>
    <x v="19"/>
    <n v="21"/>
    <d v="1899-12-30T00:00:37"/>
    <n v="64.13333333333334"/>
    <n v="0.6166666666666667"/>
    <n v="37"/>
    <d v="1899-12-30T00:02:44"/>
    <n v="284.26666666666665"/>
    <n v="2.7333333333333334"/>
    <n v="164"/>
    <n v="46"/>
    <n v="0.44629999999999997"/>
    <n v="46.415199999999999"/>
  </r>
  <r>
    <n v="476"/>
    <x v="475"/>
    <n v="35"/>
    <n v="34"/>
    <x v="7"/>
    <n v="1"/>
    <d v="1899-12-30T00:00:24"/>
    <n v="13.600000000000001"/>
    <n v="0.4"/>
    <n v="24"/>
    <d v="1899-12-30T00:02:12"/>
    <n v="74.800000000000011"/>
    <n v="2.2000000000000002"/>
    <n v="132"/>
    <n v="25"/>
    <n v="0.7429"/>
    <n v="25.258600000000001"/>
  </r>
  <r>
    <n v="477"/>
    <x v="476"/>
    <n v="121"/>
    <n v="109"/>
    <x v="9"/>
    <n v="12"/>
    <d v="1899-12-30T00:00:38"/>
    <n v="69.033333333333331"/>
    <n v="0.6333333333333333"/>
    <n v="38"/>
    <d v="1899-12-30T00:02:32"/>
    <n v="276.13333333333333"/>
    <n v="2.5333333333333332"/>
    <n v="152"/>
    <n v="58"/>
    <n v="0.53779999999999994"/>
    <n v="58.620199999999997"/>
  </r>
  <r>
    <n v="478"/>
    <x v="477"/>
    <n v="135"/>
    <n v="122"/>
    <x v="9"/>
    <n v="13"/>
    <d v="1899-12-30T00:00:32"/>
    <n v="65.066666666666663"/>
    <n v="0.53333333333333333"/>
    <n v="32"/>
    <d v="1899-12-30T00:02:34"/>
    <n v="313.13333333333333"/>
    <n v="2.5666666666666664"/>
    <n v="154"/>
    <n v="70"/>
    <n v="0.57579999999999998"/>
    <n v="70.247599999999991"/>
  </r>
  <r>
    <n v="479"/>
    <x v="478"/>
    <n v="117"/>
    <n v="114"/>
    <x v="7"/>
    <n v="3"/>
    <d v="1899-12-30T00:00:22"/>
    <n v="41.8"/>
    <n v="0.36666666666666664"/>
    <n v="22"/>
    <d v="1899-12-30T00:02:38"/>
    <n v="300.2"/>
    <n v="2.6333333333333333"/>
    <n v="158"/>
    <n v="86"/>
    <n v="0.75860000000000005"/>
    <n v="86.480400000000003"/>
  </r>
  <r>
    <n v="480"/>
    <x v="479"/>
    <n v="114"/>
    <n v="97"/>
    <x v="18"/>
    <n v="17"/>
    <d v="1899-12-30T00:00:39"/>
    <n v="63.050000000000004"/>
    <n v="0.65"/>
    <n v="39"/>
    <d v="1899-12-30T00:02:50"/>
    <n v="274.83333333333337"/>
    <n v="2.8333333333333335"/>
    <n v="170"/>
    <n v="43"/>
    <n v="0.45129999999999998"/>
    <n v="43.7761"/>
  </r>
  <r>
    <n v="481"/>
    <x v="480"/>
    <n v="50"/>
    <n v="49"/>
    <x v="5"/>
    <n v="1"/>
    <d v="1899-12-30T00:00:35"/>
    <n v="28.583333333333336"/>
    <n v="0.58333333333333337"/>
    <n v="35"/>
    <d v="1899-12-30T00:02:55"/>
    <n v="142.91666666666666"/>
    <n v="2.9166666666666665"/>
    <n v="175"/>
    <n v="25"/>
    <n v="0.52"/>
    <n v="25.48"/>
  </r>
  <r>
    <n v="482"/>
    <x v="481"/>
    <n v="207"/>
    <n v="198"/>
    <x v="10"/>
    <n v="9"/>
    <d v="1899-12-30T00:00:16"/>
    <n v="52.8"/>
    <n v="0.26666666666666666"/>
    <n v="16"/>
    <d v="1899-12-30T00:02:43"/>
    <n v="537.9"/>
    <n v="2.7166666666666668"/>
    <n v="163"/>
    <n v="159"/>
    <n v="0.80489999999999995"/>
    <n v="159.37019999999998"/>
  </r>
  <r>
    <n v="483"/>
    <x v="482"/>
    <n v="189"/>
    <n v="183"/>
    <x v="4"/>
    <n v="6"/>
    <d v="1899-12-30T00:00:21"/>
    <n v="64.05"/>
    <n v="0.35"/>
    <n v="21"/>
    <d v="1899-12-30T00:02:31"/>
    <n v="460.55"/>
    <n v="2.5166666666666666"/>
    <n v="151"/>
    <n v="135"/>
    <n v="0.7419"/>
    <n v="135.76769999999999"/>
  </r>
  <r>
    <n v="484"/>
    <x v="483"/>
    <n v="162"/>
    <n v="156"/>
    <x v="4"/>
    <n v="6"/>
    <d v="1899-12-30T00:00:24"/>
    <n v="62.400000000000006"/>
    <n v="0.4"/>
    <n v="24"/>
    <d v="1899-12-30T00:02:22"/>
    <n v="369.2"/>
    <n v="2.3666666666666667"/>
    <n v="142"/>
    <n v="103"/>
    <n v="0.66459999999999997"/>
    <n v="103.6776"/>
  </r>
  <r>
    <n v="485"/>
    <x v="484"/>
    <n v="177"/>
    <n v="165"/>
    <x v="2"/>
    <n v="12"/>
    <d v="1899-12-30T00:00:26"/>
    <n v="71.5"/>
    <n v="0.43333333333333335"/>
    <n v="26"/>
    <d v="1899-12-30T00:02:31"/>
    <n v="415.25"/>
    <n v="2.5166666666666666"/>
    <n v="151"/>
    <n v="109"/>
    <n v="0.66469999999999996"/>
    <n v="109.6755"/>
  </r>
  <r>
    <n v="486"/>
    <x v="485"/>
    <n v="177"/>
    <n v="167"/>
    <x v="0"/>
    <n v="10"/>
    <d v="1899-12-30T00:00:23"/>
    <n v="64.016666666666666"/>
    <n v="0.38333333333333336"/>
    <n v="23"/>
    <d v="1899-12-30T00:02:35"/>
    <n v="431.41666666666669"/>
    <n v="2.5833333333333335"/>
    <n v="155"/>
    <n v="115"/>
    <n v="0.68969999999999998"/>
    <n v="115.1799"/>
  </r>
  <r>
    <n v="487"/>
    <x v="486"/>
    <n v="163"/>
    <n v="134"/>
    <x v="21"/>
    <n v="29"/>
    <d v="1899-12-30T00:00:38"/>
    <n v="84.86666666666666"/>
    <n v="0.6333333333333333"/>
    <n v="38"/>
    <d v="1899-12-30T00:02:42"/>
    <n v="361.8"/>
    <n v="2.7"/>
    <n v="162"/>
    <n v="63"/>
    <n v="0.47199999999999998"/>
    <n v="63.247999999999998"/>
  </r>
  <r>
    <n v="488"/>
    <x v="487"/>
    <n v="24"/>
    <n v="20"/>
    <x v="19"/>
    <n v="4"/>
    <d v="1899-12-30T00:00:26"/>
    <n v="8.6666666666666679"/>
    <n v="0.43333333333333335"/>
    <n v="26"/>
    <d v="1899-12-30T00:03:23"/>
    <n v="67.666666666666671"/>
    <n v="3.3833333333333333"/>
    <n v="203"/>
    <n v="13"/>
    <n v="0.6522"/>
    <n v="13.044"/>
  </r>
  <r>
    <n v="489"/>
    <x v="488"/>
    <n v="146"/>
    <n v="139"/>
    <x v="10"/>
    <n v="7"/>
    <d v="1899-12-30T00:00:18"/>
    <n v="41.699999999999996"/>
    <n v="0.3"/>
    <n v="18"/>
    <d v="1899-12-30T00:02:34"/>
    <n v="356.76666666666665"/>
    <n v="2.5666666666666664"/>
    <n v="154"/>
    <n v="105"/>
    <n v="0.75860000000000005"/>
    <n v="105.44540000000001"/>
  </r>
  <r>
    <n v="490"/>
    <x v="489"/>
    <n v="143"/>
    <n v="141"/>
    <x v="5"/>
    <n v="2"/>
    <d v="1899-12-30T00:00:22"/>
    <n v="51.699999999999996"/>
    <n v="0.36666666666666664"/>
    <n v="22"/>
    <d v="1899-12-30T00:02:45"/>
    <n v="387.75"/>
    <n v="2.75"/>
    <n v="165"/>
    <n v="101"/>
    <n v="0.72030000000000005"/>
    <n v="101.56230000000001"/>
  </r>
  <r>
    <n v="491"/>
    <x v="490"/>
    <n v="132"/>
    <n v="122"/>
    <x v="6"/>
    <n v="10"/>
    <d v="1899-12-30T00:00:31"/>
    <n v="63.033333333333339"/>
    <n v="0.51666666666666672"/>
    <n v="31.000000000000004"/>
    <d v="1899-12-30T00:02:28"/>
    <n v="300.93333333333334"/>
    <n v="2.4666666666666668"/>
    <n v="148"/>
    <n v="68"/>
    <n v="0.56489999999999996"/>
    <n v="68.9178"/>
  </r>
  <r>
    <n v="492"/>
    <x v="491"/>
    <n v="137"/>
    <n v="130"/>
    <x v="0"/>
    <n v="7"/>
    <d v="1899-12-30T00:00:26"/>
    <n v="56.333333333333336"/>
    <n v="0.43333333333333335"/>
    <n v="26"/>
    <d v="1899-12-30T00:02:25"/>
    <n v="314.16666666666663"/>
    <n v="2.4166666666666665"/>
    <n v="145"/>
    <n v="83"/>
    <n v="0.64439999999999997"/>
    <n v="83.771999999999991"/>
  </r>
  <r>
    <n v="493"/>
    <x v="492"/>
    <n v="112"/>
    <n v="104"/>
    <x v="6"/>
    <n v="8"/>
    <d v="1899-12-30T00:00:43"/>
    <n v="74.533333333333331"/>
    <n v="0.71666666666666667"/>
    <n v="43"/>
    <d v="1899-12-30T00:02:37"/>
    <n v="272.13333333333333"/>
    <n v="2.6166666666666667"/>
    <n v="157"/>
    <n v="42"/>
    <n v="0.40910000000000002"/>
    <n v="42.546400000000006"/>
  </r>
  <r>
    <n v="494"/>
    <x v="493"/>
    <n v="110"/>
    <n v="91"/>
    <x v="21"/>
    <n v="19"/>
    <d v="1899-12-30T00:00:50"/>
    <n v="75.833333333333343"/>
    <n v="0.83333333333333337"/>
    <n v="50"/>
    <d v="1899-12-30T00:02:38"/>
    <n v="239.63333333333333"/>
    <n v="2.6333333333333333"/>
    <n v="158"/>
    <n v="33"/>
    <n v="0.36699999999999999"/>
    <n v="33.396999999999998"/>
  </r>
  <r>
    <n v="495"/>
    <x v="494"/>
    <n v="24"/>
    <n v="22"/>
    <x v="1"/>
    <n v="2"/>
    <d v="1899-12-30T00:00:32"/>
    <n v="11.733333333333333"/>
    <n v="0.53333333333333333"/>
    <n v="32"/>
    <d v="1899-12-30T00:02:14"/>
    <n v="49.133333333333333"/>
    <n v="2.2333333333333334"/>
    <n v="134"/>
    <n v="12"/>
    <n v="0.58330000000000004"/>
    <n v="12.832600000000001"/>
  </r>
  <r>
    <n v="496"/>
    <x v="495"/>
    <n v="168"/>
    <n v="154"/>
    <x v="1"/>
    <n v="14"/>
    <d v="1899-12-30T00:00:36"/>
    <n v="92.399999999999991"/>
    <n v="0.6"/>
    <n v="36"/>
    <d v="1899-12-30T00:02:44"/>
    <n v="420.93333333333334"/>
    <n v="2.7333333333333334"/>
    <n v="164"/>
    <n v="76"/>
    <n v="0.49399999999999999"/>
    <n v="76.075999999999993"/>
  </r>
  <r>
    <n v="497"/>
    <x v="496"/>
    <n v="146"/>
    <n v="116"/>
    <x v="24"/>
    <n v="30"/>
    <d v="1899-12-30T00:00:42"/>
    <n v="81.199999999999989"/>
    <n v="0.7"/>
    <n v="42"/>
    <d v="1899-12-30T00:02:28"/>
    <n v="286.13333333333333"/>
    <n v="2.4666666666666668"/>
    <n v="148"/>
    <n v="63"/>
    <n v="0.54930000000000001"/>
    <n v="63.718800000000002"/>
  </r>
  <r>
    <n v="498"/>
    <x v="497"/>
    <n v="100"/>
    <n v="95"/>
    <x v="10"/>
    <n v="5"/>
    <d v="1899-12-30T00:00:31"/>
    <n v="49.083333333333336"/>
    <n v="0.51666666666666672"/>
    <n v="31.000000000000004"/>
    <d v="1899-12-30T00:02:38"/>
    <n v="250.16666666666666"/>
    <n v="2.6333333333333333"/>
    <n v="158"/>
    <n v="54"/>
    <n v="0.56999999999999995"/>
    <n v="54.15"/>
  </r>
  <r>
    <n v="499"/>
    <x v="498"/>
    <n v="144"/>
    <n v="131"/>
    <x v="9"/>
    <n v="13"/>
    <d v="1899-12-30T00:00:26"/>
    <n v="56.766666666666666"/>
    <n v="0.43333333333333335"/>
    <n v="26"/>
    <d v="1899-12-30T00:02:27"/>
    <n v="320.95000000000005"/>
    <n v="2.4500000000000002"/>
    <n v="147"/>
    <n v="83"/>
    <n v="0.63570000000000004"/>
    <n v="83.276700000000005"/>
  </r>
  <r>
    <n v="500"/>
    <x v="499"/>
    <n v="110"/>
    <n v="104"/>
    <x v="0"/>
    <n v="6"/>
    <d v="1899-12-30T00:00:24"/>
    <n v="41.6"/>
    <n v="0.4"/>
    <n v="24"/>
    <d v="1899-12-30T00:02:26"/>
    <n v="253.06666666666669"/>
    <n v="2.4333333333333336"/>
    <n v="146"/>
    <n v="66"/>
    <n v="0.64219999999999999"/>
    <n v="66.788799999999995"/>
  </r>
  <r>
    <n v="501"/>
    <x v="500"/>
    <n v="126"/>
    <n v="111"/>
    <x v="8"/>
    <n v="15"/>
    <d v="1899-12-30T00:00:31"/>
    <n v="57.350000000000009"/>
    <n v="0.51666666666666672"/>
    <n v="31.000000000000004"/>
    <d v="1899-12-30T00:02:38"/>
    <n v="292.3"/>
    <n v="2.6333333333333333"/>
    <n v="158"/>
    <n v="58"/>
    <n v="0.52800000000000002"/>
    <n v="58.608000000000004"/>
  </r>
  <r>
    <n v="502"/>
    <x v="501"/>
    <n v="24"/>
    <n v="24"/>
    <x v="3"/>
    <n v="0"/>
    <d v="1899-12-30T00:00:48"/>
    <n v="19.200000000000003"/>
    <n v="0.8"/>
    <n v="48"/>
    <d v="1899-12-30T00:02:54"/>
    <n v="69.599999999999994"/>
    <n v="2.9"/>
    <n v="174"/>
    <n v="10"/>
    <n v="0.41670000000000001"/>
    <n v="10.0008"/>
  </r>
  <r>
    <n v="503"/>
    <x v="502"/>
    <n v="128"/>
    <n v="122"/>
    <x v="10"/>
    <n v="6"/>
    <d v="1899-12-30T00:00:35"/>
    <n v="71.166666666666671"/>
    <n v="0.58333333333333337"/>
    <n v="35"/>
    <d v="1899-12-30T00:02:59"/>
    <n v="363.9666666666667"/>
    <n v="2.9833333333333334"/>
    <n v="179"/>
    <n v="62"/>
    <n v="0.51559999999999995"/>
    <n v="62.903199999999991"/>
  </r>
  <r>
    <n v="504"/>
    <x v="503"/>
    <n v="185"/>
    <n v="176"/>
    <x v="10"/>
    <n v="9"/>
    <d v="1899-12-30T00:00:27"/>
    <n v="79.2"/>
    <n v="0.45"/>
    <n v="27"/>
    <d v="1899-12-30T00:02:23"/>
    <n v="419.46666666666664"/>
    <n v="2.3833333333333333"/>
    <n v="143"/>
    <n v="119"/>
    <n v="0.67930000000000001"/>
    <n v="119.55680000000001"/>
  </r>
  <r>
    <n v="505"/>
    <x v="504"/>
    <n v="136"/>
    <n v="114"/>
    <x v="19"/>
    <n v="22"/>
    <d v="1899-12-30T00:00:57"/>
    <n v="108.3"/>
    <n v="0.95"/>
    <n v="57"/>
    <d v="1899-12-30T00:02:25"/>
    <n v="275.5"/>
    <n v="2.4166666666666665"/>
    <n v="145"/>
    <n v="32"/>
    <n v="0.28789999999999999"/>
    <n v="32.820599999999999"/>
  </r>
  <r>
    <n v="506"/>
    <x v="505"/>
    <n v="130"/>
    <n v="116"/>
    <x v="13"/>
    <n v="14"/>
    <d v="1899-12-30T00:00:44"/>
    <n v="85.066666666666663"/>
    <n v="0.73333333333333328"/>
    <n v="44"/>
    <d v="1899-12-30T00:02:41"/>
    <n v="311.26666666666671"/>
    <n v="2.6833333333333336"/>
    <n v="161"/>
    <n v="51"/>
    <n v="0.44440000000000002"/>
    <n v="51.550400000000003"/>
  </r>
  <r>
    <n v="507"/>
    <x v="506"/>
    <n v="103"/>
    <n v="101"/>
    <x v="5"/>
    <n v="2"/>
    <d v="1899-12-30T00:00:18"/>
    <n v="30.299999999999997"/>
    <n v="0.3"/>
    <n v="18"/>
    <d v="1899-12-30T00:02:42"/>
    <n v="272.70000000000005"/>
    <n v="2.7"/>
    <n v="162"/>
    <n v="78"/>
    <n v="0.77449999999999997"/>
    <n v="78.224499999999992"/>
  </r>
  <r>
    <n v="508"/>
    <x v="507"/>
    <n v="99"/>
    <n v="89"/>
    <x v="13"/>
    <n v="10"/>
    <d v="1899-12-30T00:00:20"/>
    <n v="29.666666666666664"/>
    <n v="0.33333333333333331"/>
    <n v="20"/>
    <d v="1899-12-30T00:02:27"/>
    <n v="218.05"/>
    <n v="2.4500000000000002"/>
    <n v="147"/>
    <n v="65"/>
    <n v="0.73680000000000001"/>
    <n v="65.575199999999995"/>
  </r>
  <r>
    <n v="509"/>
    <x v="508"/>
    <n v="26"/>
    <n v="24"/>
    <x v="6"/>
    <n v="2"/>
    <d v="1899-12-30T00:00:23"/>
    <n v="9.2000000000000011"/>
    <n v="0.38333333333333336"/>
    <n v="23"/>
    <d v="1899-12-30T00:02:00"/>
    <n v="48"/>
    <n v="2"/>
    <n v="120"/>
    <n v="16"/>
    <n v="0.68"/>
    <n v="16.32"/>
  </r>
  <r>
    <n v="510"/>
    <x v="509"/>
    <n v="95"/>
    <n v="94"/>
    <x v="5"/>
    <n v="1"/>
    <d v="1899-12-30T00:00:21"/>
    <n v="32.9"/>
    <n v="0.35"/>
    <n v="21"/>
    <d v="1899-12-30T00:02:31"/>
    <n v="236.56666666666666"/>
    <n v="2.5166666666666666"/>
    <n v="151"/>
    <n v="70"/>
    <n v="0.75529999999999997"/>
    <n v="70.998199999999997"/>
  </r>
  <r>
    <n v="511"/>
    <x v="510"/>
    <n v="136"/>
    <n v="131"/>
    <x v="4"/>
    <n v="5"/>
    <d v="1899-12-30T00:00:17"/>
    <n v="37.116666666666667"/>
    <n v="0.28333333333333333"/>
    <n v="17"/>
    <d v="1899-12-30T00:02:29"/>
    <n v="325.31666666666666"/>
    <n v="2.4833333333333334"/>
    <n v="149"/>
    <n v="106"/>
    <n v="0.81059999999999999"/>
    <n v="106.18859999999999"/>
  </r>
  <r>
    <n v="512"/>
    <x v="511"/>
    <n v="37"/>
    <n v="34"/>
    <x v="1"/>
    <n v="3"/>
    <d v="1899-12-30T00:00:41"/>
    <n v="23.233333333333334"/>
    <n v="0.68333333333333335"/>
    <n v="41"/>
    <d v="1899-12-30T00:02:11"/>
    <n v="74.23333333333332"/>
    <n v="2.1833333333333331"/>
    <n v="131"/>
    <n v="22"/>
    <n v="0.64859999999999995"/>
    <n v="22.052399999999999"/>
  </r>
  <r>
    <n v="513"/>
    <x v="512"/>
    <n v="105"/>
    <n v="100"/>
    <x v="10"/>
    <n v="5"/>
    <d v="1899-12-30T00:00:22"/>
    <n v="36.666666666666664"/>
    <n v="0.36666666666666664"/>
    <n v="22"/>
    <d v="1899-12-30T00:02:30"/>
    <n v="250"/>
    <n v="2.5"/>
    <n v="150"/>
    <n v="72"/>
    <n v="0.7228"/>
    <n v="72.28"/>
  </r>
  <r>
    <n v="514"/>
    <x v="513"/>
    <n v="100"/>
    <n v="92"/>
    <x v="6"/>
    <n v="8"/>
    <d v="1899-12-30T00:00:30"/>
    <n v="46"/>
    <n v="0.5"/>
    <n v="30"/>
    <d v="1899-12-30T00:02:27"/>
    <n v="225.4"/>
    <n v="2.4500000000000002"/>
    <n v="147"/>
    <n v="58"/>
    <n v="0.63270000000000004"/>
    <n v="58.208400000000005"/>
  </r>
  <r>
    <n v="515"/>
    <x v="514"/>
    <n v="115"/>
    <n v="103"/>
    <x v="13"/>
    <n v="12"/>
    <d v="1899-12-30T00:00:44"/>
    <n v="75.533333333333331"/>
    <n v="0.73333333333333328"/>
    <n v="44"/>
    <d v="1899-12-30T00:02:46"/>
    <n v="284.96666666666664"/>
    <n v="2.7666666666666666"/>
    <n v="166"/>
    <n v="38"/>
    <n v="0.37169999999999997"/>
    <n v="38.2851"/>
  </r>
  <r>
    <n v="516"/>
    <x v="515"/>
    <n v="38"/>
    <n v="36"/>
    <x v="0"/>
    <n v="2"/>
    <d v="1899-12-30T00:00:39"/>
    <n v="23.400000000000002"/>
    <n v="0.65"/>
    <n v="39"/>
    <d v="1899-12-30T00:02:56"/>
    <n v="105.60000000000001"/>
    <n v="2.9333333333333336"/>
    <n v="176"/>
    <n v="18"/>
    <n v="0.52629999999999999"/>
    <n v="18.9468"/>
  </r>
  <r>
    <n v="517"/>
    <x v="516"/>
    <n v="108"/>
    <n v="95"/>
    <x v="20"/>
    <n v="13"/>
    <d v="1899-12-30T00:00:26"/>
    <n v="41.166666666666671"/>
    <n v="0.43333333333333335"/>
    <n v="26"/>
    <d v="1899-12-30T00:02:49"/>
    <n v="267.58333333333331"/>
    <n v="2.8166666666666664"/>
    <n v="169"/>
    <n v="60"/>
    <n v="0.6381"/>
    <n v="60.619500000000002"/>
  </r>
  <r>
    <n v="518"/>
    <x v="517"/>
    <n v="124"/>
    <n v="118"/>
    <x v="10"/>
    <n v="6"/>
    <d v="1899-12-30T00:00:23"/>
    <n v="45.233333333333334"/>
    <n v="0.38333333333333336"/>
    <n v="23"/>
    <d v="1899-12-30T00:02:31"/>
    <n v="296.96666666666664"/>
    <n v="2.5166666666666666"/>
    <n v="151"/>
    <n v="87"/>
    <n v="0.73770000000000002"/>
    <n v="87.048600000000008"/>
  </r>
  <r>
    <n v="519"/>
    <x v="518"/>
    <n v="97"/>
    <n v="92"/>
    <x v="0"/>
    <n v="5"/>
    <d v="1899-12-30T00:00:25"/>
    <n v="38.333333333333336"/>
    <n v="0.41666666666666669"/>
    <n v="25"/>
    <d v="1899-12-30T00:02:36"/>
    <n v="239.20000000000002"/>
    <n v="2.6"/>
    <n v="156"/>
    <n v="62"/>
    <n v="0.67710000000000004"/>
    <n v="62.293200000000006"/>
  </r>
  <r>
    <n v="520"/>
    <x v="519"/>
    <n v="117"/>
    <n v="108"/>
    <x v="6"/>
    <n v="9"/>
    <d v="1899-12-30T00:00:37"/>
    <n v="66.600000000000009"/>
    <n v="0.6166666666666667"/>
    <n v="37"/>
    <d v="1899-12-30T00:01:46"/>
    <n v="190.79999999999998"/>
    <n v="1.7666666666666666"/>
    <n v="106"/>
    <n v="52"/>
    <n v="0.48670000000000002"/>
    <n v="52.563600000000001"/>
  </r>
  <r>
    <n v="521"/>
    <x v="520"/>
    <n v="34"/>
    <n v="31"/>
    <x v="1"/>
    <n v="3"/>
    <d v="1899-12-30T00:00:27"/>
    <n v="13.950000000000001"/>
    <n v="0.45"/>
    <n v="27"/>
    <d v="1899-12-30T00:02:37"/>
    <n v="81.116666666666674"/>
    <n v="2.6166666666666667"/>
    <n v="157"/>
    <n v="20"/>
    <n v="0.64710000000000001"/>
    <n v="20.060099999999998"/>
  </r>
  <r>
    <n v="522"/>
    <x v="521"/>
    <n v="53"/>
    <n v="50"/>
    <x v="0"/>
    <n v="3"/>
    <d v="1899-12-30T00:00:28"/>
    <n v="23.333333333333332"/>
    <n v="0.46666666666666667"/>
    <n v="28"/>
    <d v="1899-12-30T00:02:11"/>
    <n v="109.16666666666666"/>
    <n v="2.1833333333333331"/>
    <n v="131"/>
    <n v="33"/>
    <n v="0.66039999999999999"/>
    <n v="33.019999999999996"/>
  </r>
  <r>
    <n v="523"/>
    <x v="522"/>
    <n v="29"/>
    <n v="23"/>
    <x v="24"/>
    <n v="6"/>
    <d v="1899-12-30T00:00:42"/>
    <n v="16.099999999999998"/>
    <n v="0.7"/>
    <n v="42"/>
    <d v="1899-12-30T00:02:47"/>
    <n v="64.016666666666666"/>
    <n v="2.7833333333333332"/>
    <n v="167"/>
    <n v="7"/>
    <n v="0.32140000000000002"/>
    <n v="7.3922000000000008"/>
  </r>
  <r>
    <n v="524"/>
    <x v="523"/>
    <n v="120"/>
    <n v="107"/>
    <x v="13"/>
    <n v="13"/>
    <d v="1899-12-30T00:00:34"/>
    <n v="60.633333333333333"/>
    <n v="0.56666666666666665"/>
    <n v="34"/>
    <d v="1899-12-30T00:02:39"/>
    <n v="283.55"/>
    <n v="2.65"/>
    <n v="159"/>
    <n v="47"/>
    <n v="0.44069999999999998"/>
    <n v="47.154899999999998"/>
  </r>
  <r>
    <n v="525"/>
    <x v="524"/>
    <n v="107"/>
    <n v="100"/>
    <x v="2"/>
    <n v="7"/>
    <d v="1899-12-30T00:00:33"/>
    <n v="55.000000000000007"/>
    <n v="0.55000000000000004"/>
    <n v="33"/>
    <d v="1899-12-30T00:02:33"/>
    <n v="254.99999999999997"/>
    <n v="2.5499999999999998"/>
    <n v="153"/>
    <n v="51"/>
    <n v="0.51429999999999998"/>
    <n v="51.43"/>
  </r>
  <r>
    <n v="526"/>
    <x v="525"/>
    <n v="173"/>
    <n v="159"/>
    <x v="1"/>
    <n v="14"/>
    <d v="1899-12-30T00:00:47"/>
    <n v="124.55"/>
    <n v="0.78333333333333333"/>
    <n v="47"/>
    <d v="1899-12-30T00:02:44"/>
    <n v="434.6"/>
    <n v="2.7333333333333334"/>
    <n v="164"/>
    <n v="62"/>
    <n v="0.39410000000000001"/>
    <n v="62.661900000000003"/>
  </r>
  <r>
    <n v="527"/>
    <x v="526"/>
    <n v="256"/>
    <n v="213"/>
    <x v="19"/>
    <n v="43"/>
    <d v="1899-12-30T00:00:44"/>
    <n v="156.19999999999999"/>
    <n v="0.73333333333333328"/>
    <n v="44"/>
    <d v="1899-12-30T00:02:45"/>
    <n v="585.75"/>
    <n v="2.75"/>
    <n v="165"/>
    <n v="88"/>
    <n v="0.41699999999999998"/>
    <n v="88.820999999999998"/>
  </r>
  <r>
    <n v="528"/>
    <x v="527"/>
    <n v="199"/>
    <n v="174"/>
    <x v="20"/>
    <n v="25"/>
    <d v="1899-12-30T00:00:36"/>
    <n v="104.39999999999999"/>
    <n v="0.6"/>
    <n v="36"/>
    <d v="1899-12-30T00:02:35"/>
    <n v="449.5"/>
    <n v="2.5833333333333335"/>
    <n v="155"/>
    <n v="92"/>
    <n v="0.53059999999999996"/>
    <n v="92.324399999999997"/>
  </r>
  <r>
    <n v="529"/>
    <x v="528"/>
    <n v="182"/>
    <n v="170"/>
    <x v="2"/>
    <n v="12"/>
    <d v="1899-12-30T00:00:40"/>
    <n v="113.33333333333333"/>
    <n v="0.66666666666666663"/>
    <n v="40"/>
    <d v="1899-12-30T00:02:44"/>
    <n v="464.66666666666669"/>
    <n v="2.7333333333333334"/>
    <n v="164"/>
    <n v="77"/>
    <n v="0.45810000000000001"/>
    <n v="77.876999999999995"/>
  </r>
  <r>
    <n v="530"/>
    <x v="529"/>
    <n v="42"/>
    <n v="41"/>
    <x v="7"/>
    <n v="1"/>
    <d v="1899-12-30T00:00:42"/>
    <n v="28.7"/>
    <n v="0.7"/>
    <n v="42"/>
    <d v="1899-12-30T00:02:53"/>
    <n v="118.21666666666667"/>
    <n v="2.8833333333333333"/>
    <n v="173"/>
    <n v="23"/>
    <n v="0.56100000000000005"/>
    <n v="23.001000000000001"/>
  </r>
  <r>
    <n v="531"/>
    <x v="530"/>
    <n v="181"/>
    <n v="168"/>
    <x v="6"/>
    <n v="13"/>
    <d v="1899-12-30T00:00:34"/>
    <n v="95.2"/>
    <n v="0.56666666666666665"/>
    <n v="34"/>
    <d v="1899-12-30T00:02:35"/>
    <n v="434"/>
    <n v="2.5833333333333335"/>
    <n v="155"/>
    <n v="86"/>
    <n v="0.51690000000000003"/>
    <n v="86.839200000000005"/>
  </r>
  <r>
    <n v="532"/>
    <x v="531"/>
    <n v="159"/>
    <n v="147"/>
    <x v="6"/>
    <n v="12"/>
    <d v="1899-12-30T00:00:30"/>
    <n v="73.5"/>
    <n v="0.5"/>
    <n v="30"/>
    <d v="1899-12-30T00:02:36"/>
    <n v="382.2"/>
    <n v="2.6"/>
    <n v="156"/>
    <n v="86"/>
    <n v="0.58709999999999996"/>
    <n v="86.303699999999992"/>
  </r>
  <r>
    <n v="533"/>
    <x v="532"/>
    <n v="142"/>
    <n v="134"/>
    <x v="0"/>
    <n v="8"/>
    <d v="1899-12-30T00:00:26"/>
    <n v="58.06666666666667"/>
    <n v="0.43333333333333335"/>
    <n v="26"/>
    <d v="1899-12-30T00:02:50"/>
    <n v="379.66666666666669"/>
    <n v="2.8333333333333335"/>
    <n v="170"/>
    <n v="82"/>
    <n v="0.61870000000000003"/>
    <n v="82.905799999999999"/>
  </r>
  <r>
    <n v="534"/>
    <x v="533"/>
    <n v="194"/>
    <n v="163"/>
    <x v="16"/>
    <n v="31"/>
    <d v="1899-12-30T00:00:30"/>
    <n v="81.5"/>
    <n v="0.5"/>
    <n v="30"/>
    <d v="1899-12-30T00:02:38"/>
    <n v="429.23333333333335"/>
    <n v="2.6333333333333333"/>
    <n v="158"/>
    <n v="83"/>
    <n v="0.51039999999999996"/>
    <n v="83.1952"/>
  </r>
  <r>
    <n v="535"/>
    <x v="534"/>
    <n v="235"/>
    <n v="210"/>
    <x v="13"/>
    <n v="25"/>
    <d v="1899-12-30T00:00:38"/>
    <n v="133"/>
    <n v="0.6333333333333333"/>
    <n v="38"/>
    <d v="1899-12-30T00:02:53"/>
    <n v="605.5"/>
    <n v="2.8833333333333333"/>
    <n v="173"/>
    <n v="102"/>
    <n v="0.48899999999999999"/>
    <n v="102.69"/>
  </r>
  <r>
    <n v="536"/>
    <x v="535"/>
    <n v="206"/>
    <n v="180"/>
    <x v="20"/>
    <n v="26"/>
    <d v="1899-12-30T00:00:51"/>
    <n v="153"/>
    <n v="0.85"/>
    <n v="51"/>
    <d v="1899-12-30T00:02:47"/>
    <n v="501"/>
    <n v="2.7833333333333332"/>
    <n v="167"/>
    <n v="69"/>
    <n v="0.3861"/>
    <n v="69.498000000000005"/>
  </r>
  <r>
    <n v="537"/>
    <x v="536"/>
    <n v="58"/>
    <n v="47"/>
    <x v="14"/>
    <n v="11"/>
    <d v="1899-12-30T00:00:48"/>
    <n v="37.6"/>
    <n v="0.8"/>
    <n v="48"/>
    <d v="1899-12-30T00:02:36"/>
    <n v="122.2"/>
    <n v="2.6"/>
    <n v="156"/>
    <n v="19"/>
    <n v="0.42109999999999997"/>
    <n v="19.791699999999999"/>
  </r>
  <r>
    <n v="538"/>
    <x v="537"/>
    <n v="212"/>
    <n v="194"/>
    <x v="1"/>
    <n v="18"/>
    <d v="1899-12-30T00:00:38"/>
    <n v="122.86666666666666"/>
    <n v="0.6333333333333333"/>
    <n v="38"/>
    <d v="1899-12-30T00:02:33"/>
    <n v="494.7"/>
    <n v="2.5499999999999998"/>
    <n v="153"/>
    <n v="99"/>
    <n v="0.51200000000000001"/>
    <n v="99.328000000000003"/>
  </r>
  <r>
    <n v="539"/>
    <x v="538"/>
    <n v="232"/>
    <n v="214"/>
    <x v="6"/>
    <n v="18"/>
    <d v="1899-12-30T00:00:34"/>
    <n v="121.26666666666667"/>
    <n v="0.56666666666666665"/>
    <n v="34"/>
    <d v="1899-12-30T00:02:36"/>
    <n v="556.4"/>
    <n v="2.6"/>
    <n v="156"/>
    <n v="119"/>
    <n v="0.55900000000000005"/>
    <n v="119.626"/>
  </r>
  <r>
    <n v="540"/>
    <x v="539"/>
    <n v="348"/>
    <n v="327"/>
    <x v="2"/>
    <n v="21"/>
    <d v="1899-12-30T00:00:32"/>
    <n v="174.4"/>
    <n v="0.53333333333333333"/>
    <n v="32"/>
    <d v="1899-12-30T00:02:28"/>
    <n v="806.6"/>
    <n v="2.4666666666666668"/>
    <n v="148"/>
    <n v="178"/>
    <n v="0.54620000000000002"/>
    <n v="178.60740000000001"/>
  </r>
  <r>
    <n v="541"/>
    <x v="540"/>
    <n v="167"/>
    <n v="156"/>
    <x v="2"/>
    <n v="11"/>
    <d v="1899-12-30T00:00:32"/>
    <n v="83.2"/>
    <n v="0.53333333333333333"/>
    <n v="32"/>
    <d v="1899-12-30T00:02:43"/>
    <n v="423.8"/>
    <n v="2.7166666666666668"/>
    <n v="163"/>
    <n v="88"/>
    <n v="0.56789999999999996"/>
    <n v="88.592399999999998"/>
  </r>
  <r>
    <n v="542"/>
    <x v="541"/>
    <n v="167"/>
    <n v="157"/>
    <x v="0"/>
    <n v="10"/>
    <d v="1899-12-30T00:00:27"/>
    <n v="70.650000000000006"/>
    <n v="0.45"/>
    <n v="27"/>
    <d v="1899-12-30T00:02:57"/>
    <n v="463.15000000000003"/>
    <n v="2.95"/>
    <n v="177"/>
    <n v="105"/>
    <n v="0.67479999999999996"/>
    <n v="105.94359999999999"/>
  </r>
  <r>
    <n v="543"/>
    <x v="542"/>
    <n v="166"/>
    <n v="161"/>
    <x v="4"/>
    <n v="5"/>
    <d v="1899-12-30T00:00:21"/>
    <n v="56.349999999999994"/>
    <n v="0.35"/>
    <n v="21"/>
    <d v="1899-12-30T00:02:45"/>
    <n v="442.75"/>
    <n v="2.75"/>
    <n v="165"/>
    <n v="118"/>
    <n v="0.73329999999999995"/>
    <n v="118.06129999999999"/>
  </r>
  <r>
    <n v="544"/>
    <x v="543"/>
    <n v="32"/>
    <n v="28"/>
    <x v="20"/>
    <n v="4"/>
    <d v="1899-12-30T00:00:22"/>
    <n v="10.266666666666666"/>
    <n v="0.36666666666666664"/>
    <n v="22"/>
    <d v="1899-12-30T00:02:43"/>
    <n v="76.066666666666663"/>
    <n v="2.7166666666666668"/>
    <n v="163"/>
    <n v="18"/>
    <n v="0.6452"/>
    <n v="18.0656"/>
  </r>
  <r>
    <n v="545"/>
    <x v="544"/>
    <n v="52"/>
    <n v="49"/>
    <x v="0"/>
    <n v="3"/>
    <d v="1899-12-30T00:00:32"/>
    <n v="26.133333333333333"/>
    <n v="0.53333333333333333"/>
    <n v="32"/>
    <d v="1899-12-30T00:02:58"/>
    <n v="145.36666666666667"/>
    <n v="2.9666666666666668"/>
    <n v="178"/>
    <n v="31"/>
    <n v="0.63460000000000005"/>
    <n v="31.095400000000001"/>
  </r>
  <r>
    <n v="546"/>
    <x v="545"/>
    <n v="154"/>
    <n v="149"/>
    <x v="4"/>
    <n v="5"/>
    <d v="1899-12-30T00:00:26"/>
    <n v="64.566666666666663"/>
    <n v="0.43333333333333335"/>
    <n v="26"/>
    <d v="1899-12-30T00:02:52"/>
    <n v="427.13333333333333"/>
    <n v="2.8666666666666667"/>
    <n v="172"/>
    <n v="96"/>
    <n v="0.64900000000000002"/>
    <n v="96.701000000000008"/>
  </r>
  <r>
    <n v="547"/>
    <x v="546"/>
    <n v="223"/>
    <n v="218"/>
    <x v="7"/>
    <n v="5"/>
    <d v="1899-12-30T00:00:18"/>
    <n v="65.399999999999991"/>
    <n v="0.3"/>
    <n v="18"/>
    <d v="1899-12-30T00:02:07"/>
    <n v="461.43333333333334"/>
    <n v="2.1166666666666667"/>
    <n v="127"/>
    <n v="174"/>
    <n v="0.80089999999999995"/>
    <n v="174.59619999999998"/>
  </r>
  <r>
    <n v="548"/>
    <x v="547"/>
    <n v="170"/>
    <n v="157"/>
    <x v="6"/>
    <n v="13"/>
    <d v="1899-12-30T00:00:17"/>
    <n v="44.483333333333334"/>
    <n v="0.28333333333333333"/>
    <n v="17"/>
    <d v="1899-12-30T00:03:04"/>
    <n v="481.4666666666667"/>
    <n v="3.0666666666666669"/>
    <n v="184"/>
    <n v="123"/>
    <n v="0.78439999999999999"/>
    <n v="123.1508"/>
  </r>
  <r>
    <n v="549"/>
    <x v="548"/>
    <n v="145"/>
    <n v="133"/>
    <x v="1"/>
    <n v="12"/>
    <d v="1899-12-30T00:00:26"/>
    <n v="57.633333333333333"/>
    <n v="0.43333333333333335"/>
    <n v="26"/>
    <d v="1899-12-30T00:02:56"/>
    <n v="390.13333333333338"/>
    <n v="2.9333333333333336"/>
    <n v="176"/>
    <n v="92"/>
    <n v="0.69230000000000003"/>
    <n v="92.075900000000004"/>
  </r>
  <r>
    <n v="550"/>
    <x v="549"/>
    <n v="144"/>
    <n v="138"/>
    <x v="10"/>
    <n v="6"/>
    <d v="1899-12-30T00:00:17"/>
    <n v="39.1"/>
    <n v="0.28333333333333333"/>
    <n v="17"/>
    <d v="1899-12-30T00:02:53"/>
    <n v="397.9"/>
    <n v="2.8833333333333333"/>
    <n v="173"/>
    <n v="115"/>
    <n v="0.83799999999999997"/>
    <n v="115.64399999999999"/>
  </r>
  <r>
    <n v="551"/>
    <x v="550"/>
    <n v="16"/>
    <n v="15"/>
    <x v="2"/>
    <n v="1"/>
    <d v="1899-12-30T00:00:17"/>
    <n v="4.25"/>
    <n v="0.28333333333333333"/>
    <n v="17"/>
    <d v="1899-12-30T00:03:00"/>
    <n v="45"/>
    <n v="3"/>
    <n v="180"/>
    <n v="10"/>
    <n v="0.6875"/>
    <n v="10.3125"/>
  </r>
  <r>
    <n v="552"/>
    <x v="551"/>
    <n v="135"/>
    <n v="131"/>
    <x v="7"/>
    <n v="4"/>
    <d v="1899-12-30T00:00:20"/>
    <n v="43.666666666666664"/>
    <n v="0.33333333333333331"/>
    <n v="20"/>
    <d v="1899-12-30T00:02:37"/>
    <n v="342.78333333333336"/>
    <n v="2.6166666666666667"/>
    <n v="157"/>
    <n v="99"/>
    <n v="0.76119999999999999"/>
    <n v="99.717200000000005"/>
  </r>
  <r>
    <n v="553"/>
    <x v="552"/>
    <n v="137"/>
    <n v="133"/>
    <x v="7"/>
    <n v="4"/>
    <d v="1899-12-30T00:00:24"/>
    <n v="53.2"/>
    <n v="0.4"/>
    <n v="24"/>
    <d v="1899-12-30T00:02:49"/>
    <n v="374.61666666666662"/>
    <n v="2.8166666666666664"/>
    <n v="169"/>
    <n v="91"/>
    <n v="0.69120000000000004"/>
    <n v="91.929600000000008"/>
  </r>
  <r>
    <n v="554"/>
    <x v="553"/>
    <n v="149"/>
    <n v="144"/>
    <x v="4"/>
    <n v="5"/>
    <d v="1899-12-30T00:00:17"/>
    <n v="40.799999999999997"/>
    <n v="0.28333333333333333"/>
    <n v="17"/>
    <d v="1899-12-30T00:02:39"/>
    <n v="381.59999999999997"/>
    <n v="2.65"/>
    <n v="159"/>
    <n v="119"/>
    <n v="0.8276"/>
    <n v="119.17440000000001"/>
  </r>
  <r>
    <n v="555"/>
    <x v="554"/>
    <n v="155"/>
    <n v="143"/>
    <x v="6"/>
    <n v="12"/>
    <d v="1899-12-30T00:00:16"/>
    <n v="38.133333333333333"/>
    <n v="0.26666666666666666"/>
    <n v="16"/>
    <d v="1899-12-30T00:02:41"/>
    <n v="383.7166666666667"/>
    <n v="2.6833333333333336"/>
    <n v="161"/>
    <n v="114"/>
    <n v="0.8014"/>
    <n v="114.6002"/>
  </r>
  <r>
    <n v="556"/>
    <x v="555"/>
    <n v="128"/>
    <n v="121"/>
    <x v="0"/>
    <n v="7"/>
    <d v="1899-12-30T00:00:19"/>
    <n v="38.316666666666663"/>
    <n v="0.31666666666666665"/>
    <n v="19"/>
    <d v="1899-12-30T00:02:55"/>
    <n v="352.91666666666663"/>
    <n v="2.9166666666666665"/>
    <n v="175"/>
    <n v="94"/>
    <n v="0.77780000000000005"/>
    <n v="94.113800000000012"/>
  </r>
  <r>
    <n v="557"/>
    <x v="556"/>
    <n v="134"/>
    <n v="125"/>
    <x v="2"/>
    <n v="9"/>
    <d v="1899-12-30T00:00:21"/>
    <n v="43.75"/>
    <n v="0.35"/>
    <n v="21"/>
    <d v="1899-12-30T00:02:38"/>
    <n v="329.16666666666669"/>
    <n v="2.6333333333333333"/>
    <n v="158"/>
    <n v="90"/>
    <n v="0.72519999999999996"/>
    <n v="90.649999999999991"/>
  </r>
  <r>
    <n v="558"/>
    <x v="557"/>
    <n v="21"/>
    <n v="21"/>
    <x v="3"/>
    <n v="0"/>
    <d v="1899-12-30T00:00:23"/>
    <n v="8.0500000000000007"/>
    <n v="0.38333333333333336"/>
    <n v="23"/>
    <d v="1899-12-30T00:02:37"/>
    <n v="54.95"/>
    <n v="2.6166666666666667"/>
    <n v="157"/>
    <n v="15"/>
    <n v="0.76190000000000002"/>
    <n v="15.9999"/>
  </r>
  <r>
    <n v="559"/>
    <x v="558"/>
    <n v="150"/>
    <n v="138"/>
    <x v="6"/>
    <n v="12"/>
    <d v="1899-12-30T00:00:30"/>
    <n v="69"/>
    <n v="0.5"/>
    <n v="30"/>
    <d v="1899-12-30T00:02:52"/>
    <n v="395.6"/>
    <n v="2.8666666666666667"/>
    <n v="172"/>
    <n v="80"/>
    <n v="0.5867"/>
    <n v="80.964600000000004"/>
  </r>
  <r>
    <n v="560"/>
    <x v="559"/>
    <n v="163"/>
    <n v="158"/>
    <x v="4"/>
    <n v="5"/>
    <d v="1899-12-30T00:00:14"/>
    <n v="36.866666666666667"/>
    <n v="0.23333333333333334"/>
    <n v="14"/>
    <d v="1899-12-30T00:02:28"/>
    <n v="389.73333333333335"/>
    <n v="2.4666666666666668"/>
    <n v="148"/>
    <n v="129"/>
    <n v="0.81989999999999996"/>
    <n v="129.54419999999999"/>
  </r>
  <r>
    <n v="561"/>
    <x v="560"/>
    <n v="160"/>
    <n v="151"/>
    <x v="0"/>
    <n v="9"/>
    <d v="1899-12-30T00:00:12"/>
    <n v="30.200000000000003"/>
    <n v="0.2"/>
    <n v="12"/>
    <d v="1899-12-30T00:02:39"/>
    <n v="400.15"/>
    <n v="2.65"/>
    <n v="159"/>
    <n v="131"/>
    <n v="0.87180000000000002"/>
    <n v="131.64179999999999"/>
  </r>
  <r>
    <n v="562"/>
    <x v="561"/>
    <n v="132"/>
    <n v="125"/>
    <x v="0"/>
    <n v="7"/>
    <d v="1899-12-30T00:00:30"/>
    <n v="62.5"/>
    <n v="0.5"/>
    <n v="30"/>
    <d v="1899-12-30T00:02:46"/>
    <n v="345.83333333333331"/>
    <n v="2.7666666666666666"/>
    <n v="166"/>
    <n v="80"/>
    <n v="0.6462"/>
    <n v="80.775000000000006"/>
  </r>
  <r>
    <n v="563"/>
    <x v="562"/>
    <n v="131"/>
    <n v="126"/>
    <x v="4"/>
    <n v="5"/>
    <d v="1899-12-30T00:00:17"/>
    <n v="35.699999999999996"/>
    <n v="0.28333333333333333"/>
    <n v="17"/>
    <d v="1899-12-30T00:02:47"/>
    <n v="350.7"/>
    <n v="2.7833333333333332"/>
    <n v="167"/>
    <n v="98"/>
    <n v="0.78290000000000004"/>
    <n v="98.645400000000009"/>
  </r>
  <r>
    <n v="564"/>
    <x v="563"/>
    <n v="158"/>
    <n v="146"/>
    <x v="6"/>
    <n v="12"/>
    <d v="1899-12-30T00:00:21"/>
    <n v="51.099999999999994"/>
    <n v="0.35"/>
    <n v="21"/>
    <d v="1899-12-30T00:02:42"/>
    <n v="394.20000000000005"/>
    <n v="2.7"/>
    <n v="162"/>
    <n v="109"/>
    <n v="0.75319999999999998"/>
    <n v="109.96719999999999"/>
  </r>
  <r>
    <n v="565"/>
    <x v="564"/>
    <n v="19"/>
    <n v="16"/>
    <x v="16"/>
    <n v="3"/>
    <d v="1899-12-30T00:00:51"/>
    <n v="13.6"/>
    <n v="0.85"/>
    <n v="51"/>
    <d v="1899-12-30T00:02:46"/>
    <n v="44.266666666666666"/>
    <n v="2.7666666666666666"/>
    <n v="166"/>
    <n v="7"/>
    <n v="0.47370000000000001"/>
    <n v="7.5792000000000002"/>
  </r>
  <r>
    <n v="566"/>
    <x v="565"/>
    <n v="151"/>
    <n v="128"/>
    <x v="16"/>
    <n v="23"/>
    <d v="1899-12-30T00:00:52"/>
    <n v="110.93333333333334"/>
    <n v="0.8666666666666667"/>
    <n v="52"/>
    <d v="1899-12-30T00:02:30"/>
    <n v="320"/>
    <n v="2.5"/>
    <n v="150"/>
    <n v="48"/>
    <n v="0.37930000000000003"/>
    <n v="48.550400000000003"/>
  </r>
  <r>
    <n v="567"/>
    <x v="566"/>
    <n v="139"/>
    <n v="128"/>
    <x v="6"/>
    <n v="11"/>
    <d v="1899-12-30T00:00:32"/>
    <n v="68.266666666666666"/>
    <n v="0.53333333333333333"/>
    <n v="32"/>
    <d v="1899-12-30T00:02:44"/>
    <n v="349.86666666666667"/>
    <n v="2.7333333333333334"/>
    <n v="164"/>
    <n v="66"/>
    <n v="0.51800000000000002"/>
    <n v="66.304000000000002"/>
  </r>
  <r>
    <n v="568"/>
    <x v="567"/>
    <n v="166"/>
    <n v="135"/>
    <x v="14"/>
    <n v="31"/>
    <d v="1899-12-30T00:00:41"/>
    <n v="92.25"/>
    <n v="0.68333333333333335"/>
    <n v="41"/>
    <d v="1899-12-30T00:02:40"/>
    <n v="360"/>
    <n v="2.6666666666666665"/>
    <n v="160"/>
    <n v="62"/>
    <n v="0.46500000000000002"/>
    <n v="62.775000000000006"/>
  </r>
  <r>
    <n v="569"/>
    <x v="568"/>
    <n v="258"/>
    <n v="196"/>
    <x v="25"/>
    <n v="62"/>
    <d v="1899-12-30T00:01:10"/>
    <n v="228.66666666666669"/>
    <n v="1.1666666666666667"/>
    <n v="70"/>
    <d v="1899-12-30T00:02:30"/>
    <n v="490"/>
    <n v="2.5"/>
    <n v="150"/>
    <n v="47"/>
    <n v="0.2429"/>
    <n v="47.608400000000003"/>
  </r>
  <r>
    <n v="570"/>
    <x v="569"/>
    <n v="203"/>
    <n v="176"/>
    <x v="11"/>
    <n v="27"/>
    <d v="1899-12-30T00:00:40"/>
    <n v="117.33333333333333"/>
    <n v="0.66666666666666663"/>
    <n v="40"/>
    <d v="1899-12-30T00:02:30"/>
    <n v="440"/>
    <n v="2.5"/>
    <n v="150"/>
    <n v="78"/>
    <n v="0.44779999999999998"/>
    <n v="78.812799999999996"/>
  </r>
  <r>
    <n v="571"/>
    <x v="570"/>
    <n v="182"/>
    <n v="162"/>
    <x v="13"/>
    <n v="20"/>
    <d v="1899-12-30T00:00:25"/>
    <n v="67.5"/>
    <n v="0.41666666666666669"/>
    <n v="25"/>
    <d v="1899-12-30T00:02:48"/>
    <n v="453.59999999999997"/>
    <n v="2.8"/>
    <n v="168"/>
    <n v="96"/>
    <n v="0.59430000000000005"/>
    <n v="96.276600000000002"/>
  </r>
  <r>
    <n v="572"/>
    <x v="571"/>
    <n v="18"/>
    <n v="17"/>
    <x v="0"/>
    <n v="1"/>
    <d v="1899-12-30T00:00:55"/>
    <n v="15.583333333333332"/>
    <n v="0.91666666666666663"/>
    <n v="55"/>
    <d v="1899-12-30T00:04:01"/>
    <n v="68.283333333333331"/>
    <n v="4.0166666666666666"/>
    <n v="241"/>
    <n v="8"/>
    <n v="0.5"/>
    <n v="8.5"/>
  </r>
  <r>
    <n v="573"/>
    <x v="572"/>
    <n v="215"/>
    <n v="170"/>
    <x v="24"/>
    <n v="45"/>
    <d v="1899-12-30T00:00:55"/>
    <n v="155.83333333333331"/>
    <n v="0.91666666666666663"/>
    <n v="55"/>
    <d v="1899-12-30T00:02:49"/>
    <n v="478.83333333333331"/>
    <n v="2.8166666666666664"/>
    <n v="169"/>
    <n v="73"/>
    <n v="0.43059999999999998"/>
    <n v="73.201999999999998"/>
  </r>
  <r>
    <n v="574"/>
    <x v="573"/>
    <n v="209"/>
    <n v="203"/>
    <x v="7"/>
    <n v="6"/>
    <d v="1899-12-30T00:00:25"/>
    <n v="84.583333333333343"/>
    <n v="0.41666666666666669"/>
    <n v="25"/>
    <d v="1899-12-30T00:02:42"/>
    <n v="548.1"/>
    <n v="2.7"/>
    <n v="162"/>
    <n v="152"/>
    <n v="0.74880000000000002"/>
    <n v="152.00640000000001"/>
  </r>
  <r>
    <n v="575"/>
    <x v="574"/>
    <n v="140"/>
    <n v="134"/>
    <x v="10"/>
    <n v="6"/>
    <d v="1899-12-30T00:00:20"/>
    <n v="44.666666666666664"/>
    <n v="0.33333333333333331"/>
    <n v="20"/>
    <d v="1899-12-30T00:02:59"/>
    <n v="399.76666666666665"/>
    <n v="2.9833333333333334"/>
    <n v="179"/>
    <n v="102"/>
    <n v="0.76259999999999994"/>
    <n v="102.18839999999999"/>
  </r>
  <r>
    <n v="576"/>
    <x v="575"/>
    <n v="124"/>
    <n v="110"/>
    <x v="8"/>
    <n v="14"/>
    <d v="1899-12-30T00:00:15"/>
    <n v="27.5"/>
    <n v="0.25"/>
    <n v="15"/>
    <d v="1899-12-30T00:02:56"/>
    <n v="322.66666666666669"/>
    <n v="2.9333333333333336"/>
    <n v="176"/>
    <n v="90"/>
    <n v="0.81820000000000004"/>
    <n v="90.00200000000001"/>
  </r>
  <r>
    <n v="577"/>
    <x v="576"/>
    <n v="179"/>
    <n v="163"/>
    <x v="1"/>
    <n v="16"/>
    <d v="1899-12-30T00:00:23"/>
    <n v="62.483333333333334"/>
    <n v="0.38333333333333336"/>
    <n v="23"/>
    <d v="1899-12-30T00:02:44"/>
    <n v="445.53333333333336"/>
    <n v="2.7333333333333334"/>
    <n v="164"/>
    <n v="116"/>
    <n v="0.71589999999999998"/>
    <n v="116.6917"/>
  </r>
  <r>
    <n v="578"/>
    <x v="577"/>
    <n v="163"/>
    <n v="161"/>
    <x v="5"/>
    <n v="2"/>
    <d v="1899-12-30T00:00:10"/>
    <n v="26.833333333333332"/>
    <n v="0.16666666666666666"/>
    <n v="10"/>
    <d v="1899-12-30T00:02:40"/>
    <n v="429.33333333333331"/>
    <n v="2.6666666666666665"/>
    <n v="160"/>
    <n v="152"/>
    <n v="0.94410000000000005"/>
    <n v="152.0001"/>
  </r>
  <r>
    <n v="579"/>
    <x v="578"/>
    <n v="27"/>
    <n v="27"/>
    <x v="3"/>
    <n v="0"/>
    <d v="1899-12-30T00:00:05"/>
    <n v="2.25"/>
    <n v="8.3333333333333329E-2"/>
    <n v="5"/>
    <d v="1899-12-30T00:02:48"/>
    <n v="75.599999999999994"/>
    <n v="2.8"/>
    <n v="168"/>
    <n v="27"/>
    <n v="1"/>
    <n v="27"/>
  </r>
  <r>
    <n v="580"/>
    <x v="579"/>
    <n v="182"/>
    <n v="175"/>
    <x v="4"/>
    <n v="7"/>
    <d v="1899-12-30T00:00:19"/>
    <n v="55.416666666666664"/>
    <n v="0.31666666666666665"/>
    <n v="19"/>
    <d v="1899-12-30T00:02:38"/>
    <n v="460.83333333333331"/>
    <n v="2.6333333333333333"/>
    <n v="158"/>
    <n v="139"/>
    <n v="0.79890000000000005"/>
    <n v="139.8075"/>
  </r>
  <r>
    <n v="581"/>
    <x v="580"/>
    <n v="164"/>
    <n v="159"/>
    <x v="4"/>
    <n v="5"/>
    <d v="1899-12-30T00:00:11"/>
    <n v="29.15"/>
    <n v="0.18333333333333332"/>
    <n v="11"/>
    <d v="1899-12-30T00:02:23"/>
    <n v="378.95"/>
    <n v="2.3833333333333333"/>
    <n v="143"/>
    <n v="143"/>
    <n v="0.90180000000000005"/>
    <n v="143.3862"/>
  </r>
  <r>
    <n v="582"/>
    <x v="581"/>
    <n v="160"/>
    <n v="159"/>
    <x v="12"/>
    <n v="1"/>
    <d v="1899-12-30T00:00:05"/>
    <n v="13.25"/>
    <n v="8.3333333333333329E-2"/>
    <n v="5"/>
    <d v="1899-12-30T00:02:40"/>
    <n v="424"/>
    <n v="2.6666666666666665"/>
    <n v="160"/>
    <n v="156"/>
    <n v="0.98740000000000006"/>
    <n v="156.9966"/>
  </r>
  <r>
    <n v="583"/>
    <x v="582"/>
    <n v="174"/>
    <n v="155"/>
    <x v="13"/>
    <n v="19"/>
    <d v="1899-12-30T00:00:16"/>
    <n v="41.333333333333336"/>
    <n v="0.26666666666666666"/>
    <n v="16"/>
    <d v="1899-12-30T00:02:41"/>
    <n v="415.91666666666669"/>
    <n v="2.6833333333333336"/>
    <n v="161"/>
    <n v="119"/>
    <n v="0.77059999999999995"/>
    <n v="119.443"/>
  </r>
  <r>
    <n v="584"/>
    <x v="583"/>
    <n v="235"/>
    <n v="230"/>
    <x v="7"/>
    <n v="5"/>
    <d v="1899-12-30T00:00:05"/>
    <n v="19.166666666666664"/>
    <n v="8.3333333333333329E-2"/>
    <n v="5"/>
    <d v="1899-12-30T00:02:27"/>
    <n v="563.5"/>
    <n v="2.4500000000000002"/>
    <n v="147"/>
    <n v="220"/>
    <n v="0.95740000000000003"/>
    <n v="220.202"/>
  </r>
  <r>
    <n v="585"/>
    <x v="584"/>
    <n v="175"/>
    <n v="174"/>
    <x v="12"/>
    <n v="1"/>
    <d v="1899-12-30T00:00:04"/>
    <n v="11.6"/>
    <n v="6.6666666666666666E-2"/>
    <n v="4"/>
    <d v="1899-12-30T00:02:26"/>
    <n v="423.40000000000003"/>
    <n v="2.4333333333333336"/>
    <n v="146"/>
    <n v="172"/>
    <n v="0.98860000000000003"/>
    <n v="172.0164"/>
  </r>
  <r>
    <n v="586"/>
    <x v="585"/>
    <n v="25"/>
    <n v="25"/>
    <x v="3"/>
    <n v="0"/>
    <d v="1899-12-30T00:00:04"/>
    <n v="1.6666666666666667"/>
    <n v="6.6666666666666666E-2"/>
    <n v="4"/>
    <d v="1899-12-30T00:03:15"/>
    <n v="81.25"/>
    <n v="3.25"/>
    <n v="195"/>
    <n v="24"/>
    <n v="0.96"/>
    <n v="24"/>
  </r>
  <r>
    <n v="587"/>
    <x v="586"/>
    <n v="170"/>
    <n v="167"/>
    <x v="5"/>
    <n v="3"/>
    <d v="1899-12-30T00:00:06"/>
    <n v="16.7"/>
    <n v="0.1"/>
    <n v="6"/>
    <d v="1899-12-30T00:02:35"/>
    <n v="431.41666666666669"/>
    <n v="2.5833333333333335"/>
    <n v="155"/>
    <n v="157"/>
    <n v="0.94079999999999997"/>
    <n v="157.11359999999999"/>
  </r>
  <r>
    <n v="588"/>
    <x v="587"/>
    <n v="187"/>
    <n v="168"/>
    <x v="13"/>
    <n v="19"/>
    <d v="1899-12-30T00:00:26"/>
    <n v="72.8"/>
    <n v="0.43333333333333335"/>
    <n v="26"/>
    <d v="1899-12-30T00:02:20"/>
    <n v="392"/>
    <n v="2.3333333333333335"/>
    <n v="140"/>
    <n v="118"/>
    <n v="0.70430000000000004"/>
    <n v="118.3224"/>
  </r>
  <r>
    <n v="589"/>
    <x v="588"/>
    <n v="53"/>
    <n v="51"/>
    <x v="4"/>
    <n v="2"/>
    <d v="1899-12-30T00:00:06"/>
    <n v="5.1000000000000005"/>
    <n v="0.1"/>
    <n v="6"/>
    <d v="1899-12-30T00:02:29"/>
    <n v="126.65"/>
    <n v="2.4833333333333334"/>
    <n v="149"/>
    <n v="45"/>
    <n v="0.88680000000000003"/>
    <n v="45.226800000000004"/>
  </r>
  <r>
    <n v="590"/>
    <x v="589"/>
    <n v="121"/>
    <n v="117"/>
    <x v="4"/>
    <n v="4"/>
    <d v="1899-12-30T00:00:13"/>
    <n v="25.35"/>
    <n v="0.21666666666666667"/>
    <n v="13"/>
    <d v="1899-12-30T00:02:36"/>
    <n v="304.2"/>
    <n v="2.6"/>
    <n v="156"/>
    <n v="100"/>
    <n v="0.85829999999999995"/>
    <n v="100.4211"/>
  </r>
  <r>
    <n v="591"/>
    <x v="590"/>
    <n v="143"/>
    <n v="139"/>
    <x v="7"/>
    <n v="4"/>
    <d v="1899-12-30T00:00:05"/>
    <n v="11.583333333333332"/>
    <n v="8.3333333333333329E-2"/>
    <n v="5"/>
    <d v="1899-12-30T00:02:26"/>
    <n v="338.23333333333335"/>
    <n v="2.4333333333333336"/>
    <n v="146"/>
    <n v="131"/>
    <n v="0.94410000000000005"/>
    <n v="131.22990000000001"/>
  </r>
  <r>
    <n v="592"/>
    <x v="591"/>
    <n v="100"/>
    <n v="96"/>
    <x v="4"/>
    <n v="4"/>
    <d v="1899-12-30T00:00:06"/>
    <n v="9.6000000000000014"/>
    <n v="0.1"/>
    <n v="6"/>
    <d v="1899-12-30T00:02:28"/>
    <n v="236.8"/>
    <n v="2.4666666666666668"/>
    <n v="148"/>
    <n v="88"/>
    <n v="0.91920000000000002"/>
    <n v="88.243200000000002"/>
  </r>
  <r>
    <n v="593"/>
    <x v="592"/>
    <n v="17"/>
    <n v="17"/>
    <x v="3"/>
    <n v="0"/>
    <d v="1899-12-30T00:00:08"/>
    <n v="2.2666666666666666"/>
    <n v="0.13333333333333333"/>
    <n v="8"/>
    <d v="1899-12-30T00:02:55"/>
    <n v="49.583333333333329"/>
    <n v="2.9166666666666665"/>
    <n v="175"/>
    <n v="15"/>
    <n v="0.88239999999999996"/>
    <n v="15.0008"/>
  </r>
  <r>
    <n v="594"/>
    <x v="593"/>
    <n v="113"/>
    <n v="110"/>
    <x v="7"/>
    <n v="3"/>
    <d v="1899-12-30T00:00:08"/>
    <n v="14.666666666666666"/>
    <n v="0.13333333333333333"/>
    <n v="8"/>
    <d v="1899-12-30T00:02:33"/>
    <n v="280.5"/>
    <n v="2.5499999999999998"/>
    <n v="153"/>
    <n v="99"/>
    <n v="0.90180000000000005"/>
    <n v="99.198000000000008"/>
  </r>
  <r>
    <n v="595"/>
    <x v="594"/>
    <n v="139"/>
    <n v="128"/>
    <x v="6"/>
    <n v="11"/>
    <d v="1899-12-30T00:00:13"/>
    <n v="27.733333333333334"/>
    <n v="0.21666666666666667"/>
    <n v="13"/>
    <d v="1899-12-30T00:02:38"/>
    <n v="337.06666666666666"/>
    <n v="2.6333333333333333"/>
    <n v="158"/>
    <n v="104"/>
    <n v="0.82010000000000005"/>
    <n v="104.97280000000001"/>
  </r>
  <r>
    <n v="596"/>
    <x v="595"/>
    <n v="135"/>
    <n v="134"/>
    <x v="12"/>
    <n v="1"/>
    <d v="1899-12-30T00:00:04"/>
    <n v="8.9333333333333336"/>
    <n v="6.6666666666666666E-2"/>
    <n v="4"/>
    <d v="1899-12-30T00:02:34"/>
    <n v="343.93333333333328"/>
    <n v="2.5666666666666664"/>
    <n v="154"/>
    <n v="132"/>
    <n v="0.98519999999999996"/>
    <n v="132.01679999999999"/>
  </r>
  <r>
    <n v="597"/>
    <x v="596"/>
    <n v="29"/>
    <n v="29"/>
    <x v="3"/>
    <n v="0"/>
    <d v="1899-12-30T00:00:15"/>
    <n v="7.25"/>
    <n v="0.25"/>
    <n v="15"/>
    <d v="1899-12-30T00:03:13"/>
    <n v="93.283333333333331"/>
    <n v="3.2166666666666668"/>
    <n v="193"/>
    <n v="22"/>
    <n v="0.79310000000000003"/>
    <n v="22.9999"/>
  </r>
  <r>
    <n v="598"/>
    <x v="597"/>
    <n v="120"/>
    <n v="116"/>
    <x v="4"/>
    <n v="4"/>
    <d v="1899-12-30T00:00:05"/>
    <n v="9.6666666666666661"/>
    <n v="8.3333333333333329E-2"/>
    <n v="5"/>
    <d v="1899-12-30T00:02:43"/>
    <n v="315.13333333333333"/>
    <n v="2.7166666666666668"/>
    <n v="163"/>
    <n v="111"/>
    <n v="0.95830000000000004"/>
    <n v="111.1628"/>
  </r>
  <r>
    <n v="599"/>
    <x v="598"/>
    <n v="115"/>
    <n v="108"/>
    <x v="2"/>
    <n v="7"/>
    <d v="1899-12-30T00:00:09"/>
    <n v="16.2"/>
    <n v="0.15"/>
    <n v="9"/>
    <d v="1899-12-30T00:02:50"/>
    <n v="306"/>
    <n v="2.8333333333333335"/>
    <n v="170"/>
    <n v="95"/>
    <n v="0.88700000000000001"/>
    <n v="95.796000000000006"/>
  </r>
  <r>
    <n v="600"/>
    <x v="599"/>
    <n v="14"/>
    <n v="14"/>
    <x v="3"/>
    <n v="0"/>
    <d v="1899-12-30T00:00:14"/>
    <n v="3.2666666666666666"/>
    <n v="0.23333333333333334"/>
    <n v="14"/>
    <d v="1899-12-30T00:02:17"/>
    <n v="31.966666666666665"/>
    <n v="2.2833333333333332"/>
    <n v="137"/>
    <n v="10"/>
    <n v="0.78569999999999995"/>
    <n v="10.999799999999999"/>
  </r>
  <r>
    <n v="601"/>
    <x v="600"/>
    <n v="107"/>
    <n v="104"/>
    <x v="7"/>
    <n v="3"/>
    <d v="1899-12-30T00:00:07"/>
    <n v="12.133333333333333"/>
    <n v="0.11666666666666667"/>
    <n v="7"/>
    <d v="1899-12-30T00:02:29"/>
    <n v="258.26666666666665"/>
    <n v="2.4833333333333334"/>
    <n v="149"/>
    <n v="94"/>
    <n v="0.90569999999999995"/>
    <n v="94.192799999999991"/>
  </r>
  <r>
    <n v="602"/>
    <x v="601"/>
    <n v="137"/>
    <n v="128"/>
    <x v="2"/>
    <n v="9"/>
    <d v="1899-12-30T00:00:10"/>
    <n v="21.333333333333332"/>
    <n v="0.16666666666666666"/>
    <n v="10"/>
    <d v="1899-12-30T00:02:30"/>
    <n v="320"/>
    <n v="2.5"/>
    <n v="150"/>
    <n v="109"/>
    <n v="0.85289999999999999"/>
    <n v="109.1712"/>
  </r>
  <r>
    <n v="603"/>
    <x v="602"/>
    <n v="106"/>
    <n v="105"/>
    <x v="12"/>
    <n v="1"/>
    <d v="1899-12-30T00:00:11"/>
    <n v="19.25"/>
    <n v="0.18333333333333332"/>
    <n v="11"/>
    <d v="1899-12-30T00:02:47"/>
    <n v="292.25"/>
    <n v="2.7833333333333332"/>
    <n v="167"/>
    <n v="90"/>
    <n v="0.85850000000000004"/>
    <n v="90.142499999999998"/>
  </r>
  <r>
    <n v="604"/>
    <x v="603"/>
    <n v="116"/>
    <n v="108"/>
    <x v="2"/>
    <n v="8"/>
    <d v="1899-12-30T00:00:19"/>
    <n v="34.199999999999996"/>
    <n v="0.31666666666666665"/>
    <n v="19"/>
    <d v="1899-12-30T00:02:26"/>
    <n v="262.8"/>
    <n v="2.4333333333333336"/>
    <n v="146"/>
    <n v="90"/>
    <n v="0.8407"/>
    <n v="90.795600000000007"/>
  </r>
  <r>
    <n v="605"/>
    <x v="604"/>
    <n v="120"/>
    <n v="117"/>
    <x v="7"/>
    <n v="3"/>
    <d v="1899-12-30T00:00:09"/>
    <n v="17.55"/>
    <n v="0.15"/>
    <n v="9"/>
    <d v="1899-12-30T00:02:37"/>
    <n v="306.14999999999998"/>
    <n v="2.6166666666666667"/>
    <n v="157"/>
    <n v="106"/>
    <n v="0.90759999999999996"/>
    <n v="106.1892"/>
  </r>
  <r>
    <n v="606"/>
    <x v="605"/>
    <n v="123"/>
    <n v="121"/>
    <x v="5"/>
    <n v="2"/>
    <d v="1899-12-30T00:00:07"/>
    <n v="14.116666666666667"/>
    <n v="0.11666666666666667"/>
    <n v="7"/>
    <d v="1899-12-30T00:02:27"/>
    <n v="296.45000000000005"/>
    <n v="2.4500000000000002"/>
    <n v="147"/>
    <n v="110"/>
    <n v="0.91059999999999997"/>
    <n v="110.18259999999999"/>
  </r>
  <r>
    <n v="607"/>
    <x v="606"/>
    <n v="31"/>
    <n v="31"/>
    <x v="3"/>
    <n v="0"/>
    <d v="1899-12-30T00:00:03"/>
    <n v="1.55"/>
    <n v="0.05"/>
    <n v="3"/>
    <d v="1899-12-30T00:02:18"/>
    <n v="71.3"/>
    <n v="2.2999999999999998"/>
    <n v="138"/>
    <n v="31"/>
    <n v="1"/>
    <n v="31"/>
  </r>
  <r>
    <n v="608"/>
    <x v="607"/>
    <n v="140"/>
    <n v="139"/>
    <x v="12"/>
    <n v="1"/>
    <d v="1899-12-30T00:00:08"/>
    <n v="18.533333333333331"/>
    <n v="0.13333333333333333"/>
    <n v="8"/>
    <d v="1899-12-30T00:02:39"/>
    <n v="368.34999999999997"/>
    <n v="2.65"/>
    <n v="159"/>
    <n v="128"/>
    <n v="0.9214"/>
    <n v="128.0746"/>
  </r>
  <r>
    <n v="609"/>
    <x v="608"/>
    <n v="168"/>
    <n v="161"/>
    <x v="10"/>
    <n v="7"/>
    <d v="1899-12-30T00:00:18"/>
    <n v="48.3"/>
    <n v="0.3"/>
    <n v="18"/>
    <d v="1899-12-30T00:02:24"/>
    <n v="386.4"/>
    <n v="2.4"/>
    <n v="144"/>
    <n v="118"/>
    <n v="0.73650000000000004"/>
    <n v="118.57650000000001"/>
  </r>
  <r>
    <n v="610"/>
    <x v="609"/>
    <n v="146"/>
    <n v="144"/>
    <x v="5"/>
    <n v="2"/>
    <d v="1899-12-30T00:00:06"/>
    <n v="14.4"/>
    <n v="0.1"/>
    <n v="6"/>
    <d v="1899-12-30T00:02:38"/>
    <n v="379.2"/>
    <n v="2.6333333333333333"/>
    <n v="158"/>
    <n v="136"/>
    <n v="0.94479999999999997"/>
    <n v="136.05119999999999"/>
  </r>
  <r>
    <n v="611"/>
    <x v="610"/>
    <n v="110"/>
    <n v="106"/>
    <x v="4"/>
    <n v="4"/>
    <d v="1899-12-30T00:00:15"/>
    <n v="26.5"/>
    <n v="0.25"/>
    <n v="15"/>
    <d v="1899-12-30T00:02:50"/>
    <n v="300.33333333333337"/>
    <n v="2.8333333333333335"/>
    <n v="170"/>
    <n v="84"/>
    <n v="0.8"/>
    <n v="84.800000000000011"/>
  </r>
  <r>
    <n v="612"/>
    <x v="611"/>
    <n v="342"/>
    <n v="333"/>
    <x v="7"/>
    <n v="9"/>
    <d v="1899-12-30T00:00:15"/>
    <n v="83.25"/>
    <n v="0.25"/>
    <n v="15"/>
    <d v="1899-12-30T00:02:10"/>
    <n v="721.5"/>
    <n v="2.1666666666666665"/>
    <n v="130"/>
    <n v="271"/>
    <n v="0.81420000000000003"/>
    <n v="271.12860000000001"/>
  </r>
  <r>
    <n v="613"/>
    <x v="612"/>
    <n v="190"/>
    <n v="183"/>
    <x v="4"/>
    <n v="7"/>
    <d v="1899-12-30T00:00:16"/>
    <n v="48.8"/>
    <n v="0.26666666666666666"/>
    <n v="16"/>
    <d v="1899-12-30T00:02:32"/>
    <n v="463.59999999999997"/>
    <n v="2.5333333333333332"/>
    <n v="152"/>
    <n v="144"/>
    <n v="0.78949999999999998"/>
    <n v="144.4785"/>
  </r>
  <r>
    <n v="614"/>
    <x v="613"/>
    <n v="25"/>
    <n v="24"/>
    <x v="4"/>
    <n v="1"/>
    <d v="1899-12-30T00:00:06"/>
    <n v="2.4000000000000004"/>
    <n v="0.1"/>
    <n v="6"/>
    <d v="1899-12-30T00:02:22"/>
    <n v="56.8"/>
    <n v="2.3666666666666667"/>
    <n v="142"/>
    <n v="22"/>
    <n v="0.91669999999999996"/>
    <n v="22.000799999999998"/>
  </r>
  <r>
    <n v="615"/>
    <x v="614"/>
    <n v="169"/>
    <n v="162"/>
    <x v="10"/>
    <n v="7"/>
    <d v="1899-12-30T00:00:09"/>
    <n v="24.3"/>
    <n v="0.15"/>
    <n v="9"/>
    <d v="1899-12-30T00:02:31"/>
    <n v="407.7"/>
    <n v="2.5166666666666666"/>
    <n v="151"/>
    <n v="144"/>
    <n v="0.89159999999999995"/>
    <n v="144.4392"/>
  </r>
  <r>
    <n v="616"/>
    <x v="615"/>
    <n v="130"/>
    <n v="129"/>
    <x v="12"/>
    <n v="1"/>
    <d v="1899-12-30T00:00:11"/>
    <n v="23.65"/>
    <n v="0.18333333333333332"/>
    <n v="11"/>
    <d v="1899-12-30T00:02:30"/>
    <n v="322.5"/>
    <n v="2.5"/>
    <n v="150"/>
    <n v="112"/>
    <n v="0.86919999999999997"/>
    <n v="112.1268"/>
  </r>
  <r>
    <n v="617"/>
    <x v="616"/>
    <n v="22"/>
    <n v="20"/>
    <x v="9"/>
    <n v="2"/>
    <d v="1899-12-30T00:00:09"/>
    <n v="3"/>
    <n v="0.15"/>
    <n v="9"/>
    <d v="1899-12-30T00:03:15"/>
    <n v="65"/>
    <n v="3.25"/>
    <n v="195"/>
    <n v="18"/>
    <n v="0.90480000000000005"/>
    <n v="18.096"/>
  </r>
  <r>
    <n v="618"/>
    <x v="617"/>
    <n v="5"/>
    <n v="5"/>
    <x v="3"/>
    <n v="0"/>
    <d v="1899-12-30T00:00:28"/>
    <n v="2.3333333333333335"/>
    <n v="0.46666666666666667"/>
    <n v="28"/>
    <d v="1899-12-30T00:02:25"/>
    <n v="12.083333333333332"/>
    <n v="2.4166666666666665"/>
    <n v="145"/>
    <n v="3"/>
    <n v="0.6"/>
    <n v="3"/>
  </r>
  <r>
    <n v="619"/>
    <x v="618"/>
    <n v="119"/>
    <n v="115"/>
    <x v="4"/>
    <n v="4"/>
    <d v="1899-12-30T00:00:11"/>
    <n v="21.083333333333332"/>
    <n v="0.18333333333333332"/>
    <n v="11"/>
    <d v="1899-12-30T00:02:28"/>
    <n v="283.66666666666669"/>
    <n v="2.4666666666666668"/>
    <n v="148"/>
    <n v="99"/>
    <n v="0.86439999999999995"/>
    <n v="99.405999999999992"/>
  </r>
  <r>
    <n v="620"/>
    <x v="619"/>
    <n v="140"/>
    <n v="138"/>
    <x v="5"/>
    <n v="2"/>
    <d v="1899-12-30T00:00:09"/>
    <n v="20.7"/>
    <n v="0.15"/>
    <n v="9"/>
    <d v="1899-12-30T00:02:17"/>
    <n v="315.09999999999997"/>
    <n v="2.2833333333333332"/>
    <n v="137"/>
    <n v="127"/>
    <n v="0.9214"/>
    <n v="127.1532"/>
  </r>
  <r>
    <n v="621"/>
    <x v="620"/>
    <n v="22"/>
    <n v="22"/>
    <x v="3"/>
    <n v="0"/>
    <d v="1899-12-30T00:00:06"/>
    <n v="2.2000000000000002"/>
    <n v="0.1"/>
    <n v="6"/>
    <d v="1899-12-30T00:02:21"/>
    <n v="51.7"/>
    <n v="2.35"/>
    <n v="141"/>
    <n v="20"/>
    <n v="0.90910000000000002"/>
    <n v="20.0002"/>
  </r>
  <r>
    <n v="622"/>
    <x v="621"/>
    <n v="126"/>
    <n v="124"/>
    <x v="5"/>
    <n v="2"/>
    <d v="1899-12-30T00:00:08"/>
    <n v="16.533333333333331"/>
    <n v="0.13333333333333333"/>
    <n v="8"/>
    <d v="1899-12-30T00:02:35"/>
    <n v="320.33333333333337"/>
    <n v="2.5833333333333335"/>
    <n v="155"/>
    <n v="117"/>
    <n v="0.94399999999999995"/>
    <n v="117.056"/>
  </r>
  <r>
    <n v="623"/>
    <x v="622"/>
    <n v="122"/>
    <n v="111"/>
    <x v="9"/>
    <n v="11"/>
    <d v="1899-12-30T00:00:13"/>
    <n v="24.05"/>
    <n v="0.21666666666666667"/>
    <n v="13"/>
    <d v="1899-12-30T00:02:43"/>
    <n v="301.55"/>
    <n v="2.7166666666666668"/>
    <n v="163"/>
    <n v="86"/>
    <n v="0.77690000000000003"/>
    <n v="86.235900000000001"/>
  </r>
  <r>
    <n v="624"/>
    <x v="623"/>
    <n v="113"/>
    <n v="108"/>
    <x v="10"/>
    <n v="5"/>
    <d v="1899-12-30T00:00:13"/>
    <n v="23.400000000000002"/>
    <n v="0.21666666666666667"/>
    <n v="13"/>
    <d v="1899-12-30T00:02:31"/>
    <n v="271.8"/>
    <n v="2.5166666666666666"/>
    <n v="151"/>
    <n v="89"/>
    <n v="0.82879999999999998"/>
    <n v="89.510400000000004"/>
  </r>
  <r>
    <n v="625"/>
    <x v="624"/>
    <n v="119"/>
    <n v="109"/>
    <x v="1"/>
    <n v="10"/>
    <d v="1899-12-30T00:00:17"/>
    <n v="30.883333333333333"/>
    <n v="0.28333333333333333"/>
    <n v="17"/>
    <d v="1899-12-30T00:02:36"/>
    <n v="283.40000000000003"/>
    <n v="2.6"/>
    <n v="156"/>
    <n v="91"/>
    <n v="0.83620000000000005"/>
    <n v="91.145800000000008"/>
  </r>
  <r>
    <n v="626"/>
    <x v="625"/>
    <n v="134"/>
    <n v="119"/>
    <x v="8"/>
    <n v="15"/>
    <d v="1899-12-30T00:00:24"/>
    <n v="47.6"/>
    <n v="0.4"/>
    <n v="24"/>
    <d v="1899-12-30T00:02:46"/>
    <n v="329.23333333333335"/>
    <n v="2.7666666666666666"/>
    <n v="166"/>
    <n v="75"/>
    <n v="0.63429999999999997"/>
    <n v="75.481700000000004"/>
  </r>
  <r>
    <n v="627"/>
    <x v="626"/>
    <n v="101"/>
    <n v="97"/>
    <x v="4"/>
    <n v="4"/>
    <d v="1899-12-30T00:00:16"/>
    <n v="25.866666666666667"/>
    <n v="0.26666666666666666"/>
    <n v="16"/>
    <d v="1899-12-30T00:02:33"/>
    <n v="247.35"/>
    <n v="2.5499999999999998"/>
    <n v="153"/>
    <n v="74"/>
    <n v="0.77"/>
    <n v="74.69"/>
  </r>
  <r>
    <n v="628"/>
    <x v="627"/>
    <n v="20"/>
    <n v="20"/>
    <x v="3"/>
    <n v="0"/>
    <d v="1899-12-30T00:00:04"/>
    <n v="1.3333333333333333"/>
    <n v="6.6666666666666666E-2"/>
    <n v="4"/>
    <d v="1899-12-30T00:02:24"/>
    <n v="48"/>
    <n v="2.4"/>
    <n v="144"/>
    <n v="20"/>
    <n v="1"/>
    <n v="20"/>
  </r>
  <r>
    <n v="629"/>
    <x v="628"/>
    <n v="169"/>
    <n v="162"/>
    <x v="10"/>
    <n v="7"/>
    <d v="1899-12-30T00:00:17"/>
    <n v="45.9"/>
    <n v="0.28333333333333333"/>
    <n v="17"/>
    <d v="1899-12-30T00:02:32"/>
    <n v="410.4"/>
    <n v="2.5333333333333332"/>
    <n v="152"/>
    <n v="129"/>
    <n v="0.80120000000000002"/>
    <n v="129.7944"/>
  </r>
  <r>
    <n v="630"/>
    <x v="629"/>
    <n v="137"/>
    <n v="133"/>
    <x v="7"/>
    <n v="4"/>
    <d v="1899-12-30T00:00:29"/>
    <n v="64.283333333333331"/>
    <n v="0.48333333333333334"/>
    <n v="29"/>
    <d v="1899-12-30T00:02:37"/>
    <n v="348.01666666666665"/>
    <n v="2.6166666666666667"/>
    <n v="157"/>
    <n v="82"/>
    <n v="0.62039999999999995"/>
    <n v="82.513199999999998"/>
  </r>
  <r>
    <n v="631"/>
    <x v="630"/>
    <n v="133"/>
    <n v="127"/>
    <x v="10"/>
    <n v="6"/>
    <d v="1899-12-30T00:00:18"/>
    <n v="38.1"/>
    <n v="0.3"/>
    <n v="18"/>
    <d v="1899-12-30T00:02:39"/>
    <n v="336.55"/>
    <n v="2.65"/>
    <n v="159"/>
    <n v="104"/>
    <n v="0.81950000000000001"/>
    <n v="104.0765"/>
  </r>
  <r>
    <n v="632"/>
    <x v="631"/>
    <n v="184"/>
    <n v="179"/>
    <x v="7"/>
    <n v="5"/>
    <d v="1899-12-30T00:00:10"/>
    <n v="29.833333333333332"/>
    <n v="0.16666666666666666"/>
    <n v="10"/>
    <d v="1899-12-30T00:02:03"/>
    <n v="366.95"/>
    <n v="2.0499999999999998"/>
    <n v="122.99999999999999"/>
    <n v="162"/>
    <n v="0.90559999999999996"/>
    <n v="162.10239999999999"/>
  </r>
  <r>
    <n v="633"/>
    <x v="632"/>
    <n v="145"/>
    <n v="135"/>
    <x v="2"/>
    <n v="10"/>
    <d v="1899-12-30T00:00:21"/>
    <n v="47.25"/>
    <n v="0.35"/>
    <n v="21"/>
    <d v="1899-12-30T00:02:35"/>
    <n v="348.75"/>
    <n v="2.5833333333333335"/>
    <n v="155"/>
    <n v="100"/>
    <n v="0.74129999999999996"/>
    <n v="100.07549999999999"/>
  </r>
  <r>
    <n v="634"/>
    <x v="633"/>
    <n v="114"/>
    <n v="108"/>
    <x v="0"/>
    <n v="6"/>
    <d v="1899-12-30T00:00:14"/>
    <n v="25.2"/>
    <n v="0.23333333333333334"/>
    <n v="14"/>
    <d v="1899-12-30T00:02:31"/>
    <n v="271.8"/>
    <n v="2.5166666666666666"/>
    <n v="151"/>
    <n v="89"/>
    <n v="0.82879999999999998"/>
    <n v="89.510400000000004"/>
  </r>
  <r>
    <n v="635"/>
    <x v="634"/>
    <n v="24"/>
    <n v="23"/>
    <x v="10"/>
    <n v="1"/>
    <d v="1899-12-30T00:00:05"/>
    <n v="1.9166666666666665"/>
    <n v="8.3333333333333329E-2"/>
    <n v="5"/>
    <d v="1899-12-30T00:02:12"/>
    <n v="50.6"/>
    <n v="2.2000000000000002"/>
    <n v="132"/>
    <n v="22"/>
    <n v="0.95830000000000004"/>
    <n v="22.040900000000001"/>
  </r>
  <r>
    <n v="636"/>
    <x v="635"/>
    <n v="143"/>
    <n v="136"/>
    <x v="10"/>
    <n v="7"/>
    <d v="1899-12-30T00:00:09"/>
    <n v="20.399999999999999"/>
    <n v="0.15"/>
    <n v="9"/>
    <d v="1899-12-30T00:02:32"/>
    <n v="344.5333333333333"/>
    <n v="2.5333333333333332"/>
    <n v="152"/>
    <n v="114"/>
    <n v="0.84509999999999996"/>
    <n v="114.9336"/>
  </r>
  <r>
    <n v="637"/>
    <x v="636"/>
    <n v="119"/>
    <n v="114"/>
    <x v="10"/>
    <n v="5"/>
    <d v="1899-12-30T00:00:08"/>
    <n v="15.2"/>
    <n v="0.13333333333333333"/>
    <n v="8"/>
    <d v="1899-12-30T00:02:22"/>
    <n v="269.8"/>
    <n v="2.3666666666666667"/>
    <n v="142"/>
    <n v="103"/>
    <n v="0.90600000000000003"/>
    <n v="103.28400000000001"/>
  </r>
  <r>
    <n v="638"/>
    <x v="637"/>
    <n v="123"/>
    <n v="118"/>
    <x v="10"/>
    <n v="5"/>
    <d v="1899-12-30T00:00:21"/>
    <n v="41.3"/>
    <n v="0.35"/>
    <n v="21"/>
    <d v="1899-12-30T00:02:46"/>
    <n v="326.46666666666664"/>
    <n v="2.7666666666666666"/>
    <n v="166"/>
    <n v="83"/>
    <n v="0.70730000000000004"/>
    <n v="83.461399999999998"/>
  </r>
  <r>
    <n v="639"/>
    <x v="638"/>
    <n v="145"/>
    <n v="141"/>
    <x v="7"/>
    <n v="4"/>
    <d v="1899-12-30T00:00:14"/>
    <n v="32.9"/>
    <n v="0.23333333333333334"/>
    <n v="14"/>
    <d v="1899-12-30T00:02:36"/>
    <n v="366.6"/>
    <n v="2.6"/>
    <n v="156"/>
    <n v="117"/>
    <n v="0.83330000000000004"/>
    <n v="117.4953"/>
  </r>
  <r>
    <n v="640"/>
    <x v="639"/>
    <n v="108"/>
    <n v="106"/>
    <x v="5"/>
    <n v="2"/>
    <d v="1899-12-30T00:00:26"/>
    <n v="45.933333333333337"/>
    <n v="0.43333333333333335"/>
    <n v="26"/>
    <d v="1899-12-30T00:02:50"/>
    <n v="300.33333333333337"/>
    <n v="2.8333333333333335"/>
    <n v="170"/>
    <n v="72"/>
    <n v="0.68220000000000003"/>
    <n v="72.313200000000009"/>
  </r>
  <r>
    <n v="641"/>
    <x v="640"/>
    <n v="128"/>
    <n v="125"/>
    <x v="7"/>
    <n v="3"/>
    <d v="1899-12-30T00:00:13"/>
    <n v="27.083333333333336"/>
    <n v="0.21666666666666667"/>
    <n v="13"/>
    <d v="1899-12-30T00:02:45"/>
    <n v="343.75"/>
    <n v="2.75"/>
    <n v="165"/>
    <n v="103"/>
    <n v="0.82679999999999998"/>
    <n v="103.35"/>
  </r>
  <r>
    <n v="642"/>
    <x v="641"/>
    <n v="27"/>
    <n v="26"/>
    <x v="4"/>
    <n v="1"/>
    <d v="1899-12-30T00:00:20"/>
    <n v="8.6666666666666661"/>
    <n v="0.33333333333333331"/>
    <n v="20"/>
    <d v="1899-12-30T00:02:51"/>
    <n v="74.100000000000009"/>
    <n v="2.85"/>
    <n v="171"/>
    <n v="22"/>
    <n v="0.84619999999999995"/>
    <n v="22.001199999999997"/>
  </r>
  <r>
    <n v="643"/>
    <x v="642"/>
    <n v="155"/>
    <n v="151"/>
    <x v="7"/>
    <n v="4"/>
    <d v="1899-12-30T00:00:11"/>
    <n v="27.68333333333333"/>
    <n v="0.18333333333333332"/>
    <n v="11"/>
    <d v="1899-12-30T00:02:32"/>
    <n v="382.5333333333333"/>
    <n v="2.5333333333333332"/>
    <n v="152"/>
    <n v="135"/>
    <n v="0.89610000000000001"/>
    <n v="135.31110000000001"/>
  </r>
  <r>
    <n v="644"/>
    <x v="643"/>
    <n v="116"/>
    <n v="110"/>
    <x v="0"/>
    <n v="6"/>
    <d v="1899-12-30T00:00:18"/>
    <n v="33"/>
    <n v="0.3"/>
    <n v="18"/>
    <d v="1899-12-30T00:02:23"/>
    <n v="262.16666666666669"/>
    <n v="2.3833333333333333"/>
    <n v="143"/>
    <n v="82"/>
    <n v="0.75"/>
    <n v="82.5"/>
  </r>
  <r>
    <n v="645"/>
    <x v="644"/>
    <n v="117"/>
    <n v="111"/>
    <x v="0"/>
    <n v="6"/>
    <d v="1899-12-30T00:00:18"/>
    <n v="33.299999999999997"/>
    <n v="0.3"/>
    <n v="18"/>
    <d v="1899-12-30T00:02:43"/>
    <n v="301.55"/>
    <n v="2.7166666666666668"/>
    <n v="163"/>
    <n v="84"/>
    <n v="0.76519999999999999"/>
    <n v="84.937200000000004"/>
  </r>
  <r>
    <n v="646"/>
    <x v="645"/>
    <n v="113"/>
    <n v="105"/>
    <x v="6"/>
    <n v="8"/>
    <d v="1899-12-30T00:00:31"/>
    <n v="54.250000000000007"/>
    <n v="0.51666666666666672"/>
    <n v="31.000000000000004"/>
    <d v="1899-12-30T00:02:37"/>
    <n v="274.75"/>
    <n v="2.6166666666666667"/>
    <n v="157"/>
    <n v="56"/>
    <n v="0.53979999999999995"/>
    <n v="56.678999999999995"/>
  </r>
  <r>
    <n v="647"/>
    <x v="646"/>
    <n v="107"/>
    <n v="101"/>
    <x v="0"/>
    <n v="6"/>
    <d v="1899-12-30T00:00:23"/>
    <n v="38.716666666666669"/>
    <n v="0.38333333333333336"/>
    <n v="23"/>
    <d v="1899-12-30T00:02:44"/>
    <n v="276.06666666666666"/>
    <n v="2.7333333333333334"/>
    <n v="164"/>
    <n v="74"/>
    <n v="0.73580000000000001"/>
    <n v="74.315799999999996"/>
  </r>
  <r>
    <n v="648"/>
    <x v="647"/>
    <n v="146"/>
    <n v="141"/>
    <x v="4"/>
    <n v="5"/>
    <d v="1899-12-30T00:00:25"/>
    <n v="58.75"/>
    <n v="0.41666666666666669"/>
    <n v="25"/>
    <d v="1899-12-30T00:02:22"/>
    <n v="333.7"/>
    <n v="2.3666666666666667"/>
    <n v="142"/>
    <n v="92"/>
    <n v="0.65749999999999997"/>
    <n v="92.707499999999996"/>
  </r>
  <r>
    <n v="649"/>
    <x v="648"/>
    <n v="29"/>
    <n v="26"/>
    <x v="13"/>
    <n v="3"/>
    <d v="1899-12-30T00:00:09"/>
    <n v="3.9"/>
    <n v="0.15"/>
    <n v="9"/>
    <d v="1899-12-30T00:02:37"/>
    <n v="68.033333333333331"/>
    <n v="2.6166666666666667"/>
    <n v="157"/>
    <n v="22"/>
    <n v="0.85709999999999997"/>
    <n v="22.284599999999998"/>
  </r>
  <r>
    <n v="650"/>
    <x v="649"/>
    <n v="231"/>
    <n v="228"/>
    <x v="5"/>
    <n v="3"/>
    <d v="1899-12-30T00:00:15"/>
    <n v="57"/>
    <n v="0.25"/>
    <n v="15"/>
    <d v="1899-12-30T00:02:09"/>
    <n v="490.2"/>
    <n v="2.15"/>
    <n v="129"/>
    <n v="185"/>
    <n v="0.81389999999999996"/>
    <n v="185.5692"/>
  </r>
  <r>
    <n v="651"/>
    <x v="650"/>
    <n v="239"/>
    <n v="215"/>
    <x v="13"/>
    <n v="24"/>
    <d v="1899-12-30T00:00:23"/>
    <n v="82.416666666666671"/>
    <n v="0.38333333333333336"/>
    <n v="23"/>
    <d v="1899-12-30T00:02:36"/>
    <n v="559"/>
    <n v="2.6"/>
    <n v="156"/>
    <n v="143"/>
    <n v="0.66669999999999996"/>
    <n v="143.34049999999999"/>
  </r>
  <r>
    <n v="652"/>
    <x v="651"/>
    <n v="174"/>
    <n v="154"/>
    <x v="8"/>
    <n v="20"/>
    <d v="1899-12-30T00:00:29"/>
    <n v="74.433333333333337"/>
    <n v="0.48333333333333334"/>
    <n v="29"/>
    <d v="1899-12-30T00:02:40"/>
    <n v="410.66666666666663"/>
    <n v="2.6666666666666665"/>
    <n v="160"/>
    <n v="94"/>
    <n v="0.61309999999999998"/>
    <n v="94.417400000000001"/>
  </r>
  <r>
    <n v="653"/>
    <x v="652"/>
    <n v="168"/>
    <n v="163"/>
    <x v="7"/>
    <n v="5"/>
    <d v="1899-12-30T00:00:21"/>
    <n v="57.05"/>
    <n v="0.35"/>
    <n v="21"/>
    <d v="1899-12-30T00:02:49"/>
    <n v="459.11666666666662"/>
    <n v="2.8166666666666664"/>
    <n v="169"/>
    <n v="115"/>
    <n v="0.70660000000000001"/>
    <n v="115.1758"/>
  </r>
  <r>
    <n v="654"/>
    <x v="653"/>
    <n v="135"/>
    <n v="128"/>
    <x v="0"/>
    <n v="7"/>
    <d v="1899-12-30T00:00:18"/>
    <n v="38.4"/>
    <n v="0.3"/>
    <n v="18"/>
    <d v="1899-12-30T00:02:36"/>
    <n v="332.8"/>
    <n v="2.6"/>
    <n v="156"/>
    <n v="92"/>
    <n v="0.72589999999999999"/>
    <n v="92.915199999999999"/>
  </r>
  <r>
    <n v="655"/>
    <x v="654"/>
    <n v="122"/>
    <n v="113"/>
    <x v="6"/>
    <n v="9"/>
    <d v="1899-12-30T00:00:30"/>
    <n v="56.5"/>
    <n v="0.5"/>
    <n v="30"/>
    <d v="1899-12-30T00:02:49"/>
    <n v="318.2833333333333"/>
    <n v="2.8166666666666664"/>
    <n v="169"/>
    <n v="69"/>
    <n v="0.61160000000000003"/>
    <n v="69.110799999999998"/>
  </r>
  <r>
    <n v="656"/>
    <x v="655"/>
    <n v="13"/>
    <n v="12"/>
    <x v="6"/>
    <n v="1"/>
    <d v="1899-12-30T00:00:24"/>
    <n v="4.8000000000000007"/>
    <n v="0.4"/>
    <n v="24"/>
    <d v="1899-12-30T00:02:45"/>
    <n v="33"/>
    <n v="2.75"/>
    <n v="165"/>
    <n v="8"/>
    <n v="0.66669999999999996"/>
    <n v="8.0003999999999991"/>
  </r>
  <r>
    <n v="657"/>
    <x v="656"/>
    <n v="20"/>
    <n v="18"/>
    <x v="9"/>
    <n v="2"/>
    <d v="1899-12-30T00:00:23"/>
    <n v="6.9"/>
    <n v="0.38333333333333336"/>
    <n v="23"/>
    <d v="1899-12-30T00:02:43"/>
    <n v="48.900000000000006"/>
    <n v="2.7166666666666668"/>
    <n v="163"/>
    <n v="13"/>
    <n v="0.73680000000000001"/>
    <n v="13.2624"/>
  </r>
  <r>
    <n v="658"/>
    <x v="657"/>
    <n v="152"/>
    <n v="141"/>
    <x v="6"/>
    <n v="11"/>
    <d v="1899-12-30T00:00:22"/>
    <n v="51.699999999999996"/>
    <n v="0.36666666666666664"/>
    <n v="22"/>
    <d v="1899-12-30T00:02:41"/>
    <n v="378.35"/>
    <n v="2.6833333333333336"/>
    <n v="161"/>
    <n v="98"/>
    <n v="0.7"/>
    <n v="98.699999999999989"/>
  </r>
  <r>
    <n v="659"/>
    <x v="658"/>
    <n v="132"/>
    <n v="131"/>
    <x v="12"/>
    <n v="1"/>
    <d v="1899-12-30T00:00:12"/>
    <n v="26.200000000000003"/>
    <n v="0.2"/>
    <n v="12"/>
    <d v="1899-12-30T00:02:39"/>
    <n v="347.15"/>
    <n v="2.65"/>
    <n v="159"/>
    <n v="113"/>
    <n v="0.87019999999999997"/>
    <n v="113.9962"/>
  </r>
  <r>
    <n v="660"/>
    <x v="659"/>
    <n v="180"/>
    <n v="171"/>
    <x v="10"/>
    <n v="9"/>
    <d v="1899-12-30T00:00:21"/>
    <n v="59.849999999999994"/>
    <n v="0.35"/>
    <n v="21"/>
    <d v="1899-12-30T00:02:51"/>
    <n v="487.35"/>
    <n v="2.85"/>
    <n v="171"/>
    <n v="122"/>
    <n v="0.71909999999999996"/>
    <n v="122.9661"/>
  </r>
  <r>
    <n v="661"/>
    <x v="660"/>
    <n v="193"/>
    <n v="189"/>
    <x v="7"/>
    <n v="4"/>
    <d v="1899-12-30T00:00:13"/>
    <n v="40.950000000000003"/>
    <n v="0.21666666666666667"/>
    <n v="13"/>
    <d v="1899-12-30T00:02:35"/>
    <n v="488.25"/>
    <n v="2.5833333333333335"/>
    <n v="155"/>
    <n v="156"/>
    <n v="0.82899999999999996"/>
    <n v="156.68099999999998"/>
  </r>
  <r>
    <n v="662"/>
    <x v="661"/>
    <n v="245"/>
    <n v="236"/>
    <x v="4"/>
    <n v="9"/>
    <d v="1899-12-30T00:00:13"/>
    <n v="51.133333333333333"/>
    <n v="0.21666666666666667"/>
    <n v="13"/>
    <d v="1899-12-30T00:02:44"/>
    <n v="645.06666666666672"/>
    <n v="2.7333333333333334"/>
    <n v="164"/>
    <n v="195"/>
    <n v="0.82789999999999997"/>
    <n v="195.3844"/>
  </r>
  <r>
    <n v="663"/>
    <x v="662"/>
    <n v="35"/>
    <n v="34"/>
    <x v="7"/>
    <n v="1"/>
    <d v="1899-12-30T00:00:11"/>
    <n v="6.2333333333333325"/>
    <n v="0.18333333333333332"/>
    <n v="11"/>
    <d v="1899-12-30T00:02:11"/>
    <n v="74.23333333333332"/>
    <n v="2.1833333333333331"/>
    <n v="131"/>
    <n v="30"/>
    <n v="0.88239999999999996"/>
    <n v="30.0016"/>
  </r>
  <r>
    <n v="664"/>
    <x v="663"/>
    <n v="198"/>
    <n v="190"/>
    <x v="10"/>
    <n v="8"/>
    <d v="1899-12-30T00:00:12"/>
    <n v="38"/>
    <n v="0.2"/>
    <n v="12"/>
    <d v="1899-12-30T00:02:38"/>
    <n v="500.33333333333331"/>
    <n v="2.6333333333333333"/>
    <n v="158"/>
    <n v="160"/>
    <n v="0.84689999999999999"/>
    <n v="160.911"/>
  </r>
  <r>
    <n v="665"/>
    <x v="664"/>
    <n v="47"/>
    <n v="47"/>
    <x v="3"/>
    <n v="0"/>
    <d v="1899-12-30T00:00:06"/>
    <n v="4.7"/>
    <n v="0.1"/>
    <n v="6"/>
    <d v="1899-12-30T00:02:09"/>
    <n v="101.05"/>
    <n v="2.15"/>
    <n v="129"/>
    <n v="44"/>
    <n v="0.93620000000000003"/>
    <n v="44.001400000000004"/>
  </r>
  <r>
    <n v="666"/>
    <x v="665"/>
    <n v="187"/>
    <n v="186"/>
    <x v="12"/>
    <n v="1"/>
    <d v="1899-12-30T00:00:07"/>
    <n v="21.7"/>
    <n v="0.11666666666666667"/>
    <n v="7"/>
    <d v="1899-12-30T00:02:30"/>
    <n v="465"/>
    <n v="2.5"/>
    <n v="150"/>
    <n v="174"/>
    <n v="0.93579999999999997"/>
    <n v="174.05879999999999"/>
  </r>
  <r>
    <n v="667"/>
    <x v="666"/>
    <n v="57"/>
    <n v="54"/>
    <x v="0"/>
    <n v="3"/>
    <d v="1899-12-30T00:00:07"/>
    <n v="6.3"/>
    <n v="0.11666666666666667"/>
    <n v="7"/>
    <d v="1899-12-30T00:02:37"/>
    <n v="141.30000000000001"/>
    <n v="2.6166666666666667"/>
    <n v="157"/>
    <n v="49"/>
    <n v="0.91069999999999995"/>
    <n v="49.177799999999998"/>
  </r>
  <r>
    <n v="668"/>
    <x v="667"/>
    <n v="169"/>
    <n v="162"/>
    <x v="10"/>
    <n v="7"/>
    <d v="1899-12-30T00:00:09"/>
    <n v="24.3"/>
    <n v="0.15"/>
    <n v="9"/>
    <d v="1899-12-30T00:02:39"/>
    <n v="429.3"/>
    <n v="2.65"/>
    <n v="159"/>
    <n v="142"/>
    <n v="0.88170000000000004"/>
    <n v="142.83539999999999"/>
  </r>
  <r>
    <n v="669"/>
    <x v="668"/>
    <n v="337"/>
    <n v="316"/>
    <x v="2"/>
    <n v="21"/>
    <d v="1899-12-30T00:00:23"/>
    <n v="121.13333333333334"/>
    <n v="0.38333333333333336"/>
    <n v="23"/>
    <d v="1899-12-30T00:02:13"/>
    <n v="700.4666666666667"/>
    <n v="2.2166666666666668"/>
    <n v="133"/>
    <n v="230"/>
    <n v="0.72919999999999996"/>
    <n v="230.4272"/>
  </r>
  <r>
    <n v="670"/>
    <x v="669"/>
    <n v="44"/>
    <n v="43"/>
    <x v="7"/>
    <n v="1"/>
    <d v="1899-12-30T00:00:09"/>
    <n v="6.45"/>
    <n v="0.15"/>
    <n v="9"/>
    <d v="1899-12-30T00:02:35"/>
    <n v="111.08333333333334"/>
    <n v="2.5833333333333335"/>
    <n v="155"/>
    <n v="36"/>
    <n v="0.84089999999999998"/>
    <n v="36.158699999999996"/>
  </r>
  <r>
    <n v="671"/>
    <x v="670"/>
    <n v="210"/>
    <n v="206"/>
    <x v="5"/>
    <n v="4"/>
    <d v="1899-12-30T00:00:12"/>
    <n v="41.2"/>
    <n v="0.2"/>
    <n v="12"/>
    <d v="1899-12-30T00:02:39"/>
    <n v="545.9"/>
    <n v="2.65"/>
    <n v="159"/>
    <n v="179"/>
    <n v="0.87080000000000002"/>
    <n v="179.38480000000001"/>
  </r>
  <r>
    <n v="672"/>
    <x v="671"/>
    <n v="190"/>
    <n v="186"/>
    <x v="7"/>
    <n v="4"/>
    <d v="1899-12-30T00:00:17"/>
    <n v="52.699999999999996"/>
    <n v="0.28333333333333333"/>
    <n v="17"/>
    <d v="1899-12-30T00:02:22"/>
    <n v="440.2"/>
    <n v="2.3666666666666667"/>
    <n v="142"/>
    <n v="156"/>
    <n v="0.84130000000000005"/>
    <n v="156.48180000000002"/>
  </r>
  <r>
    <n v="673"/>
    <x v="672"/>
    <n v="190"/>
    <n v="182"/>
    <x v="10"/>
    <n v="8"/>
    <d v="1899-12-30T00:00:10"/>
    <n v="30.333333333333332"/>
    <n v="0.16666666666666666"/>
    <n v="10"/>
    <d v="1899-12-30T00:02:40"/>
    <n v="485.33333333333331"/>
    <n v="2.6666666666666665"/>
    <n v="160"/>
    <n v="158"/>
    <n v="0.87029999999999996"/>
    <n v="158.3946"/>
  </r>
  <r>
    <n v="674"/>
    <x v="673"/>
    <n v="169"/>
    <n v="168"/>
    <x v="12"/>
    <n v="1"/>
    <d v="1899-12-30T00:00:11"/>
    <n v="30.799999999999997"/>
    <n v="0.18333333333333332"/>
    <n v="11"/>
    <d v="1899-12-30T00:02:25"/>
    <n v="406"/>
    <n v="2.4166666666666665"/>
    <n v="145"/>
    <n v="148"/>
    <n v="0.88170000000000004"/>
    <n v="148.12560000000002"/>
  </r>
  <r>
    <n v="675"/>
    <x v="674"/>
    <n v="52"/>
    <n v="50"/>
    <x v="4"/>
    <n v="2"/>
    <d v="1899-12-30T00:00:06"/>
    <n v="5"/>
    <n v="0.1"/>
    <n v="6"/>
    <d v="1899-12-30T00:02:34"/>
    <n v="128.33333333333331"/>
    <n v="2.5666666666666664"/>
    <n v="154"/>
    <n v="46"/>
    <n v="0.92159999999999997"/>
    <n v="46.08"/>
  </r>
  <r>
    <n v="676"/>
    <x v="675"/>
    <n v="144"/>
    <n v="137"/>
    <x v="10"/>
    <n v="7"/>
    <d v="1899-12-30T00:00:14"/>
    <n v="31.966666666666669"/>
    <n v="0.23333333333333334"/>
    <n v="14"/>
    <d v="1899-12-30T00:02:36"/>
    <n v="356.2"/>
    <n v="2.6"/>
    <n v="156"/>
    <n v="105"/>
    <n v="0.77080000000000004"/>
    <n v="105.59960000000001"/>
  </r>
  <r>
    <n v="677"/>
    <x v="676"/>
    <n v="36"/>
    <n v="36"/>
    <x v="3"/>
    <n v="0"/>
    <d v="1899-12-30T00:00:15"/>
    <n v="9"/>
    <n v="0.25"/>
    <n v="15"/>
    <d v="1899-12-30T00:02:53"/>
    <n v="103.8"/>
    <n v="2.8833333333333333"/>
    <n v="173"/>
    <n v="29"/>
    <n v="0.80559999999999998"/>
    <n v="29.0016"/>
  </r>
  <r>
    <n v="678"/>
    <x v="677"/>
    <n v="155"/>
    <n v="148"/>
    <x v="10"/>
    <n v="7"/>
    <d v="1899-12-30T00:00:14"/>
    <n v="34.533333333333331"/>
    <n v="0.23333333333333334"/>
    <n v="14"/>
    <d v="1899-12-30T00:02:26"/>
    <n v="360.13333333333338"/>
    <n v="2.4333333333333336"/>
    <n v="146"/>
    <n v="120"/>
    <n v="0.81289999999999996"/>
    <n v="120.30919999999999"/>
  </r>
  <r>
    <n v="679"/>
    <x v="678"/>
    <n v="159"/>
    <n v="154"/>
    <x v="4"/>
    <n v="5"/>
    <d v="1899-12-30T00:00:16"/>
    <n v="41.066666666666663"/>
    <n v="0.26666666666666666"/>
    <n v="16"/>
    <d v="1899-12-30T00:02:41"/>
    <n v="413.23333333333335"/>
    <n v="2.6833333333333336"/>
    <n v="161"/>
    <n v="121"/>
    <n v="0.78620000000000001"/>
    <n v="121.0748"/>
  </r>
  <r>
    <n v="680"/>
    <x v="679"/>
    <n v="115"/>
    <n v="110"/>
    <x v="10"/>
    <n v="5"/>
    <d v="1899-12-30T00:00:14"/>
    <n v="25.666666666666668"/>
    <n v="0.23333333333333334"/>
    <n v="14"/>
    <d v="1899-12-30T00:02:28"/>
    <n v="271.33333333333337"/>
    <n v="2.4666666666666668"/>
    <n v="148"/>
    <n v="91"/>
    <n v="0.83189999999999997"/>
    <n v="91.509"/>
  </r>
  <r>
    <n v="681"/>
    <x v="680"/>
    <n v="186"/>
    <n v="173"/>
    <x v="2"/>
    <n v="13"/>
    <d v="1899-12-30T00:00:19"/>
    <n v="54.783333333333331"/>
    <n v="0.31666666666666665"/>
    <n v="19"/>
    <d v="1899-12-30T00:02:39"/>
    <n v="458.45"/>
    <n v="2.65"/>
    <n v="159"/>
    <n v="127"/>
    <n v="0.73509999999999998"/>
    <n v="127.17229999999999"/>
  </r>
  <r>
    <n v="682"/>
    <x v="681"/>
    <n v="167"/>
    <n v="157"/>
    <x v="0"/>
    <n v="10"/>
    <d v="1899-12-30T00:00:23"/>
    <n v="60.183333333333337"/>
    <n v="0.38333333333333336"/>
    <n v="23"/>
    <d v="1899-12-30T00:02:32"/>
    <n v="397.73333333333329"/>
    <n v="2.5333333333333332"/>
    <n v="152"/>
    <n v="106"/>
    <n v="0.67679999999999996"/>
    <n v="106.2576"/>
  </r>
  <r>
    <n v="683"/>
    <x v="682"/>
    <n v="146"/>
    <n v="142"/>
    <x v="7"/>
    <n v="4"/>
    <d v="1899-12-30T00:00:22"/>
    <n v="52.066666666666663"/>
    <n v="0.36666666666666664"/>
    <n v="22"/>
    <d v="1899-12-30T00:02:42"/>
    <n v="383.40000000000003"/>
    <n v="2.7"/>
    <n v="162"/>
    <n v="94"/>
    <n v="0.66900000000000004"/>
    <n v="94.998000000000005"/>
  </r>
  <r>
    <n v="684"/>
    <x v="683"/>
    <n v="41"/>
    <n v="31"/>
    <x v="25"/>
    <n v="10"/>
    <d v="1899-12-30T00:00:39"/>
    <n v="20.150000000000002"/>
    <n v="0.65"/>
    <n v="39"/>
    <d v="1899-12-30T00:03:43"/>
    <n v="115.21666666666667"/>
    <n v="3.7166666666666668"/>
    <n v="223"/>
    <n v="15"/>
    <n v="0.48780000000000001"/>
    <n v="15.1218"/>
  </r>
  <r>
    <n v="685"/>
    <x v="684"/>
    <n v="185"/>
    <n v="85"/>
    <x v="26"/>
    <n v="100"/>
    <d v="1899-12-30T00:01:49"/>
    <n v="154.41666666666666"/>
    <n v="1.8166666666666667"/>
    <n v="109"/>
    <d v="1899-12-30T00:02:46"/>
    <n v="235.16666666666666"/>
    <n v="2.7666666666666666"/>
    <n v="166"/>
    <n v="3"/>
    <n v="3.7999999999999999E-2"/>
    <n v="3.23"/>
  </r>
  <r>
    <n v="686"/>
    <x v="685"/>
    <n v="149"/>
    <n v="83"/>
    <x v="27"/>
    <n v="66"/>
    <d v="1899-12-30T00:01:38"/>
    <n v="135.56666666666666"/>
    <n v="1.6333333333333333"/>
    <n v="98"/>
    <d v="1899-12-30T00:02:18"/>
    <n v="190.89999999999998"/>
    <n v="2.2999999999999998"/>
    <n v="138"/>
    <n v="4"/>
    <n v="4.8300000000000003E-2"/>
    <n v="4.0089000000000006"/>
  </r>
  <r>
    <n v="687"/>
    <x v="686"/>
    <n v="180"/>
    <n v="115"/>
    <x v="28"/>
    <n v="65"/>
    <d v="1899-12-30T00:01:04"/>
    <n v="122.66666666666667"/>
    <n v="1.0666666666666667"/>
    <n v="64"/>
    <d v="1899-12-30T00:02:33"/>
    <n v="293.25"/>
    <n v="2.5499999999999998"/>
    <n v="153"/>
    <n v="27"/>
    <n v="0.23860000000000001"/>
    <n v="27.439"/>
  </r>
  <r>
    <n v="688"/>
    <x v="687"/>
    <n v="173"/>
    <n v="144"/>
    <x v="19"/>
    <n v="29"/>
    <d v="1899-12-30T00:00:38"/>
    <n v="91.199999999999989"/>
    <n v="0.6333333333333333"/>
    <n v="38"/>
    <d v="1899-12-30T00:03:00"/>
    <n v="432"/>
    <n v="3"/>
    <n v="180"/>
    <n v="66"/>
    <n v="0.4647"/>
    <n v="66.916799999999995"/>
  </r>
  <r>
    <n v="689"/>
    <x v="688"/>
    <n v="176"/>
    <n v="158"/>
    <x v="13"/>
    <n v="18"/>
    <d v="1899-12-30T00:00:20"/>
    <n v="52.666666666666664"/>
    <n v="0.33333333333333331"/>
    <n v="20"/>
    <d v="1899-12-30T00:02:33"/>
    <n v="402.9"/>
    <n v="2.5499999999999998"/>
    <n v="153"/>
    <n v="111"/>
    <n v="0.70350000000000001"/>
    <n v="111.15300000000001"/>
  </r>
  <r>
    <n v="690"/>
    <x v="689"/>
    <n v="147"/>
    <n v="120"/>
    <x v="14"/>
    <n v="27"/>
    <d v="1899-12-30T00:00:46"/>
    <n v="92"/>
    <n v="0.76666666666666672"/>
    <n v="46"/>
    <d v="1899-12-30T00:02:39"/>
    <n v="318"/>
    <n v="2.65"/>
    <n v="159"/>
    <n v="47"/>
    <n v="0.39729999999999999"/>
    <n v="47.676000000000002"/>
  </r>
  <r>
    <n v="691"/>
    <x v="690"/>
    <n v="84"/>
    <n v="77"/>
    <x v="1"/>
    <n v="7"/>
    <d v="1899-12-30T00:00:17"/>
    <n v="21.816666666666666"/>
    <n v="0.28333333333333333"/>
    <n v="17"/>
    <d v="1899-12-30T00:02:07"/>
    <n v="162.98333333333335"/>
    <n v="2.1166666666666667"/>
    <n v="127"/>
    <n v="56"/>
    <n v="0.7349"/>
    <n v="56.587299999999999"/>
  </r>
  <r>
    <n v="692"/>
    <x v="691"/>
    <n v="325"/>
    <n v="78"/>
    <x v="29"/>
    <n v="247"/>
    <d v="1899-12-30T00:03:13"/>
    <n v="250.9"/>
    <n v="3.2166666666666668"/>
    <n v="193"/>
    <d v="1899-12-30T00:03:01"/>
    <n v="235.29999999999998"/>
    <n v="3.0166666666666666"/>
    <n v="181"/>
    <n v="0"/>
    <n v="0"/>
    <n v="0"/>
  </r>
  <r>
    <n v="693"/>
    <x v="692"/>
    <n v="441"/>
    <n v="103"/>
    <x v="30"/>
    <n v="338"/>
    <d v="1899-12-30T00:04:04"/>
    <n v="418.86666666666662"/>
    <n v="4.0666666666666664"/>
    <n v="244"/>
    <d v="1899-12-30T00:02:43"/>
    <n v="279.81666666666666"/>
    <n v="2.7166666666666668"/>
    <n v="163"/>
    <n v="0"/>
    <n v="2.3E-3"/>
    <n v="0.2369"/>
  </r>
  <r>
    <n v="694"/>
    <x v="693"/>
    <n v="525"/>
    <n v="116"/>
    <x v="31"/>
    <n v="409"/>
    <d v="1899-12-30T00:05:08"/>
    <n v="595.4666666666667"/>
    <n v="5.1333333333333337"/>
    <n v="308"/>
    <d v="1899-12-30T00:03:08"/>
    <n v="363.46666666666664"/>
    <n v="3.1333333333333333"/>
    <n v="188"/>
    <n v="0"/>
    <n v="0"/>
    <n v="0"/>
  </r>
  <r>
    <n v="695"/>
    <x v="694"/>
    <n v="610"/>
    <n v="201"/>
    <x v="32"/>
    <n v="409"/>
    <d v="1899-12-30T00:03:13"/>
    <n v="646.55000000000007"/>
    <n v="3.2166666666666668"/>
    <n v="193"/>
    <d v="1899-12-30T00:02:52"/>
    <n v="576.20000000000005"/>
    <n v="2.8666666666666667"/>
    <n v="172"/>
    <n v="7"/>
    <n v="3.5200000000000002E-2"/>
    <n v="7.0752000000000006"/>
  </r>
  <r>
    <n v="696"/>
    <x v="695"/>
    <n v="427"/>
    <n v="282"/>
    <x v="33"/>
    <n v="145"/>
    <d v="1899-12-30T00:01:02"/>
    <n v="291.40000000000003"/>
    <n v="1.0333333333333334"/>
    <n v="62.000000000000007"/>
    <d v="1899-12-30T00:02:49"/>
    <n v="794.3"/>
    <n v="2.8166666666666664"/>
    <n v="169"/>
    <n v="70"/>
    <n v="0.24879999999999999"/>
    <n v="70.161599999999993"/>
  </r>
  <r>
    <n v="697"/>
    <x v="696"/>
    <n v="378"/>
    <n v="331"/>
    <x v="20"/>
    <n v="47"/>
    <d v="1899-12-30T00:00:43"/>
    <n v="237.21666666666667"/>
    <n v="0.71666666666666667"/>
    <n v="43"/>
    <d v="1899-12-30T00:02:37"/>
    <n v="866.11666666666667"/>
    <n v="2.6166666666666667"/>
    <n v="157"/>
    <n v="133"/>
    <n v="0.40329999999999999"/>
    <n v="133.4923"/>
  </r>
  <r>
    <n v="698"/>
    <x v="697"/>
    <n v="80"/>
    <n v="67"/>
    <x v="19"/>
    <n v="13"/>
    <d v="1899-12-30T00:00:38"/>
    <n v="42.43333333333333"/>
    <n v="0.6333333333333333"/>
    <n v="38"/>
    <d v="1899-12-30T00:03:12"/>
    <n v="214.4"/>
    <n v="3.2"/>
    <n v="192"/>
    <n v="30"/>
    <n v="0.46250000000000002"/>
    <n v="30.987500000000001"/>
  </r>
  <r>
    <n v="699"/>
    <x v="698"/>
    <n v="356"/>
    <n v="320"/>
    <x v="13"/>
    <n v="36"/>
    <d v="1899-12-30T00:00:34"/>
    <n v="181.33333333333331"/>
    <n v="0.56666666666666665"/>
    <n v="34"/>
    <d v="1899-12-30T00:02:52"/>
    <n v="917.33333333333337"/>
    <n v="2.8666666666666667"/>
    <n v="172"/>
    <n v="168"/>
    <n v="0.52559999999999996"/>
    <n v="168.19199999999998"/>
  </r>
  <r>
    <n v="700"/>
    <x v="699"/>
    <n v="409"/>
    <n v="355"/>
    <x v="11"/>
    <n v="54"/>
    <d v="1899-12-30T00:00:44"/>
    <n v="260.33333333333331"/>
    <n v="0.73333333333333328"/>
    <n v="44"/>
    <d v="1899-12-30T00:02:55"/>
    <n v="1035.4166666666665"/>
    <n v="2.9166666666666665"/>
    <n v="175"/>
    <n v="140"/>
    <n v="0.39700000000000002"/>
    <n v="140.935"/>
  </r>
  <r>
    <n v="701"/>
    <x v="700"/>
    <n v="352"/>
    <n v="302"/>
    <x v="18"/>
    <n v="50"/>
    <d v="1899-12-30T00:00:41"/>
    <n v="206.36666666666667"/>
    <n v="0.68333333333333335"/>
    <n v="41"/>
    <d v="1899-12-30T00:03:03"/>
    <n v="921.09999999999991"/>
    <n v="3.05"/>
    <n v="183"/>
    <n v="143"/>
    <n v="0.47399999999999998"/>
    <n v="143.148"/>
  </r>
  <r>
    <n v="702"/>
    <x v="701"/>
    <n v="282"/>
    <n v="239"/>
    <x v="16"/>
    <n v="43"/>
    <d v="1899-12-30T00:00:39"/>
    <n v="155.35"/>
    <n v="0.65"/>
    <n v="39"/>
    <d v="1899-12-30T00:03:06"/>
    <n v="740.9"/>
    <n v="3.1"/>
    <n v="186"/>
    <n v="122"/>
    <n v="0.51070000000000004"/>
    <n v="122.05730000000001"/>
  </r>
  <r>
    <n v="703"/>
    <x v="702"/>
    <n v="429"/>
    <n v="390"/>
    <x v="9"/>
    <n v="39"/>
    <d v="1899-12-30T00:00:38"/>
    <n v="247"/>
    <n v="0.6333333333333333"/>
    <n v="38"/>
    <d v="1899-12-30T00:02:41"/>
    <n v="1046.5"/>
    <n v="2.6833333333333336"/>
    <n v="161"/>
    <n v="174"/>
    <n v="0.4466"/>
    <n v="174.17400000000001"/>
  </r>
  <r>
    <n v="704"/>
    <x v="703"/>
    <n v="310"/>
    <n v="285"/>
    <x v="1"/>
    <n v="25"/>
    <d v="1899-12-30T00:00:33"/>
    <n v="156.75"/>
    <n v="0.55000000000000004"/>
    <n v="33"/>
    <d v="1899-12-30T00:02:45"/>
    <n v="783.75"/>
    <n v="2.75"/>
    <n v="165"/>
    <n v="159"/>
    <n v="0.56110000000000004"/>
    <n v="159.9135"/>
  </r>
  <r>
    <n v="705"/>
    <x v="704"/>
    <n v="102"/>
    <n v="94"/>
    <x v="6"/>
    <n v="8"/>
    <d v="1899-12-30T00:00:29"/>
    <n v="45.433333333333337"/>
    <n v="0.48333333333333334"/>
    <n v="29"/>
    <d v="1899-12-30T00:02:40"/>
    <n v="250.66666666666666"/>
    <n v="2.6666666666666665"/>
    <n v="160"/>
    <n v="59"/>
    <n v="0.63729999999999998"/>
    <n v="59.906199999999998"/>
  </r>
  <r>
    <n v="706"/>
    <x v="705"/>
    <n v="335"/>
    <n v="297"/>
    <x v="8"/>
    <n v="38"/>
    <d v="1899-12-30T00:00:39"/>
    <n v="193.05"/>
    <n v="0.65"/>
    <n v="39"/>
    <d v="1899-12-30T00:02:33"/>
    <n v="757.34999999999991"/>
    <n v="2.5499999999999998"/>
    <n v="153"/>
    <n v="129"/>
    <n v="0.43640000000000001"/>
    <n v="129.61080000000001"/>
  </r>
  <r>
    <n v="707"/>
    <x v="706"/>
    <n v="313"/>
    <n v="291"/>
    <x v="6"/>
    <n v="22"/>
    <d v="1899-12-30T00:00:26"/>
    <n v="126.10000000000001"/>
    <n v="0.43333333333333335"/>
    <n v="26"/>
    <d v="1899-12-30T00:02:25"/>
    <n v="703.25"/>
    <n v="2.4166666666666665"/>
    <n v="145"/>
    <n v="187"/>
    <n v="0.64290000000000003"/>
    <n v="187.0839"/>
  </r>
  <r>
    <n v="708"/>
    <x v="707"/>
    <n v="251"/>
    <n v="240"/>
    <x v="10"/>
    <n v="11"/>
    <d v="1899-12-30T00:00:24"/>
    <n v="96"/>
    <n v="0.4"/>
    <n v="24"/>
    <d v="1899-12-30T00:02:42"/>
    <n v="648"/>
    <n v="2.7"/>
    <n v="162"/>
    <n v="161"/>
    <n v="0.67200000000000004"/>
    <n v="161.28"/>
  </r>
  <r>
    <n v="709"/>
    <x v="708"/>
    <n v="190"/>
    <n v="176"/>
    <x v="6"/>
    <n v="14"/>
    <d v="1899-12-30T00:00:24"/>
    <n v="70.400000000000006"/>
    <n v="0.4"/>
    <n v="24"/>
    <d v="1899-12-30T00:02:31"/>
    <n v="442.93333333333334"/>
    <n v="2.5166666666666666"/>
    <n v="151"/>
    <n v="119"/>
    <n v="0.67720000000000002"/>
    <n v="119.1872"/>
  </r>
  <r>
    <n v="710"/>
    <x v="709"/>
    <n v="188"/>
    <n v="170"/>
    <x v="9"/>
    <n v="18"/>
    <d v="1899-12-30T00:00:34"/>
    <n v="96.333333333333329"/>
    <n v="0.56666666666666665"/>
    <n v="34"/>
    <d v="1899-12-30T00:02:49"/>
    <n v="478.83333333333331"/>
    <n v="2.8166666666666664"/>
    <n v="169"/>
    <n v="90"/>
    <n v="0.5323"/>
    <n v="90.491"/>
  </r>
  <r>
    <n v="711"/>
    <x v="710"/>
    <n v="166"/>
    <n v="160"/>
    <x v="4"/>
    <n v="6"/>
    <d v="1899-12-30T00:00:15"/>
    <n v="40"/>
    <n v="0.25"/>
    <n v="15"/>
    <d v="1899-12-30T00:02:40"/>
    <n v="426.66666666666663"/>
    <n v="2.6666666666666665"/>
    <n v="160"/>
    <n v="130"/>
    <n v="0.81820000000000004"/>
    <n v="130.91200000000001"/>
  </r>
  <r>
    <n v="712"/>
    <x v="711"/>
    <n v="73"/>
    <n v="68"/>
    <x v="2"/>
    <n v="5"/>
    <d v="1899-12-30T00:00:15"/>
    <n v="17"/>
    <n v="0.25"/>
    <n v="15"/>
    <d v="1899-12-30T00:02:13"/>
    <n v="150.73333333333335"/>
    <n v="2.2166666666666668"/>
    <n v="133"/>
    <n v="53"/>
    <n v="0.78869999999999996"/>
    <n v="53.631599999999999"/>
  </r>
  <r>
    <n v="713"/>
    <x v="712"/>
    <n v="170"/>
    <n v="159"/>
    <x v="2"/>
    <n v="11"/>
    <d v="1899-12-30T00:00:20"/>
    <n v="53"/>
    <n v="0.33333333333333331"/>
    <n v="20"/>
    <d v="1899-12-30T00:02:40"/>
    <n v="424"/>
    <n v="2.6666666666666665"/>
    <n v="160"/>
    <n v="116"/>
    <n v="0.73209999999999997"/>
    <n v="116.40389999999999"/>
  </r>
  <r>
    <n v="714"/>
    <x v="713"/>
    <n v="188"/>
    <n v="181"/>
    <x v="4"/>
    <n v="7"/>
    <d v="1899-12-30T00:00:23"/>
    <n v="69.38333333333334"/>
    <n v="0.38333333333333336"/>
    <n v="23"/>
    <d v="1899-12-30T00:02:39"/>
    <n v="479.65"/>
    <n v="2.65"/>
    <n v="159"/>
    <n v="123"/>
    <n v="0.68279999999999996"/>
    <n v="123.5868"/>
  </r>
  <r>
    <n v="715"/>
    <x v="714"/>
    <n v="306"/>
    <n v="262"/>
    <x v="18"/>
    <n v="44"/>
    <d v="1899-12-30T00:00:44"/>
    <n v="192.13333333333333"/>
    <n v="0.73333333333333328"/>
    <n v="44"/>
    <d v="1899-12-30T00:02:48"/>
    <n v="733.59999999999991"/>
    <n v="2.8"/>
    <n v="168"/>
    <n v="121"/>
    <n v="0.46329999999999999"/>
    <n v="121.38459999999999"/>
  </r>
  <r>
    <n v="716"/>
    <x v="715"/>
    <n v="201"/>
    <n v="185"/>
    <x v="6"/>
    <n v="16"/>
    <d v="1899-12-30T00:00:23"/>
    <n v="70.916666666666671"/>
    <n v="0.38333333333333336"/>
    <n v="23"/>
    <d v="1899-12-30T00:02:38"/>
    <n v="487.16666666666669"/>
    <n v="2.6333333333333333"/>
    <n v="158"/>
    <n v="124"/>
    <n v="0.6734"/>
    <n v="124.57899999999999"/>
  </r>
  <r>
    <n v="717"/>
    <x v="716"/>
    <n v="188"/>
    <n v="184"/>
    <x v="7"/>
    <n v="4"/>
    <d v="1899-12-30T00:00:17"/>
    <n v="52.133333333333333"/>
    <n v="0.28333333333333333"/>
    <n v="17"/>
    <d v="1899-12-30T00:02:36"/>
    <n v="478.40000000000003"/>
    <n v="2.6"/>
    <n v="156"/>
    <n v="145"/>
    <n v="0.79259999999999997"/>
    <n v="145.83840000000001"/>
  </r>
  <r>
    <n v="718"/>
    <x v="717"/>
    <n v="148"/>
    <n v="131"/>
    <x v="8"/>
    <n v="17"/>
    <d v="1899-12-30T00:00:31"/>
    <n v="67.683333333333337"/>
    <n v="0.51666666666666672"/>
    <n v="31.000000000000004"/>
    <d v="1899-12-30T00:02:51"/>
    <n v="373.35"/>
    <n v="2.85"/>
    <n v="171"/>
    <n v="69"/>
    <n v="0.53059999999999996"/>
    <n v="69.508600000000001"/>
  </r>
  <r>
    <n v="719"/>
    <x v="718"/>
    <n v="21"/>
    <n v="17"/>
    <x v="34"/>
    <n v="4"/>
    <d v="1899-12-30T00:00:52"/>
    <n v="14.733333333333334"/>
    <n v="0.8666666666666667"/>
    <n v="52"/>
    <d v="1899-12-30T00:03:29"/>
    <n v="59.216666666666669"/>
    <n v="3.4833333333333334"/>
    <n v="209"/>
    <n v="8"/>
    <n v="0.52380000000000004"/>
    <n v="8.9046000000000003"/>
  </r>
  <r>
    <n v="720"/>
    <x v="719"/>
    <n v="148"/>
    <n v="129"/>
    <x v="20"/>
    <n v="19"/>
    <d v="1899-12-30T00:00:40"/>
    <n v="86"/>
    <n v="0.66666666666666663"/>
    <n v="40"/>
    <d v="1899-12-30T00:03:01"/>
    <n v="389.15"/>
    <n v="3.0166666666666666"/>
    <n v="181"/>
    <n v="58"/>
    <n v="0.45519999999999999"/>
    <n v="58.720799999999997"/>
  </r>
  <r>
    <n v="721"/>
    <x v="720"/>
    <n v="167"/>
    <n v="154"/>
    <x v="6"/>
    <n v="13"/>
    <d v="1899-12-30T00:00:17"/>
    <n v="43.633333333333333"/>
    <n v="0.28333333333333333"/>
    <n v="17"/>
    <d v="1899-12-30T00:02:43"/>
    <n v="418.36666666666667"/>
    <n v="2.7166666666666668"/>
    <n v="163"/>
    <n v="113"/>
    <n v="0.7349"/>
    <n v="113.1746"/>
  </r>
  <r>
    <n v="722"/>
    <x v="721"/>
    <n v="169"/>
    <n v="158"/>
    <x v="2"/>
    <n v="11"/>
    <d v="1899-12-30T00:00:16"/>
    <n v="42.133333333333333"/>
    <n v="0.26666666666666666"/>
    <n v="16"/>
    <d v="1899-12-30T00:02:36"/>
    <n v="410.8"/>
    <n v="2.6"/>
    <n v="156"/>
    <n v="118"/>
    <n v="0.75"/>
    <n v="118.5"/>
  </r>
  <r>
    <n v="723"/>
    <x v="722"/>
    <n v="175"/>
    <n v="163"/>
    <x v="2"/>
    <n v="12"/>
    <d v="1899-12-30T00:00:22"/>
    <n v="59.766666666666666"/>
    <n v="0.36666666666666664"/>
    <n v="22"/>
    <d v="1899-12-30T00:02:37"/>
    <n v="426.51666666666665"/>
    <n v="2.6166666666666667"/>
    <n v="157"/>
    <n v="115"/>
    <n v="0.71099999999999997"/>
    <n v="115.893"/>
  </r>
  <r>
    <n v="724"/>
    <x v="723"/>
    <n v="193"/>
    <n v="183"/>
    <x v="0"/>
    <n v="10"/>
    <d v="1899-12-30T00:00:16"/>
    <n v="48.8"/>
    <n v="0.26666666666666666"/>
    <n v="16"/>
    <d v="1899-12-30T00:02:49"/>
    <n v="515.44999999999993"/>
    <n v="2.8166666666666664"/>
    <n v="169"/>
    <n v="146"/>
    <n v="0.80210000000000004"/>
    <n v="146.7843"/>
  </r>
  <r>
    <n v="725"/>
    <x v="724"/>
    <n v="154"/>
    <n v="144"/>
    <x v="2"/>
    <n v="10"/>
    <d v="1899-12-30T00:00:20"/>
    <n v="48"/>
    <n v="0.33333333333333331"/>
    <n v="20"/>
    <d v="1899-12-30T00:02:41"/>
    <n v="386.40000000000003"/>
    <n v="2.6833333333333336"/>
    <n v="161"/>
    <n v="105"/>
    <n v="0.73509999999999998"/>
    <n v="105.8544"/>
  </r>
  <r>
    <n v="726"/>
    <x v="725"/>
    <n v="35"/>
    <n v="34"/>
    <x v="7"/>
    <n v="1"/>
    <d v="1899-12-30T00:00:14"/>
    <n v="7.9333333333333336"/>
    <n v="0.23333333333333334"/>
    <n v="14"/>
    <d v="1899-12-30T00:03:06"/>
    <n v="105.4"/>
    <n v="3.1"/>
    <n v="186"/>
    <n v="26"/>
    <n v="0.77139999999999997"/>
    <n v="26.227599999999999"/>
  </r>
  <r>
    <n v="727"/>
    <x v="726"/>
    <n v="172"/>
    <n v="161"/>
    <x v="2"/>
    <n v="11"/>
    <d v="1899-12-30T00:00:20"/>
    <n v="53.666666666666664"/>
    <n v="0.33333333333333331"/>
    <n v="20"/>
    <d v="1899-12-30T00:02:48"/>
    <n v="450.79999999999995"/>
    <n v="2.8"/>
    <n v="168"/>
    <n v="116"/>
    <n v="0.72089999999999999"/>
    <n v="116.06489999999999"/>
  </r>
  <r>
    <n v="728"/>
    <x v="727"/>
    <n v="195"/>
    <n v="182"/>
    <x v="2"/>
    <n v="13"/>
    <d v="1899-12-30T00:00:24"/>
    <n v="72.8"/>
    <n v="0.4"/>
    <n v="24"/>
    <d v="1899-12-30T00:02:51"/>
    <n v="518.70000000000005"/>
    <n v="2.85"/>
    <n v="171"/>
    <n v="121"/>
    <n v="0.66839999999999999"/>
    <n v="121.64879999999999"/>
  </r>
  <r>
    <n v="729"/>
    <x v="728"/>
    <n v="163"/>
    <n v="157"/>
    <x v="4"/>
    <n v="6"/>
    <d v="1899-12-30T00:00:17"/>
    <n v="44.483333333333334"/>
    <n v="0.28333333333333333"/>
    <n v="17"/>
    <d v="1899-12-30T00:02:46"/>
    <n v="434.36666666666667"/>
    <n v="2.7666666666666666"/>
    <n v="166"/>
    <n v="129"/>
    <n v="0.82210000000000005"/>
    <n v="129.06970000000001"/>
  </r>
  <r>
    <n v="730"/>
    <x v="729"/>
    <n v="134"/>
    <n v="126"/>
    <x v="0"/>
    <n v="8"/>
    <d v="1899-12-30T00:00:30"/>
    <n v="63"/>
    <n v="0.5"/>
    <n v="30"/>
    <d v="1899-12-30T00:02:58"/>
    <n v="373.8"/>
    <n v="2.9666666666666668"/>
    <n v="178"/>
    <n v="80"/>
    <n v="0.63570000000000004"/>
    <n v="80.098200000000006"/>
  </r>
  <r>
    <n v="731"/>
    <x v="730"/>
    <n v="158"/>
    <n v="142"/>
    <x v="13"/>
    <n v="16"/>
    <d v="1899-12-30T00:00:25"/>
    <n v="59.166666666666671"/>
    <n v="0.41666666666666669"/>
    <n v="25"/>
    <d v="1899-12-30T00:02:45"/>
    <n v="390.5"/>
    <n v="2.75"/>
    <n v="165"/>
    <n v="84"/>
    <n v="0.59350000000000003"/>
    <n v="84.277000000000001"/>
  </r>
  <r>
    <n v="732"/>
    <x v="731"/>
    <n v="161"/>
    <n v="144"/>
    <x v="13"/>
    <n v="17"/>
    <d v="1899-12-30T00:00:34"/>
    <n v="81.599999999999994"/>
    <n v="0.56666666666666665"/>
    <n v="34"/>
    <d v="1899-12-30T00:02:49"/>
    <n v="405.59999999999997"/>
    <n v="2.8166666666666664"/>
    <n v="169"/>
    <n v="76"/>
    <n v="0.53129999999999999"/>
    <n v="76.507199999999997"/>
  </r>
  <r>
    <n v="733"/>
    <x v="732"/>
    <n v="36"/>
    <n v="34"/>
    <x v="0"/>
    <n v="2"/>
    <d v="1899-12-30T00:00:20"/>
    <n v="11.333333333333332"/>
    <n v="0.33333333333333331"/>
    <n v="20"/>
    <d v="1899-12-30T00:02:05"/>
    <n v="70.833333333333343"/>
    <n v="2.0833333333333335"/>
    <n v="125.00000000000001"/>
    <n v="24"/>
    <n v="0.72219999999999995"/>
    <n v="24.5548"/>
  </r>
  <r>
    <n v="734"/>
    <x v="733"/>
    <n v="147"/>
    <n v="136"/>
    <x v="6"/>
    <n v="11"/>
    <d v="1899-12-30T00:00:17"/>
    <n v="38.533333333333331"/>
    <n v="0.28333333333333333"/>
    <n v="17"/>
    <d v="1899-12-30T00:02:55"/>
    <n v="396.66666666666663"/>
    <n v="2.9166666666666665"/>
    <n v="175"/>
    <n v="104"/>
    <n v="0.7671"/>
    <n v="104.32559999999999"/>
  </r>
  <r>
    <n v="735"/>
    <x v="734"/>
    <n v="131"/>
    <n v="130"/>
    <x v="12"/>
    <n v="1"/>
    <d v="1899-12-30T00:00:18"/>
    <n v="39"/>
    <n v="0.3"/>
    <n v="18"/>
    <d v="1899-12-30T00:02:47"/>
    <n v="361.83333333333331"/>
    <n v="2.7833333333333332"/>
    <n v="167"/>
    <n v="99"/>
    <n v="0.76919999999999999"/>
    <n v="99.995999999999995"/>
  </r>
  <r>
    <n v="736"/>
    <x v="735"/>
    <n v="128"/>
    <n v="120"/>
    <x v="2"/>
    <n v="8"/>
    <d v="1899-12-30T00:00:22"/>
    <n v="44"/>
    <n v="0.36666666666666664"/>
    <n v="22"/>
    <d v="1899-12-30T00:02:47"/>
    <n v="334"/>
    <n v="2.7833333333333332"/>
    <n v="167"/>
    <n v="81"/>
    <n v="0.6825"/>
    <n v="81.900000000000006"/>
  </r>
  <r>
    <n v="737"/>
    <x v="736"/>
    <n v="136"/>
    <n v="119"/>
    <x v="20"/>
    <n v="17"/>
    <d v="1899-12-30T00:00:26"/>
    <n v="51.56666666666667"/>
    <n v="0.43333333333333335"/>
    <n v="26"/>
    <d v="1899-12-30T00:02:52"/>
    <n v="341.13333333333333"/>
    <n v="2.8666666666666667"/>
    <n v="172"/>
    <n v="71"/>
    <n v="0.60150000000000003"/>
    <n v="71.578500000000005"/>
  </r>
  <r>
    <n v="738"/>
    <x v="737"/>
    <n v="225"/>
    <n v="209"/>
    <x v="6"/>
    <n v="16"/>
    <d v="1899-12-30T00:00:19"/>
    <n v="66.183333333333337"/>
    <n v="0.31666666666666665"/>
    <n v="19"/>
    <d v="1899-12-30T00:02:29"/>
    <n v="519.01666666666665"/>
    <n v="2.4833333333333334"/>
    <n v="149"/>
    <n v="158"/>
    <n v="0.76019999999999999"/>
    <n v="158.8818"/>
  </r>
  <r>
    <n v="739"/>
    <x v="738"/>
    <n v="167"/>
    <n v="151"/>
    <x v="9"/>
    <n v="16"/>
    <d v="1899-12-30T00:00:19"/>
    <n v="47.816666666666663"/>
    <n v="0.31666666666666665"/>
    <n v="19"/>
    <d v="1899-12-30T00:02:27"/>
    <n v="369.95000000000005"/>
    <n v="2.4500000000000002"/>
    <n v="147"/>
    <n v="110"/>
    <n v="0.73329999999999995"/>
    <n v="110.72829999999999"/>
  </r>
  <r>
    <n v="740"/>
    <x v="739"/>
    <n v="48"/>
    <n v="46"/>
    <x v="10"/>
    <n v="2"/>
    <d v="1899-12-30T00:00:16"/>
    <n v="12.266666666666666"/>
    <n v="0.26666666666666666"/>
    <n v="16"/>
    <d v="1899-12-30T00:02:26"/>
    <n v="111.93333333333334"/>
    <n v="2.4333333333333336"/>
    <n v="146"/>
    <n v="36"/>
    <n v="0.78720000000000001"/>
    <n v="36.211199999999998"/>
  </r>
  <r>
    <n v="741"/>
    <x v="740"/>
    <n v="232"/>
    <n v="204"/>
    <x v="20"/>
    <n v="28"/>
    <d v="1899-12-30T00:00:32"/>
    <n v="108.8"/>
    <n v="0.53333333333333333"/>
    <n v="32"/>
    <d v="1899-12-30T00:02:22"/>
    <n v="482.8"/>
    <n v="2.3666666666666667"/>
    <n v="142"/>
    <n v="113"/>
    <n v="0.55410000000000004"/>
    <n v="113.03640000000001"/>
  </r>
  <r>
    <n v="742"/>
    <x v="741"/>
    <n v="198"/>
    <n v="187"/>
    <x v="0"/>
    <n v="11"/>
    <d v="1899-12-30T00:00:27"/>
    <n v="84.15"/>
    <n v="0.45"/>
    <n v="27"/>
    <d v="1899-12-30T00:02:48"/>
    <n v="523.6"/>
    <n v="2.8"/>
    <n v="168"/>
    <n v="112"/>
    <n v="0.60199999999999998"/>
    <n v="112.574"/>
  </r>
  <r>
    <n v="743"/>
    <x v="742"/>
    <n v="171"/>
    <n v="163"/>
    <x v="10"/>
    <n v="8"/>
    <d v="1899-12-30T00:00:19"/>
    <n v="51.616666666666667"/>
    <n v="0.31666666666666665"/>
    <n v="19"/>
    <d v="1899-12-30T00:02:41"/>
    <n v="437.38333333333338"/>
    <n v="2.6833333333333336"/>
    <n v="161"/>
    <n v="113"/>
    <n v="0.69410000000000005"/>
    <n v="113.13830000000002"/>
  </r>
  <r>
    <n v="744"/>
    <x v="743"/>
    <n v="180"/>
    <n v="173"/>
    <x v="4"/>
    <n v="7"/>
    <d v="1899-12-30T00:00:31"/>
    <n v="89.38333333333334"/>
    <n v="0.51666666666666672"/>
    <n v="31.000000000000004"/>
    <d v="1899-12-30T00:02:49"/>
    <n v="487.2833333333333"/>
    <n v="2.8166666666666664"/>
    <n v="169"/>
    <n v="124"/>
    <n v="0.72219999999999995"/>
    <n v="124.94059999999999"/>
  </r>
  <r>
    <n v="745"/>
    <x v="744"/>
    <n v="192"/>
    <n v="175"/>
    <x v="1"/>
    <n v="17"/>
    <d v="1899-12-30T00:00:26"/>
    <n v="75.833333333333343"/>
    <n v="0.43333333333333335"/>
    <n v="26"/>
    <d v="1899-12-30T00:03:01"/>
    <n v="527.91666666666663"/>
    <n v="3.0166666666666666"/>
    <n v="181"/>
    <n v="107"/>
    <n v="0.61580000000000001"/>
    <n v="107.765"/>
  </r>
  <r>
    <n v="746"/>
    <x v="745"/>
    <n v="194"/>
    <n v="180"/>
    <x v="6"/>
    <n v="14"/>
    <d v="1899-12-30T00:00:25"/>
    <n v="75"/>
    <n v="0.41666666666666669"/>
    <n v="25"/>
    <d v="1899-12-30T00:02:50"/>
    <n v="510"/>
    <n v="2.8333333333333335"/>
    <n v="170"/>
    <n v="123"/>
    <n v="0.68389999999999995"/>
    <n v="123.10199999999999"/>
  </r>
  <r>
    <n v="747"/>
    <x v="746"/>
    <n v="37"/>
    <n v="27"/>
    <x v="35"/>
    <n v="10"/>
    <d v="1899-12-30T00:00:35"/>
    <n v="15.750000000000002"/>
    <n v="0.58333333333333337"/>
    <n v="35"/>
    <d v="1899-12-30T00:02:53"/>
    <n v="77.849999999999994"/>
    <n v="2.8833333333333333"/>
    <n v="173"/>
    <n v="13"/>
    <n v="0.5"/>
    <n v="13.5"/>
  </r>
  <r>
    <n v="748"/>
    <x v="747"/>
    <n v="180"/>
    <n v="169"/>
    <x v="2"/>
    <n v="11"/>
    <d v="1899-12-30T00:00:23"/>
    <n v="64.783333333333331"/>
    <n v="0.38333333333333336"/>
    <n v="23"/>
    <d v="1899-12-30T00:02:44"/>
    <n v="461.93333333333334"/>
    <n v="2.7333333333333334"/>
    <n v="164"/>
    <n v="114"/>
    <n v="0.67979999999999996"/>
    <n v="114.88619999999999"/>
  </r>
  <r>
    <n v="749"/>
    <x v="748"/>
    <n v="213"/>
    <n v="198"/>
    <x v="6"/>
    <n v="15"/>
    <d v="1899-12-30T00:00:16"/>
    <n v="52.8"/>
    <n v="0.26666666666666666"/>
    <n v="16"/>
    <d v="1899-12-30T00:02:47"/>
    <n v="551.1"/>
    <n v="2.7833333333333332"/>
    <n v="167"/>
    <n v="152"/>
    <n v="0.77249999999999996"/>
    <n v="152.95499999999998"/>
  </r>
  <r>
    <n v="750"/>
    <x v="749"/>
    <n v="251"/>
    <n v="239"/>
    <x v="10"/>
    <n v="12"/>
    <d v="1899-12-30T00:00:21"/>
    <n v="83.649999999999991"/>
    <n v="0.35"/>
    <n v="21"/>
    <d v="1899-12-30T00:02:18"/>
    <n v="549.69999999999993"/>
    <n v="2.2999999999999998"/>
    <n v="138"/>
    <n v="171"/>
    <n v="0.7177"/>
    <n v="171.53030000000001"/>
  </r>
  <r>
    <n v="751"/>
    <x v="750"/>
    <n v="200"/>
    <n v="189"/>
    <x v="0"/>
    <n v="11"/>
    <d v="1899-12-30T00:00:19"/>
    <n v="59.849999999999994"/>
    <n v="0.31666666666666665"/>
    <n v="19"/>
    <d v="1899-12-30T00:02:53"/>
    <n v="544.95000000000005"/>
    <n v="2.8833333333333333"/>
    <n v="173"/>
    <n v="144"/>
    <n v="0.76259999999999994"/>
    <n v="144.13139999999999"/>
  </r>
  <r>
    <n v="752"/>
    <x v="751"/>
    <n v="214"/>
    <n v="205"/>
    <x v="10"/>
    <n v="9"/>
    <d v="1899-12-30T00:00:25"/>
    <n v="85.416666666666671"/>
    <n v="0.41666666666666669"/>
    <n v="25"/>
    <d v="1899-12-30T00:02:48"/>
    <n v="574"/>
    <n v="2.8"/>
    <n v="168"/>
    <n v="147"/>
    <n v="0.71960000000000002"/>
    <n v="147.518"/>
  </r>
  <r>
    <n v="753"/>
    <x v="752"/>
    <n v="185"/>
    <n v="154"/>
    <x v="19"/>
    <n v="31"/>
    <d v="1899-12-30T00:00:47"/>
    <n v="120.63333333333333"/>
    <n v="0.78333333333333333"/>
    <n v="47"/>
    <d v="1899-12-30T00:02:56"/>
    <n v="451.73333333333335"/>
    <n v="2.9333333333333336"/>
    <n v="176"/>
    <n v="55"/>
    <n v="0.35909999999999997"/>
    <n v="55.301399999999994"/>
  </r>
  <r>
    <n v="754"/>
    <x v="753"/>
    <n v="49"/>
    <n v="46"/>
    <x v="2"/>
    <n v="3"/>
    <d v="1899-12-30T00:00:38"/>
    <n v="29.133333333333333"/>
    <n v="0.6333333333333333"/>
    <n v="38"/>
    <d v="1899-12-30T00:02:21"/>
    <n v="108.10000000000001"/>
    <n v="2.35"/>
    <n v="141"/>
    <n v="23"/>
    <n v="0.52080000000000004"/>
    <n v="23.956800000000001"/>
  </r>
  <r>
    <n v="755"/>
    <x v="754"/>
    <n v="193"/>
    <n v="185"/>
    <x v="10"/>
    <n v="8"/>
    <d v="1899-12-30T00:00:21"/>
    <n v="64.75"/>
    <n v="0.35"/>
    <n v="21"/>
    <d v="1899-12-30T00:02:51"/>
    <n v="527.25"/>
    <n v="2.85"/>
    <n v="171"/>
    <n v="140"/>
    <n v="0.75790000000000002"/>
    <n v="140.2115"/>
  </r>
  <r>
    <n v="756"/>
    <x v="755"/>
    <n v="195"/>
    <n v="184"/>
    <x v="0"/>
    <n v="11"/>
    <d v="1899-12-30T00:00:22"/>
    <n v="67.466666666666669"/>
    <n v="0.36666666666666664"/>
    <n v="22"/>
    <d v="1899-12-30T00:02:39"/>
    <n v="487.59999999999997"/>
    <n v="2.65"/>
    <n v="159"/>
    <n v="128"/>
    <n v="0.7"/>
    <n v="128.79999999999998"/>
  </r>
  <r>
    <n v="757"/>
    <x v="756"/>
    <n v="211"/>
    <n v="195"/>
    <x v="6"/>
    <n v="16"/>
    <d v="1899-12-30T00:00:34"/>
    <n v="110.5"/>
    <n v="0.56666666666666665"/>
    <n v="34"/>
    <d v="1899-12-30T00:02:51"/>
    <n v="555.75"/>
    <n v="2.85"/>
    <n v="171"/>
    <n v="111"/>
    <n v="0.56940000000000002"/>
    <n v="111.033"/>
  </r>
  <r>
    <n v="758"/>
    <x v="757"/>
    <n v="200"/>
    <n v="190"/>
    <x v="10"/>
    <n v="10"/>
    <d v="1899-12-30T00:00:15"/>
    <n v="47.5"/>
    <n v="0.25"/>
    <n v="15"/>
    <d v="1899-12-30T00:02:56"/>
    <n v="557.33333333333337"/>
    <n v="2.9333333333333336"/>
    <n v="176"/>
    <n v="153"/>
    <n v="0.80930000000000002"/>
    <n v="153.767"/>
  </r>
  <r>
    <n v="759"/>
    <x v="758"/>
    <n v="48"/>
    <n v="47"/>
    <x v="7"/>
    <n v="1"/>
    <d v="1899-12-30T00:00:15"/>
    <n v="11.75"/>
    <n v="0.25"/>
    <n v="15"/>
    <d v="1899-12-30T00:03:13"/>
    <n v="151.18333333333334"/>
    <n v="3.2166666666666668"/>
    <n v="193"/>
    <n v="38"/>
    <n v="0.8125"/>
    <n v="38.1875"/>
  </r>
  <r>
    <n v="760"/>
    <x v="759"/>
    <n v="164"/>
    <n v="159"/>
    <x v="4"/>
    <n v="5"/>
    <d v="1899-12-30T00:00:20"/>
    <n v="53"/>
    <n v="0.33333333333333331"/>
    <n v="20"/>
    <d v="1899-12-30T00:02:51"/>
    <n v="453.15000000000003"/>
    <n v="2.85"/>
    <n v="171"/>
    <n v="123"/>
    <n v="0.77780000000000005"/>
    <n v="123.67020000000001"/>
  </r>
  <r>
    <n v="761"/>
    <x v="760"/>
    <n v="43"/>
    <n v="42"/>
    <x v="7"/>
    <n v="1"/>
    <d v="1899-12-30T00:00:14"/>
    <n v="9.8000000000000007"/>
    <n v="0.23333333333333334"/>
    <n v="14"/>
    <d v="1899-12-30T00:02:32"/>
    <n v="106.39999999999999"/>
    <n v="2.5333333333333332"/>
    <n v="152"/>
    <n v="35"/>
    <n v="0.83720000000000006"/>
    <n v="35.162400000000005"/>
  </r>
  <r>
    <n v="762"/>
    <x v="761"/>
    <n v="236"/>
    <n v="223"/>
    <x v="0"/>
    <n v="13"/>
    <d v="1899-12-30T00:00:26"/>
    <n v="96.63333333333334"/>
    <n v="0.43333333333333335"/>
    <n v="26"/>
    <d v="1899-12-30T00:02:46"/>
    <n v="616.9666666666667"/>
    <n v="2.7666666666666666"/>
    <n v="166"/>
    <n v="144"/>
    <n v="0.64829999999999999"/>
    <n v="144.57089999999999"/>
  </r>
  <r>
    <n v="763"/>
    <x v="762"/>
    <n v="270"/>
    <n v="262"/>
    <x v="7"/>
    <n v="8"/>
    <d v="1899-12-30T00:00:15"/>
    <n v="65.5"/>
    <n v="0.25"/>
    <n v="15"/>
    <d v="1899-12-30T00:02:36"/>
    <n v="681.2"/>
    <n v="2.6"/>
    <n v="156"/>
    <n v="218"/>
    <n v="0.83209999999999995"/>
    <n v="218.0102"/>
  </r>
  <r>
    <n v="764"/>
    <x v="763"/>
    <n v="304"/>
    <n v="262"/>
    <x v="11"/>
    <n v="42"/>
    <d v="1899-12-30T00:00:34"/>
    <n v="148.46666666666667"/>
    <n v="0.56666666666666665"/>
    <n v="34"/>
    <d v="1899-12-30T00:02:56"/>
    <n v="768.53333333333342"/>
    <n v="2.9333333333333336"/>
    <n v="176"/>
    <n v="148"/>
    <n v="0.56620000000000004"/>
    <n v="148.34440000000001"/>
  </r>
  <r>
    <n v="765"/>
    <x v="764"/>
    <n v="286"/>
    <n v="270"/>
    <x v="0"/>
    <n v="16"/>
    <d v="1899-12-30T00:00:20"/>
    <n v="90"/>
    <n v="0.33333333333333331"/>
    <n v="20"/>
    <d v="1899-12-30T00:02:48"/>
    <n v="756"/>
    <n v="2.8"/>
    <n v="168"/>
    <n v="192"/>
    <n v="0.71479999999999999"/>
    <n v="192.99600000000001"/>
  </r>
  <r>
    <n v="766"/>
    <x v="765"/>
    <n v="317"/>
    <n v="284"/>
    <x v="13"/>
    <n v="33"/>
    <d v="1899-12-30T00:00:30"/>
    <n v="142"/>
    <n v="0.5"/>
    <n v="30"/>
    <d v="1899-12-30T00:02:48"/>
    <n v="795.19999999999993"/>
    <n v="2.8"/>
    <n v="168"/>
    <n v="187"/>
    <n v="0.6603"/>
    <n v="187.52520000000001"/>
  </r>
  <r>
    <n v="767"/>
    <x v="766"/>
    <n v="471"/>
    <n v="396"/>
    <x v="16"/>
    <n v="75"/>
    <d v="1899-12-30T00:00:59"/>
    <n v="389.4"/>
    <n v="0.98333333333333328"/>
    <n v="59"/>
    <d v="1899-12-30T00:02:41"/>
    <n v="1062.6000000000001"/>
    <n v="2.6833333333333336"/>
    <n v="161"/>
    <n v="121"/>
    <n v="0.308"/>
    <n v="121.968"/>
  </r>
  <r>
    <n v="768"/>
    <x v="767"/>
    <n v="48"/>
    <n v="44"/>
    <x v="1"/>
    <n v="4"/>
    <d v="1899-12-30T00:00:29"/>
    <n v="21.266666666666666"/>
    <n v="0.48333333333333334"/>
    <n v="29"/>
    <d v="1899-12-30T00:02:31"/>
    <n v="110.73333333333333"/>
    <n v="2.5166666666666666"/>
    <n v="151"/>
    <n v="29"/>
    <n v="0.65959999999999996"/>
    <n v="29.022399999999998"/>
  </r>
  <r>
    <n v="769"/>
    <x v="768"/>
    <n v="375"/>
    <n v="317"/>
    <x v="16"/>
    <n v="58"/>
    <d v="1899-12-30T00:00:43"/>
    <n v="227.18333333333334"/>
    <n v="0.71666666666666667"/>
    <n v="43"/>
    <d v="1899-12-30T00:02:52"/>
    <n v="908.73333333333335"/>
    <n v="2.8666666666666667"/>
    <n v="172"/>
    <n v="129"/>
    <n v="0.40870000000000001"/>
    <n v="129.55789999999999"/>
  </r>
  <r>
    <n v="770"/>
    <x v="769"/>
    <n v="327"/>
    <n v="309"/>
    <x v="0"/>
    <n v="18"/>
    <d v="1899-12-30T00:00:22"/>
    <n v="113.3"/>
    <n v="0.36666666666666664"/>
    <n v="22"/>
    <d v="1899-12-30T00:02:48"/>
    <n v="865.19999999999993"/>
    <n v="2.8"/>
    <n v="168"/>
    <n v="210"/>
    <n v="0.68210000000000004"/>
    <n v="210.7689"/>
  </r>
  <r>
    <n v="771"/>
    <x v="770"/>
    <n v="366"/>
    <n v="316"/>
    <x v="11"/>
    <n v="50"/>
    <d v="1899-12-30T00:00:37"/>
    <n v="194.86666666666667"/>
    <n v="0.6166666666666667"/>
    <n v="37"/>
    <d v="1899-12-30T00:02:44"/>
    <n v="863.73333333333335"/>
    <n v="2.7333333333333334"/>
    <n v="164"/>
    <n v="169"/>
    <n v="0.53739999999999999"/>
    <n v="169.8184"/>
  </r>
  <r>
    <n v="772"/>
    <x v="771"/>
    <n v="121"/>
    <n v="105"/>
    <x v="11"/>
    <n v="16"/>
    <d v="1899-12-30T00:00:47"/>
    <n v="82.25"/>
    <n v="0.78333333333333333"/>
    <n v="47"/>
    <d v="1899-12-30T00:03:00"/>
    <n v="315"/>
    <n v="3"/>
    <n v="180"/>
    <n v="63"/>
    <n v="0.6"/>
    <n v="63"/>
  </r>
  <r>
    <n v="773"/>
    <x v="772"/>
    <n v="287"/>
    <n v="266"/>
    <x v="6"/>
    <n v="21"/>
    <d v="1899-12-30T00:00:34"/>
    <n v="150.73333333333332"/>
    <n v="0.56666666666666665"/>
    <n v="34"/>
    <d v="1899-12-30T00:03:06"/>
    <n v="824.6"/>
    <n v="3.1"/>
    <n v="186"/>
    <n v="158"/>
    <n v="0.59719999999999995"/>
    <n v="158.8552"/>
  </r>
  <r>
    <n v="774"/>
    <x v="773"/>
    <n v="298"/>
    <n v="277"/>
    <x v="6"/>
    <n v="21"/>
    <d v="1899-12-30T00:00:39"/>
    <n v="180.05"/>
    <n v="0.65"/>
    <n v="39"/>
    <d v="1899-12-30T00:03:08"/>
    <n v="867.93333333333328"/>
    <n v="3.1333333333333333"/>
    <n v="188"/>
    <n v="141"/>
    <n v="0.51180000000000003"/>
    <n v="141.76860000000002"/>
  </r>
  <r>
    <n v="775"/>
    <x v="774"/>
    <n v="70"/>
    <n v="56"/>
    <x v="34"/>
    <n v="14"/>
    <d v="1899-12-30T00:00:46"/>
    <n v="42.933333333333337"/>
    <n v="0.76666666666666672"/>
    <n v="46"/>
    <d v="1899-12-30T00:03:23"/>
    <n v="189.46666666666667"/>
    <n v="3.3833333333333333"/>
    <n v="203"/>
    <n v="25"/>
    <n v="0.45710000000000001"/>
    <n v="25.5976"/>
  </r>
  <r>
    <n v="776"/>
    <x v="775"/>
    <n v="287"/>
    <n v="255"/>
    <x v="8"/>
    <n v="32"/>
    <d v="1899-12-30T00:00:40"/>
    <n v="170"/>
    <n v="0.66666666666666663"/>
    <n v="40"/>
    <d v="1899-12-30T00:03:30"/>
    <n v="892.5"/>
    <n v="3.5"/>
    <n v="210"/>
    <n v="119"/>
    <n v="0.46810000000000002"/>
    <n v="119.3655"/>
  </r>
  <r>
    <n v="777"/>
    <x v="776"/>
    <n v="298"/>
    <n v="259"/>
    <x v="11"/>
    <n v="39"/>
    <d v="1899-12-30T00:00:30"/>
    <n v="129.5"/>
    <n v="0.5"/>
    <n v="30"/>
    <d v="1899-12-30T00:03:14"/>
    <n v="837.43333333333339"/>
    <n v="3.2333333333333334"/>
    <n v="194"/>
    <n v="150"/>
    <n v="0.57969999999999999"/>
    <n v="150.14230000000001"/>
  </r>
  <r>
    <n v="778"/>
    <x v="777"/>
    <n v="347"/>
    <n v="317"/>
    <x v="1"/>
    <n v="30"/>
    <d v="1899-12-30T00:00:30"/>
    <n v="158.5"/>
    <n v="0.5"/>
    <n v="30"/>
    <d v="1899-12-30T00:03:11"/>
    <n v="1009.1166666666666"/>
    <n v="3.1833333333333331"/>
    <n v="191"/>
    <n v="189"/>
    <n v="0.59770000000000001"/>
    <n v="189.4709"/>
  </r>
  <r>
    <n v="779"/>
    <x v="778"/>
    <n v="414"/>
    <n v="356"/>
    <x v="18"/>
    <n v="58"/>
    <d v="1899-12-30T00:00:43"/>
    <n v="255.13333333333333"/>
    <n v="0.71666666666666667"/>
    <n v="43"/>
    <d v="1899-12-30T00:03:27"/>
    <n v="1228.2"/>
    <n v="3.45"/>
    <n v="207"/>
    <n v="167"/>
    <n v="0.47149999999999997"/>
    <n v="167.85399999999998"/>
  </r>
  <r>
    <n v="780"/>
    <x v="779"/>
    <n v="406"/>
    <n v="362"/>
    <x v="13"/>
    <n v="44"/>
    <d v="1899-12-30T00:00:37"/>
    <n v="223.23333333333335"/>
    <n v="0.6166666666666667"/>
    <n v="37"/>
    <d v="1899-12-30T00:03:02"/>
    <n v="1098.0666666666666"/>
    <n v="3.0333333333333332"/>
    <n v="182"/>
    <n v="193"/>
    <n v="0.53480000000000005"/>
    <n v="193.59760000000003"/>
  </r>
  <r>
    <n v="781"/>
    <x v="780"/>
    <n v="366"/>
    <n v="322"/>
    <x v="20"/>
    <n v="44"/>
    <d v="1899-12-30T00:00:35"/>
    <n v="187.83333333333334"/>
    <n v="0.58333333333333337"/>
    <n v="35"/>
    <d v="1899-12-30T00:03:03"/>
    <n v="982.09999999999991"/>
    <n v="3.05"/>
    <n v="183"/>
    <n v="183"/>
    <n v="0.5706"/>
    <n v="183.73320000000001"/>
  </r>
  <r>
    <n v="782"/>
    <x v="781"/>
    <n v="68"/>
    <n v="64"/>
    <x v="0"/>
    <n v="4"/>
    <d v="1899-12-30T00:00:14"/>
    <n v="14.933333333333334"/>
    <n v="0.23333333333333334"/>
    <n v="14"/>
    <d v="1899-12-30T00:02:58"/>
    <n v="189.86666666666667"/>
    <n v="2.9666666666666668"/>
    <n v="178"/>
    <n v="52"/>
    <n v="0.82350000000000001"/>
    <n v="52.704000000000001"/>
  </r>
  <r>
    <n v="783"/>
    <x v="782"/>
    <n v="350"/>
    <n v="320"/>
    <x v="1"/>
    <n v="30"/>
    <d v="1899-12-30T00:00:37"/>
    <n v="197.33333333333334"/>
    <n v="0.6166666666666667"/>
    <n v="37"/>
    <d v="1899-12-30T00:03:13"/>
    <n v="1029.3333333333335"/>
    <n v="3.2166666666666668"/>
    <n v="193"/>
    <n v="173"/>
    <n v="0.54179999999999995"/>
    <n v="173.37599999999998"/>
  </r>
  <r>
    <n v="784"/>
    <x v="783"/>
    <n v="437"/>
    <n v="352"/>
    <x v="34"/>
    <n v="85"/>
    <d v="1899-12-30T00:00:52"/>
    <n v="305.06666666666666"/>
    <n v="0.8666666666666667"/>
    <n v="52"/>
    <d v="1899-12-30T00:03:01"/>
    <n v="1061.8666666666666"/>
    <n v="3.0166666666666666"/>
    <n v="181"/>
    <n v="145"/>
    <n v="0.41260000000000002"/>
    <n v="145.23520000000002"/>
  </r>
  <r>
    <n v="785"/>
    <x v="784"/>
    <n v="484"/>
    <n v="438"/>
    <x v="9"/>
    <n v="46"/>
    <d v="1899-12-30T00:00:45"/>
    <n v="328.5"/>
    <n v="0.75"/>
    <n v="45"/>
    <d v="1899-12-30T00:02:57"/>
    <n v="1292.1000000000001"/>
    <n v="2.95"/>
    <n v="177"/>
    <n v="196"/>
    <n v="0.44790000000000002"/>
    <n v="196.18020000000001"/>
  </r>
  <r>
    <n v="786"/>
    <x v="785"/>
    <n v="405"/>
    <n v="368"/>
    <x v="9"/>
    <n v="37"/>
    <d v="1899-12-30T00:00:35"/>
    <n v="214.66666666666669"/>
    <n v="0.58333333333333337"/>
    <n v="35"/>
    <d v="1899-12-30T00:03:09"/>
    <n v="1159.2"/>
    <n v="3.15"/>
    <n v="189"/>
    <n v="213"/>
    <n v="0.58099999999999996"/>
    <n v="213.80799999999999"/>
  </r>
  <r>
    <n v="787"/>
    <x v="786"/>
    <n v="570"/>
    <n v="368"/>
    <x v="17"/>
    <n v="202"/>
    <d v="1899-12-30T00:01:11"/>
    <n v="435.4666666666667"/>
    <n v="1.1833333333333333"/>
    <n v="71"/>
    <d v="1899-12-30T00:03:24"/>
    <n v="1251.2"/>
    <n v="3.4"/>
    <n v="204"/>
    <n v="86"/>
    <n v="0.2354"/>
    <n v="86.627200000000002"/>
  </r>
  <r>
    <n v="788"/>
    <x v="787"/>
    <n v="424"/>
    <n v="384"/>
    <x v="9"/>
    <n v="40"/>
    <d v="1899-12-30T00:00:49"/>
    <n v="313.60000000000002"/>
    <n v="0.81666666666666665"/>
    <n v="49"/>
    <d v="1899-12-30T00:03:14"/>
    <n v="1241.5999999999999"/>
    <n v="3.2333333333333334"/>
    <n v="194"/>
    <n v="151"/>
    <n v="0.3952"/>
    <n v="151.7568"/>
  </r>
  <r>
    <n v="789"/>
    <x v="788"/>
    <n v="60"/>
    <n v="57"/>
    <x v="10"/>
    <n v="3"/>
    <d v="1899-12-30T00:00:32"/>
    <n v="30.4"/>
    <n v="0.53333333333333333"/>
    <n v="32"/>
    <d v="1899-12-30T00:03:19"/>
    <n v="189.04999999999998"/>
    <n v="3.3166666666666664"/>
    <n v="199"/>
    <n v="31"/>
    <n v="0.55930000000000002"/>
    <n v="31.880100000000002"/>
  </r>
  <r>
    <n v="790"/>
    <x v="789"/>
    <n v="497"/>
    <n v="442"/>
    <x v="8"/>
    <n v="55"/>
    <d v="1899-12-30T00:00:48"/>
    <n v="353.6"/>
    <n v="0.8"/>
    <n v="48"/>
    <d v="1899-12-30T00:01:36"/>
    <n v="707.2"/>
    <n v="1.6"/>
    <n v="96"/>
    <n v="254"/>
    <n v="0.57579999999999998"/>
    <n v="254.50359999999998"/>
  </r>
  <r>
    <n v="791"/>
    <x v="790"/>
    <n v="429"/>
    <n v="378"/>
    <x v="8"/>
    <n v="51"/>
    <d v="1899-12-30T00:00:37"/>
    <n v="233.10000000000002"/>
    <n v="0.6166666666666667"/>
    <n v="37"/>
    <d v="1899-12-30T00:02:05"/>
    <n v="787.5"/>
    <n v="2.0833333333333335"/>
    <n v="125.00000000000001"/>
    <n v="208"/>
    <n v="0.55289999999999995"/>
    <n v="208.99619999999999"/>
  </r>
  <r>
    <n v="792"/>
    <x v="791"/>
    <n v="499"/>
    <n v="388"/>
    <x v="22"/>
    <n v="111"/>
    <d v="1899-12-30T00:00:54"/>
    <n v="349.2"/>
    <n v="0.9"/>
    <n v="54"/>
    <d v="1899-12-30T00:02:15"/>
    <n v="873"/>
    <n v="2.25"/>
    <n v="135"/>
    <n v="185"/>
    <n v="0.47760000000000002"/>
    <n v="185.30880000000002"/>
  </r>
  <r>
    <n v="793"/>
    <x v="792"/>
    <n v="510"/>
    <n v="434"/>
    <x v="18"/>
    <n v="76"/>
    <d v="1899-12-30T00:00:48"/>
    <n v="347.20000000000005"/>
    <n v="0.8"/>
    <n v="48"/>
    <d v="1899-12-30T00:03:29"/>
    <n v="1511.7666666666667"/>
    <n v="3.4833333333333334"/>
    <n v="209"/>
    <n v="183"/>
    <n v="0.4219"/>
    <n v="183.1046"/>
  </r>
  <r>
    <n v="794"/>
    <x v="793"/>
    <n v="549"/>
    <n v="458"/>
    <x v="19"/>
    <n v="91"/>
    <d v="1899-12-30T00:01:13"/>
    <n v="557.23333333333335"/>
    <n v="1.2166666666666668"/>
    <n v="73"/>
    <d v="1899-12-30T00:03:35"/>
    <n v="1641.1666666666667"/>
    <n v="3.5833333333333335"/>
    <n v="215"/>
    <n v="133"/>
    <n v="0.29070000000000001"/>
    <n v="133.14060000000001"/>
  </r>
  <r>
    <n v="795"/>
    <x v="794"/>
    <n v="590"/>
    <n v="444"/>
    <x v="25"/>
    <n v="146"/>
    <d v="1899-12-30T00:01:23"/>
    <n v="614.19999999999993"/>
    <n v="1.3833333333333333"/>
    <n v="83"/>
    <d v="1899-12-30T00:03:34"/>
    <n v="1583.6"/>
    <n v="3.5666666666666664"/>
    <n v="214"/>
    <n v="84"/>
    <n v="0.1903"/>
    <n v="84.493200000000002"/>
  </r>
  <r>
    <n v="796"/>
    <x v="795"/>
    <n v="137"/>
    <n v="120"/>
    <x v="20"/>
    <n v="17"/>
    <d v="1899-12-30T00:00:58"/>
    <n v="116"/>
    <n v="0.96666666666666667"/>
    <n v="58"/>
    <d v="1899-12-30T00:03:11"/>
    <n v="382"/>
    <n v="3.1833333333333331"/>
    <n v="191"/>
    <n v="39"/>
    <n v="0.33090000000000003"/>
    <n v="39.708000000000006"/>
  </r>
  <r>
    <n v="797"/>
    <x v="796"/>
    <n v="598"/>
    <n v="476"/>
    <x v="24"/>
    <n v="122"/>
    <d v="1899-12-30T00:00:58"/>
    <n v="460.13333333333333"/>
    <n v="0.96666666666666667"/>
    <n v="58"/>
    <d v="1899-12-30T00:03:39"/>
    <n v="1737.3999999999999"/>
    <n v="3.65"/>
    <n v="219"/>
    <n v="152"/>
    <n v="0.32029999999999997"/>
    <n v="152.46279999999999"/>
  </r>
  <r>
    <n v="798"/>
    <x v="797"/>
    <n v="231"/>
    <n v="180"/>
    <x v="22"/>
    <n v="51"/>
    <d v="1899-12-30T00:01:04"/>
    <n v="192"/>
    <n v="1.0666666666666667"/>
    <n v="64"/>
    <d v="1899-12-30T00:03:33"/>
    <n v="639"/>
    <n v="3.55"/>
    <n v="213"/>
    <n v="60"/>
    <n v="0.33779999999999999"/>
    <n v="60.803999999999995"/>
  </r>
  <r>
    <n v="799"/>
    <x v="798"/>
    <n v="724"/>
    <n v="362"/>
    <x v="36"/>
    <n v="362"/>
    <d v="1899-12-30T00:02:01"/>
    <n v="730.0333333333333"/>
    <n v="2.0166666666666666"/>
    <n v="121"/>
    <d v="1899-12-30T00:03:55"/>
    <n v="1417.8333333333333"/>
    <n v="3.9166666666666665"/>
    <n v="235"/>
    <n v="42"/>
    <n v="0.1166"/>
    <n v="42.209199999999996"/>
  </r>
  <r>
    <n v="800"/>
    <x v="799"/>
    <n v="732"/>
    <n v="367"/>
    <x v="36"/>
    <n v="365"/>
    <d v="1899-12-30T00:02:48"/>
    <n v="1027.5999999999999"/>
    <n v="2.8"/>
    <n v="168"/>
    <d v="1899-12-30T00:02:52"/>
    <n v="1052.0666666666666"/>
    <n v="2.8666666666666667"/>
    <n v="172"/>
    <n v="29"/>
    <n v="8.09E-2"/>
    <n v="29.690300000000001"/>
  </r>
  <r>
    <n v="801"/>
    <x v="800"/>
    <n v="582"/>
    <n v="301"/>
    <x v="37"/>
    <n v="281"/>
    <d v="1899-12-30T00:02:41"/>
    <n v="807.68333333333339"/>
    <n v="2.6833333333333336"/>
    <n v="161"/>
    <d v="1899-12-30T00:04:13"/>
    <n v="1269.2166666666667"/>
    <n v="4.2166666666666668"/>
    <n v="253"/>
    <n v="36"/>
    <n v="0.1208"/>
    <n v="36.360800000000005"/>
  </r>
  <r>
    <n v="802"/>
    <x v="801"/>
    <n v="621"/>
    <n v="344"/>
    <x v="27"/>
    <n v="277"/>
    <d v="1899-12-30T00:02:07"/>
    <n v="728.13333333333333"/>
    <n v="2.1166666666666667"/>
    <n v="127"/>
    <d v="1899-12-30T00:03:29"/>
    <n v="1198.2666666666667"/>
    <n v="3.4833333333333334"/>
    <n v="209"/>
    <n v="49"/>
    <n v="0.1447"/>
    <n v="49.776800000000001"/>
  </r>
  <r>
    <n v="803"/>
    <x v="802"/>
    <n v="116"/>
    <n v="106"/>
    <x v="1"/>
    <n v="10"/>
    <d v="1899-12-30T00:00:34"/>
    <n v="60.066666666666663"/>
    <n v="0.56666666666666665"/>
    <n v="34"/>
    <d v="1899-12-30T00:04:23"/>
    <n v="464.63333333333338"/>
    <n v="4.3833333333333337"/>
    <n v="263"/>
    <n v="66"/>
    <n v="0.62929999999999997"/>
    <n v="66.705799999999996"/>
  </r>
  <r>
    <n v="804"/>
    <x v="803"/>
    <n v="533"/>
    <n v="300"/>
    <x v="38"/>
    <n v="233"/>
    <d v="1899-12-30T00:02:12"/>
    <n v="660"/>
    <n v="2.2000000000000002"/>
    <n v="132"/>
    <d v="1899-12-30T00:04:03"/>
    <n v="1215"/>
    <n v="4.05"/>
    <n v="243"/>
    <n v="37"/>
    <n v="0.1255"/>
    <n v="37.65"/>
  </r>
  <r>
    <n v="805"/>
    <x v="804"/>
    <n v="416"/>
    <n v="322"/>
    <x v="22"/>
    <n v="94"/>
    <d v="1899-12-30T00:01:04"/>
    <n v="343.46666666666664"/>
    <n v="1.0666666666666667"/>
    <n v="64"/>
    <d v="1899-12-30T00:03:34"/>
    <n v="1148.4666666666667"/>
    <n v="3.5666666666666664"/>
    <n v="214"/>
    <n v="124"/>
    <n v="0.38590000000000002"/>
    <n v="124.25980000000001"/>
  </r>
  <r>
    <n v="806"/>
    <x v="805"/>
    <n v="415"/>
    <n v="259"/>
    <x v="39"/>
    <n v="156"/>
    <d v="1899-12-30T00:02:10"/>
    <n v="561.16666666666663"/>
    <n v="2.1666666666666665"/>
    <n v="130"/>
    <d v="1899-12-30T00:03:57"/>
    <n v="1023.0500000000001"/>
    <n v="3.95"/>
    <n v="237"/>
    <n v="46"/>
    <n v="0.1789"/>
    <n v="46.335100000000004"/>
  </r>
  <r>
    <n v="807"/>
    <x v="806"/>
    <n v="433"/>
    <n v="289"/>
    <x v="33"/>
    <n v="144"/>
    <d v="1899-12-30T00:01:42"/>
    <n v="491.3"/>
    <n v="1.7"/>
    <n v="102"/>
    <d v="1899-12-30T00:03:28"/>
    <n v="1001.8666666666667"/>
    <n v="3.4666666666666668"/>
    <n v="208"/>
    <n v="66"/>
    <n v="0.22950000000000001"/>
    <n v="66.325500000000005"/>
  </r>
  <r>
    <n v="808"/>
    <x v="807"/>
    <n v="454"/>
    <n v="284"/>
    <x v="39"/>
    <n v="170"/>
    <d v="1899-12-30T00:01:53"/>
    <n v="534.86666666666667"/>
    <n v="1.8833333333333333"/>
    <n v="113"/>
    <d v="1899-12-30T00:03:34"/>
    <n v="1012.9333333333333"/>
    <n v="3.5666666666666664"/>
    <n v="214"/>
    <n v="69"/>
    <n v="0.24440000000000001"/>
    <n v="69.409599999999998"/>
  </r>
  <r>
    <n v="809"/>
    <x v="808"/>
    <n v="244"/>
    <n v="195"/>
    <x v="24"/>
    <n v="49"/>
    <d v="1899-12-30T00:01:25"/>
    <n v="276.25"/>
    <n v="1.4166666666666667"/>
    <n v="85"/>
    <d v="1899-12-30T00:03:51"/>
    <n v="750.75"/>
    <n v="3.85"/>
    <n v="231"/>
    <n v="71"/>
    <n v="0.36670000000000003"/>
    <n v="71.506500000000003"/>
  </r>
  <r>
    <n v="810"/>
    <x v="809"/>
    <n v="51"/>
    <n v="48"/>
    <x v="0"/>
    <n v="3"/>
    <d v="1899-12-30T00:00:14"/>
    <n v="11.2"/>
    <n v="0.23333333333333334"/>
    <n v="14"/>
    <d v="1899-12-30T00:03:26"/>
    <n v="164.8"/>
    <n v="3.4333333333333336"/>
    <n v="206"/>
    <n v="40"/>
    <n v="0.84309999999999996"/>
    <n v="40.468800000000002"/>
  </r>
  <r>
    <n v="811"/>
    <x v="810"/>
    <n v="202"/>
    <n v="176"/>
    <x v="20"/>
    <n v="26"/>
    <d v="1899-12-30T00:00:24"/>
    <n v="70.400000000000006"/>
    <n v="0.4"/>
    <n v="24"/>
    <d v="1899-12-30T00:03:42"/>
    <n v="651.20000000000005"/>
    <n v="3.7"/>
    <n v="222"/>
    <n v="118"/>
    <n v="0.67159999999999997"/>
    <n v="118.2016"/>
  </r>
  <r>
    <n v="812"/>
    <x v="811"/>
    <n v="128"/>
    <n v="118"/>
    <x v="6"/>
    <n v="10"/>
    <d v="1899-12-30T00:00:30"/>
    <n v="59"/>
    <n v="0.5"/>
    <n v="30"/>
    <d v="1899-12-30T00:03:42"/>
    <n v="436.6"/>
    <n v="3.7"/>
    <n v="222"/>
    <n v="87"/>
    <n v="0.74019999999999997"/>
    <n v="87.343599999999995"/>
  </r>
  <r>
    <n v="813"/>
    <x v="812"/>
    <n v="102"/>
    <n v="100"/>
    <x v="5"/>
    <n v="2"/>
    <d v="1899-12-30T00:00:14"/>
    <n v="23.333333333333332"/>
    <n v="0.23333333333333334"/>
    <n v="14"/>
    <d v="1899-12-30T00:03:32"/>
    <n v="353.33333333333331"/>
    <n v="3.5333333333333332"/>
    <n v="212"/>
    <n v="85"/>
    <n v="0.85289999999999999"/>
    <n v="85.289999999999992"/>
  </r>
  <r>
    <n v="814"/>
    <x v="813"/>
    <n v="201"/>
    <n v="169"/>
    <x v="16"/>
    <n v="32"/>
    <d v="1899-12-30T00:00:32"/>
    <n v="90.133333333333326"/>
    <n v="0.53333333333333333"/>
    <n v="32"/>
    <d v="1899-12-30T00:03:25"/>
    <n v="577.41666666666663"/>
    <n v="3.4166666666666665"/>
    <n v="205"/>
    <n v="98"/>
    <n v="0.58079999999999998"/>
    <n v="98.155199999999994"/>
  </r>
  <r>
    <n v="815"/>
    <x v="814"/>
    <n v="261"/>
    <n v="195"/>
    <x v="40"/>
    <n v="66"/>
    <d v="1899-12-30T00:01:01"/>
    <n v="198.25"/>
    <n v="1.0166666666666666"/>
    <n v="61"/>
    <d v="1899-12-30T00:03:27"/>
    <n v="672.75"/>
    <n v="3.45"/>
    <n v="207"/>
    <n v="74"/>
    <n v="0.37980000000000003"/>
    <n v="74.061000000000007"/>
  </r>
  <r>
    <n v="816"/>
    <x v="815"/>
    <n v="201"/>
    <n v="173"/>
    <x v="11"/>
    <n v="28"/>
    <d v="1899-12-30T00:00:41"/>
    <n v="118.21666666666667"/>
    <n v="0.68333333333333335"/>
    <n v="41"/>
    <d v="1899-12-30T00:03:15"/>
    <n v="562.25"/>
    <n v="3.25"/>
    <n v="195"/>
    <n v="102"/>
    <n v="0.59499999999999997"/>
    <n v="102.935"/>
  </r>
  <r>
    <n v="817"/>
    <x v="816"/>
    <n v="64"/>
    <n v="61"/>
    <x v="10"/>
    <n v="3"/>
    <d v="1899-12-30T00:00:09"/>
    <n v="9.15"/>
    <n v="0.15"/>
    <n v="9"/>
    <d v="1899-12-30T00:03:15"/>
    <n v="198.25"/>
    <n v="3.25"/>
    <n v="195"/>
    <n v="56"/>
    <n v="0.92059999999999997"/>
    <n v="56.156599999999997"/>
  </r>
  <r>
    <n v="818"/>
    <x v="817"/>
    <n v="200"/>
    <n v="168"/>
    <x v="16"/>
    <n v="32"/>
    <d v="1899-12-30T00:00:51"/>
    <n v="142.79999999999998"/>
    <n v="0.85"/>
    <n v="51"/>
    <d v="1899-12-30T00:03:23"/>
    <n v="568.4"/>
    <n v="3.3833333333333333"/>
    <n v="203"/>
    <n v="81"/>
    <n v="0.4874"/>
    <n v="81.883200000000002"/>
  </r>
  <r>
    <n v="819"/>
    <x v="818"/>
    <n v="158"/>
    <n v="148"/>
    <x v="2"/>
    <n v="10"/>
    <d v="1899-12-30T00:00:30"/>
    <n v="74"/>
    <n v="0.5"/>
    <n v="30"/>
    <d v="1899-12-30T00:03:17"/>
    <n v="485.93333333333334"/>
    <n v="3.2833333333333332"/>
    <n v="197"/>
    <n v="83"/>
    <n v="0.56689999999999996"/>
    <n v="83.901199999999989"/>
  </r>
  <r>
    <n v="820"/>
    <x v="819"/>
    <n v="174"/>
    <n v="155"/>
    <x v="13"/>
    <n v="19"/>
    <d v="1899-12-30T00:00:26"/>
    <n v="67.166666666666671"/>
    <n v="0.43333333333333335"/>
    <n v="26"/>
    <d v="1899-12-30T00:03:01"/>
    <n v="467.58333333333331"/>
    <n v="3.0166666666666666"/>
    <n v="181"/>
    <n v="96"/>
    <n v="0.62350000000000005"/>
    <n v="96.642500000000013"/>
  </r>
  <r>
    <n v="821"/>
    <x v="820"/>
    <n v="67"/>
    <n v="64"/>
    <x v="10"/>
    <n v="3"/>
    <d v="1899-12-30T00:00:26"/>
    <n v="27.733333333333334"/>
    <n v="0.43333333333333335"/>
    <n v="26"/>
    <d v="1899-12-30T00:03:31"/>
    <n v="225.06666666666666"/>
    <n v="3.5166666666666666"/>
    <n v="211"/>
    <n v="45"/>
    <n v="0.71209999999999996"/>
    <n v="45.574399999999997"/>
  </r>
  <r>
    <n v="822"/>
    <x v="821"/>
    <n v="24"/>
    <n v="23"/>
    <x v="10"/>
    <n v="1"/>
    <d v="1899-12-30T00:00:23"/>
    <n v="8.8166666666666664"/>
    <n v="0.38333333333333336"/>
    <n v="23"/>
    <d v="1899-12-30T00:02:50"/>
    <n v="65.166666666666671"/>
    <n v="2.8333333333333335"/>
    <n v="170"/>
    <n v="17"/>
    <n v="0.75"/>
    <n v="17.25"/>
  </r>
  <r>
    <n v="823"/>
    <x v="822"/>
    <n v="106"/>
    <n v="92"/>
    <x v="11"/>
    <n v="14"/>
    <d v="1899-12-30T00:00:44"/>
    <n v="67.466666666666669"/>
    <n v="0.73333333333333328"/>
    <n v="44"/>
    <d v="1899-12-30T00:03:03"/>
    <n v="280.59999999999997"/>
    <n v="3.05"/>
    <n v="183"/>
    <n v="41"/>
    <n v="0.45629999999999998"/>
    <n v="41.979599999999998"/>
  </r>
  <r>
    <n v="824"/>
    <x v="823"/>
    <n v="52"/>
    <n v="50"/>
    <x v="4"/>
    <n v="2"/>
    <d v="1899-12-30T00:00:11"/>
    <n v="9.1666666666666661"/>
    <n v="0.18333333333333332"/>
    <n v="11"/>
    <d v="1899-12-30T00:03:19"/>
    <n v="165.83333333333331"/>
    <n v="3.3166666666666664"/>
    <n v="199"/>
    <n v="44"/>
    <n v="0.88460000000000005"/>
    <n v="44.230000000000004"/>
  </r>
  <r>
    <n v="825"/>
    <x v="824"/>
    <n v="223"/>
    <n v="203"/>
    <x v="1"/>
    <n v="20"/>
    <d v="1899-12-30T00:00:31"/>
    <n v="104.88333333333334"/>
    <n v="0.51666666666666672"/>
    <n v="31.000000000000004"/>
    <d v="1899-12-30T00:03:18"/>
    <n v="669.9"/>
    <n v="3.3"/>
    <n v="198"/>
    <n v="126"/>
    <n v="0.621"/>
    <n v="126.063"/>
  </r>
  <r>
    <n v="826"/>
    <x v="825"/>
    <n v="274"/>
    <n v="233"/>
    <x v="18"/>
    <n v="41"/>
    <d v="1899-12-30T00:00:48"/>
    <n v="186.4"/>
    <n v="0.8"/>
    <n v="48"/>
    <d v="1899-12-30T00:03:27"/>
    <n v="803.85"/>
    <n v="3.45"/>
    <n v="207"/>
    <n v="84"/>
    <n v="0.36059999999999998"/>
    <n v="84.019799999999989"/>
  </r>
  <r>
    <n v="827"/>
    <x v="826"/>
    <n v="280"/>
    <n v="263"/>
    <x v="2"/>
    <n v="17"/>
    <d v="1899-12-30T00:00:23"/>
    <n v="100.81666666666668"/>
    <n v="0.38333333333333336"/>
    <n v="23"/>
    <d v="1899-12-30T00:03:13"/>
    <n v="845.98333333333335"/>
    <n v="3.2166666666666668"/>
    <n v="193"/>
    <n v="177"/>
    <n v="0.6764"/>
    <n v="177.89320000000001"/>
  </r>
  <r>
    <n v="828"/>
    <x v="827"/>
    <n v="534"/>
    <n v="468"/>
    <x v="20"/>
    <n v="66"/>
    <d v="1899-12-30T00:00:30"/>
    <n v="234"/>
    <n v="0.5"/>
    <n v="30"/>
    <d v="1899-12-30T00:02:46"/>
    <n v="1294.8"/>
    <n v="2.7666666666666666"/>
    <n v="166"/>
    <n v="268"/>
    <n v="0.57469999999999999"/>
    <n v="268.95960000000002"/>
  </r>
  <r>
    <n v="829"/>
    <x v="828"/>
    <n v="315"/>
    <n v="300"/>
    <x v="10"/>
    <n v="15"/>
    <d v="1899-12-30T00:00:24"/>
    <n v="120"/>
    <n v="0.4"/>
    <n v="24"/>
    <d v="1899-12-30T00:03:11"/>
    <n v="954.99999999999989"/>
    <n v="3.1833333333333331"/>
    <n v="191"/>
    <n v="210"/>
    <n v="0.70230000000000004"/>
    <n v="210.69"/>
  </r>
  <r>
    <n v="830"/>
    <x v="829"/>
    <n v="122"/>
    <n v="113"/>
    <x v="6"/>
    <n v="9"/>
    <d v="1899-12-30T00:00:20"/>
    <n v="37.666666666666664"/>
    <n v="0.33333333333333331"/>
    <n v="20"/>
    <d v="1899-12-30T00:02:58"/>
    <n v="335.23333333333335"/>
    <n v="2.9666666666666668"/>
    <n v="178"/>
    <n v="86"/>
    <n v="0.76670000000000005"/>
    <n v="86.637100000000004"/>
  </r>
  <r>
    <n v="831"/>
    <x v="830"/>
    <n v="63"/>
    <n v="60"/>
    <x v="10"/>
    <n v="3"/>
    <d v="1899-12-30T00:00:21"/>
    <n v="21"/>
    <n v="0.35"/>
    <n v="21"/>
    <d v="1899-12-30T00:02:51"/>
    <n v="171"/>
    <n v="2.85"/>
    <n v="171"/>
    <n v="44"/>
    <n v="0.7419"/>
    <n v="44.514000000000003"/>
  </r>
  <r>
    <n v="832"/>
    <x v="831"/>
    <n v="402"/>
    <n v="368"/>
    <x v="1"/>
    <n v="34"/>
    <d v="1899-12-30T00:00:32"/>
    <n v="196.26666666666665"/>
    <n v="0.53333333333333333"/>
    <n v="32"/>
    <d v="1899-12-30T00:03:07"/>
    <n v="1146.9333333333334"/>
    <n v="3.1166666666666667"/>
    <n v="187"/>
    <n v="199"/>
    <n v="0.54179999999999995"/>
    <n v="199.38239999999999"/>
  </r>
  <r>
    <n v="833"/>
    <x v="832"/>
    <n v="413"/>
    <n v="370"/>
    <x v="13"/>
    <n v="43"/>
    <d v="1899-12-30T00:00:29"/>
    <n v="178.83333333333334"/>
    <n v="0.48333333333333334"/>
    <n v="29"/>
    <d v="1899-12-30T00:03:10"/>
    <n v="1171.6666666666665"/>
    <n v="3.1666666666666665"/>
    <n v="190"/>
    <n v="216"/>
    <n v="0.58420000000000005"/>
    <n v="216.15400000000002"/>
  </r>
  <r>
    <n v="834"/>
    <x v="833"/>
    <n v="389"/>
    <n v="346"/>
    <x v="8"/>
    <n v="43"/>
    <d v="1899-12-30T00:00:36"/>
    <n v="207.6"/>
    <n v="0.6"/>
    <n v="36"/>
    <d v="1899-12-30T00:03:21"/>
    <n v="1159.1000000000001"/>
    <n v="3.35"/>
    <n v="201"/>
    <n v="172"/>
    <n v="0.49869999999999998"/>
    <n v="172.55019999999999"/>
  </r>
  <r>
    <n v="835"/>
    <x v="834"/>
    <n v="495"/>
    <n v="308"/>
    <x v="39"/>
    <n v="187"/>
    <d v="1899-12-30T00:01:31"/>
    <n v="467.13333333333333"/>
    <n v="1.5166666666666666"/>
    <n v="91"/>
    <d v="1899-12-30T00:03:25"/>
    <n v="1052.3333333333333"/>
    <n v="3.4166666666666665"/>
    <n v="205"/>
    <n v="57"/>
    <n v="0.18559999999999999"/>
    <n v="57.1648"/>
  </r>
  <r>
    <n v="836"/>
    <x v="835"/>
    <n v="712"/>
    <n v="340"/>
    <x v="41"/>
    <n v="372"/>
    <d v="1899-12-30T00:02:00"/>
    <n v="680"/>
    <n v="2"/>
    <n v="120"/>
    <d v="1899-12-30T00:03:26"/>
    <n v="1167.3333333333335"/>
    <n v="3.4333333333333336"/>
    <n v="206"/>
    <n v="41"/>
    <n v="0.1226"/>
    <n v="41.683999999999997"/>
  </r>
  <r>
    <n v="837"/>
    <x v="836"/>
    <n v="1057"/>
    <n v="602"/>
    <x v="38"/>
    <n v="455"/>
    <d v="1899-12-30T00:01:44"/>
    <n v="1043.4666666666667"/>
    <n v="1.7333333333333334"/>
    <n v="104"/>
    <d v="1899-12-30T00:02:33"/>
    <n v="1535.1"/>
    <n v="2.5499999999999998"/>
    <n v="153"/>
    <n v="69"/>
    <n v="0.1149"/>
    <n v="69.169799999999995"/>
  </r>
  <r>
    <n v="838"/>
    <x v="837"/>
    <n v="620"/>
    <n v="321"/>
    <x v="37"/>
    <n v="299"/>
    <d v="1899-12-30T00:02:42"/>
    <n v="866.7"/>
    <n v="2.7"/>
    <n v="162"/>
    <d v="1899-12-30T00:03:13"/>
    <n v="1032.55"/>
    <n v="3.2166666666666668"/>
    <n v="193"/>
    <n v="34"/>
    <n v="0.1087"/>
    <n v="34.892700000000005"/>
  </r>
  <r>
    <n v="839"/>
    <x v="838"/>
    <n v="1575"/>
    <n v="871"/>
    <x v="27"/>
    <n v="704"/>
    <d v="1899-12-30T00:01:32"/>
    <n v="1335.5333333333333"/>
    <n v="1.5333333333333332"/>
    <n v="92"/>
    <d v="1899-12-30T00:02:33"/>
    <n v="2221.0499999999997"/>
    <n v="2.5499999999999998"/>
    <n v="153"/>
    <n v="121"/>
    <n v="0.13930000000000001"/>
    <n v="121.33030000000001"/>
  </r>
  <r>
    <n v="840"/>
    <x v="839"/>
    <n v="1349"/>
    <n v="775"/>
    <x v="42"/>
    <n v="574"/>
    <d v="1899-12-30T00:01:46"/>
    <n v="1369.1666666666665"/>
    <n v="1.7666666666666666"/>
    <n v="106"/>
    <d v="1899-12-30T00:03:10"/>
    <n v="2454.1666666666665"/>
    <n v="3.1666666666666665"/>
    <n v="190"/>
    <n v="94"/>
    <n v="0.1216"/>
    <n v="94.24"/>
  </r>
  <r>
    <n v="841"/>
    <x v="840"/>
    <n v="999"/>
    <n v="454"/>
    <x v="26"/>
    <n v="545"/>
    <d v="1899-12-30T00:02:48"/>
    <n v="1271.1999999999998"/>
    <n v="2.8"/>
    <n v="168"/>
    <d v="1899-12-30T00:03:14"/>
    <n v="1467.9333333333334"/>
    <n v="3.2333333333333334"/>
    <n v="194"/>
    <n v="18"/>
    <n v="4.07E-2"/>
    <n v="18.477799999999998"/>
  </r>
  <r>
    <n v="842"/>
    <x v="841"/>
    <n v="968"/>
    <n v="547"/>
    <x v="38"/>
    <n v="421"/>
    <d v="1899-12-30T00:02:26"/>
    <n v="1331.0333333333335"/>
    <n v="2.4333333333333336"/>
    <n v="146"/>
    <d v="1899-12-30T00:03:18"/>
    <n v="1805.1"/>
    <n v="3.3"/>
    <n v="198"/>
    <n v="64"/>
    <n v="0.1171"/>
    <n v="64.053699999999992"/>
  </r>
  <r>
    <n v="843"/>
    <x v="842"/>
    <n v="1066"/>
    <n v="453"/>
    <x v="43"/>
    <n v="613"/>
    <d v="1899-12-30T00:05:04"/>
    <n v="2295.1999999999998"/>
    <n v="5.0666666666666664"/>
    <n v="304"/>
    <d v="1899-12-30T00:03:39"/>
    <n v="1653.45"/>
    <n v="3.65"/>
    <n v="219"/>
    <n v="10"/>
    <n v="2.24E-2"/>
    <n v="10.1472"/>
  </r>
  <r>
    <n v="844"/>
    <x v="843"/>
    <n v="788"/>
    <n v="633"/>
    <x v="34"/>
    <n v="155"/>
    <d v="1899-12-30T00:01:13"/>
    <n v="770.15000000000009"/>
    <n v="1.2166666666666668"/>
    <n v="73"/>
    <d v="1899-12-30T00:03:23"/>
    <n v="2141.65"/>
    <n v="3.3833333333333333"/>
    <n v="203"/>
    <n v="132"/>
    <n v="0.20880000000000001"/>
    <n v="132.1704"/>
  </r>
  <r>
    <n v="845"/>
    <x v="844"/>
    <n v="252"/>
    <n v="213"/>
    <x v="16"/>
    <n v="39"/>
    <d v="1899-12-30T00:00:53"/>
    <n v="188.15"/>
    <n v="0.8833333333333333"/>
    <n v="53"/>
    <d v="1899-12-30T00:03:31"/>
    <n v="749.05"/>
    <n v="3.5166666666666666"/>
    <n v="211"/>
    <n v="93"/>
    <n v="0.44080000000000003"/>
    <n v="93.8904"/>
  </r>
  <r>
    <n v="846"/>
    <x v="845"/>
    <n v="842"/>
    <n v="625"/>
    <x v="40"/>
    <n v="217"/>
    <d v="1899-12-30T00:01:11"/>
    <n v="739.58333333333337"/>
    <n v="1.1833333333333333"/>
    <n v="71"/>
    <d v="1899-12-30T00:03:10"/>
    <n v="1979.1666666666665"/>
    <n v="3.1666666666666665"/>
    <n v="190"/>
    <n v="168"/>
    <n v="0.26929999999999998"/>
    <n v="168.3125"/>
  </r>
  <r>
    <n v="847"/>
    <x v="846"/>
    <n v="847"/>
    <n v="722"/>
    <x v="18"/>
    <n v="125"/>
    <d v="1899-12-30T00:00:54"/>
    <n v="649.80000000000007"/>
    <n v="0.9"/>
    <n v="54"/>
    <d v="1899-12-30T00:03:04"/>
    <n v="2214.1333333333337"/>
    <n v="3.0666666666666669"/>
    <n v="184"/>
    <n v="241"/>
    <n v="0.33489999999999998"/>
    <n v="241.7978"/>
  </r>
  <r>
    <n v="848"/>
    <x v="847"/>
    <n v="800"/>
    <n v="615"/>
    <x v="44"/>
    <n v="185"/>
    <d v="1899-12-30T00:01:07"/>
    <n v="686.75"/>
    <n v="1.1166666666666667"/>
    <n v="67"/>
    <d v="1899-12-30T00:03:25"/>
    <n v="2101.25"/>
    <n v="3.4166666666666665"/>
    <n v="205"/>
    <n v="147"/>
    <n v="0.23980000000000001"/>
    <n v="147.477"/>
  </r>
  <r>
    <n v="849"/>
    <x v="848"/>
    <n v="1100"/>
    <n v="823"/>
    <x v="40"/>
    <n v="277"/>
    <d v="1899-12-30T00:01:08"/>
    <n v="932.73333333333335"/>
    <n v="1.1333333333333333"/>
    <n v="68"/>
    <d v="1899-12-30T00:03:18"/>
    <n v="2715.8999999999996"/>
    <n v="3.3"/>
    <n v="198"/>
    <n v="244"/>
    <n v="0.29649999999999999"/>
    <n v="244.01949999999999"/>
  </r>
  <r>
    <n v="850"/>
    <x v="849"/>
    <n v="1242"/>
    <n v="909"/>
    <x v="15"/>
    <n v="333"/>
    <d v="1899-12-30T00:01:23"/>
    <n v="1257.45"/>
    <n v="1.3833333333333333"/>
    <n v="83"/>
    <d v="1899-12-30T00:03:04"/>
    <n v="2787.6000000000004"/>
    <n v="3.0666666666666669"/>
    <n v="184"/>
    <n v="172"/>
    <n v="0.19"/>
    <n v="172.71"/>
  </r>
  <r>
    <n v="851"/>
    <x v="850"/>
    <n v="732"/>
    <n v="460"/>
    <x v="39"/>
    <n v="272"/>
    <d v="1899-12-30T00:01:31"/>
    <n v="697.66666666666663"/>
    <n v="1.5166666666666666"/>
    <n v="91"/>
    <d v="1899-12-30T00:03:12"/>
    <n v="1472"/>
    <n v="3.2"/>
    <n v="192"/>
    <n v="82"/>
    <n v="0.1792"/>
    <n v="82.432000000000002"/>
  </r>
  <r>
    <n v="852"/>
    <x v="851"/>
    <n v="112"/>
    <n v="104"/>
    <x v="6"/>
    <n v="8"/>
    <d v="1899-12-30T00:00:34"/>
    <n v="58.93333333333333"/>
    <n v="0.56666666666666665"/>
    <n v="34"/>
    <d v="1899-12-30T00:03:21"/>
    <n v="348.40000000000003"/>
    <n v="3.35"/>
    <n v="201"/>
    <n v="58"/>
    <n v="0.56359999999999999"/>
    <n v="58.614399999999996"/>
  </r>
  <r>
    <n v="853"/>
    <x v="852"/>
    <n v="482"/>
    <n v="434"/>
    <x v="9"/>
    <n v="48"/>
    <d v="1899-12-30T00:00:41"/>
    <n v="296.56666666666666"/>
    <n v="0.68333333333333335"/>
    <n v="41"/>
    <d v="1899-12-30T00:03:01"/>
    <n v="1309.2333333333333"/>
    <n v="3.0166666666666666"/>
    <n v="181"/>
    <n v="205"/>
    <n v="0.47439999999999999"/>
    <n v="205.8896"/>
  </r>
  <r>
    <n v="854"/>
    <x v="853"/>
    <n v="570"/>
    <n v="484"/>
    <x v="16"/>
    <n v="86"/>
    <d v="1899-12-30T00:00:51"/>
    <n v="411.4"/>
    <n v="0.85"/>
    <n v="51"/>
    <d v="1899-12-30T00:03:07"/>
    <n v="1508.4666666666667"/>
    <n v="3.1166666666666667"/>
    <n v="187"/>
    <n v="178"/>
    <n v="0.36899999999999999"/>
    <n v="178.596"/>
  </r>
  <r>
    <n v="855"/>
    <x v="854"/>
    <n v="490"/>
    <n v="398"/>
    <x v="14"/>
    <n v="92"/>
    <d v="1899-12-30T00:00:50"/>
    <n v="331.66666666666669"/>
    <n v="0.83333333333333337"/>
    <n v="50"/>
    <d v="1899-12-30T00:03:17"/>
    <n v="1306.7666666666667"/>
    <n v="3.2833333333333332"/>
    <n v="197"/>
    <n v="143"/>
    <n v="0.36099999999999999"/>
    <n v="143.678"/>
  </r>
  <r>
    <n v="856"/>
    <x v="855"/>
    <n v="462"/>
    <n v="311"/>
    <x v="45"/>
    <n v="151"/>
    <d v="1899-12-30T00:01:11"/>
    <n v="368.01666666666665"/>
    <n v="1.1833333333333333"/>
    <n v="71"/>
    <d v="1899-12-30T00:03:17"/>
    <n v="1021.1166666666667"/>
    <n v="3.2833333333333332"/>
    <n v="197"/>
    <n v="81"/>
    <n v="0.26340000000000002"/>
    <n v="81.917400000000001"/>
  </r>
  <r>
    <n v="857"/>
    <x v="856"/>
    <n v="428"/>
    <n v="373"/>
    <x v="20"/>
    <n v="55"/>
    <d v="1899-12-30T00:00:40"/>
    <n v="248.66666666666666"/>
    <n v="0.66666666666666663"/>
    <n v="40"/>
    <d v="1899-12-30T00:02:58"/>
    <n v="1106.5666666666666"/>
    <n v="2.9666666666666668"/>
    <n v="178"/>
    <n v="188"/>
    <n v="0.50600000000000001"/>
    <n v="188.738"/>
  </r>
  <r>
    <n v="858"/>
    <x v="857"/>
    <n v="393"/>
    <n v="312"/>
    <x v="24"/>
    <n v="81"/>
    <d v="1899-12-30T00:01:02"/>
    <n v="322.40000000000003"/>
    <n v="1.0333333333333334"/>
    <n v="62.000000000000007"/>
    <d v="1899-12-30T00:03:16"/>
    <n v="1019.1999999999999"/>
    <n v="3.2666666666666666"/>
    <n v="196"/>
    <n v="97"/>
    <n v="0.314"/>
    <n v="97.968000000000004"/>
  </r>
  <r>
    <n v="859"/>
    <x v="858"/>
    <n v="58"/>
    <n v="50"/>
    <x v="11"/>
    <n v="8"/>
    <d v="1899-12-30T00:00:29"/>
    <n v="24.166666666666668"/>
    <n v="0.48333333333333334"/>
    <n v="29"/>
    <d v="1899-12-30T00:03:04"/>
    <n v="153.33333333333334"/>
    <n v="3.0666666666666669"/>
    <n v="184"/>
    <n v="33"/>
    <n v="0.6724"/>
    <n v="33.619999999999997"/>
  </r>
  <r>
    <n v="860"/>
    <x v="859"/>
    <n v="316"/>
    <n v="279"/>
    <x v="8"/>
    <n v="37"/>
    <d v="1899-12-30T00:00:40"/>
    <n v="186"/>
    <n v="0.66666666666666663"/>
    <n v="40"/>
    <d v="1899-12-30T00:02:58"/>
    <n v="827.7"/>
    <n v="2.9666666666666668"/>
    <n v="178"/>
    <n v="123"/>
    <n v="0.44159999999999999"/>
    <n v="123.2064"/>
  </r>
  <r>
    <n v="861"/>
    <x v="860"/>
    <n v="298"/>
    <n v="274"/>
    <x v="1"/>
    <n v="24"/>
    <d v="1899-12-30T00:00:30"/>
    <n v="137"/>
    <n v="0.5"/>
    <n v="30"/>
    <d v="1899-12-30T00:02:59"/>
    <n v="817.43333333333339"/>
    <n v="2.9833333333333334"/>
    <n v="179"/>
    <n v="152"/>
    <n v="0.55779999999999996"/>
    <n v="152.8372"/>
  </r>
  <r>
    <n v="862"/>
    <x v="861"/>
    <n v="308"/>
    <n v="275"/>
    <x v="13"/>
    <n v="33"/>
    <d v="1899-12-30T00:00:40"/>
    <n v="183.33333333333331"/>
    <n v="0.66666666666666663"/>
    <n v="40"/>
    <d v="1899-12-30T00:02:56"/>
    <n v="806.66666666666674"/>
    <n v="2.9333333333333336"/>
    <n v="176"/>
    <n v="141"/>
    <n v="0.51629999999999998"/>
    <n v="141.98249999999999"/>
  </r>
  <r>
    <n v="863"/>
    <x v="862"/>
    <n v="259"/>
    <n v="242"/>
    <x v="2"/>
    <n v="17"/>
    <d v="1899-12-30T00:00:16"/>
    <n v="64.533333333333331"/>
    <n v="0.26666666666666666"/>
    <n v="16"/>
    <d v="1899-12-30T00:02:54"/>
    <n v="701.8"/>
    <n v="2.9"/>
    <n v="174"/>
    <n v="189"/>
    <n v="0.78259999999999996"/>
    <n v="189.38919999999999"/>
  </r>
  <r>
    <n v="864"/>
    <x v="863"/>
    <n v="464"/>
    <n v="391"/>
    <x v="16"/>
    <n v="73"/>
    <d v="1899-12-30T00:00:55"/>
    <n v="358.41666666666663"/>
    <n v="0.91666666666666663"/>
    <n v="55"/>
    <d v="1899-12-30T00:03:31"/>
    <n v="1375.0166666666667"/>
    <n v="3.5166666666666666"/>
    <n v="211"/>
    <n v="138"/>
    <n v="0.35449999999999998"/>
    <n v="138.6095"/>
  </r>
  <r>
    <n v="865"/>
    <x v="864"/>
    <n v="302"/>
    <n v="275"/>
    <x v="1"/>
    <n v="27"/>
    <d v="1899-12-30T00:00:30"/>
    <n v="137.5"/>
    <n v="0.5"/>
    <n v="30"/>
    <d v="1899-12-30T00:03:02"/>
    <n v="834.16666666666663"/>
    <n v="3.0333333333333332"/>
    <n v="182"/>
    <n v="154"/>
    <n v="0.56040000000000001"/>
    <n v="154.11000000000001"/>
  </r>
  <r>
    <n v="866"/>
    <x v="865"/>
    <n v="47"/>
    <n v="45"/>
    <x v="10"/>
    <n v="2"/>
    <d v="1899-12-30T00:00:12"/>
    <n v="9"/>
    <n v="0.2"/>
    <n v="12"/>
    <d v="1899-12-30T00:02:41"/>
    <n v="120.75000000000001"/>
    <n v="2.6833333333333336"/>
    <n v="161"/>
    <n v="38"/>
    <n v="0.85109999999999997"/>
    <n v="38.299500000000002"/>
  </r>
  <r>
    <n v="867"/>
    <x v="866"/>
    <n v="293"/>
    <n v="279"/>
    <x v="10"/>
    <n v="14"/>
    <d v="1899-12-30T00:00:22"/>
    <n v="102.3"/>
    <n v="0.36666666666666664"/>
    <n v="22"/>
    <d v="1899-12-30T00:02:53"/>
    <n v="804.45"/>
    <n v="2.8833333333333333"/>
    <n v="173"/>
    <n v="188"/>
    <n v="0.67469999999999997"/>
    <n v="188.2413"/>
  </r>
  <r>
    <n v="868"/>
    <x v="867"/>
    <n v="245"/>
    <n v="225"/>
    <x v="1"/>
    <n v="20"/>
    <d v="1899-12-30T00:00:18"/>
    <n v="67.5"/>
    <n v="0.3"/>
    <n v="18"/>
    <d v="1899-12-30T00:02:55"/>
    <n v="656.25"/>
    <n v="2.9166666666666665"/>
    <n v="175"/>
    <n v="165"/>
    <n v="0.73550000000000004"/>
    <n v="165.48750000000001"/>
  </r>
  <r>
    <n v="869"/>
    <x v="868"/>
    <n v="295"/>
    <n v="227"/>
    <x v="44"/>
    <n v="68"/>
    <d v="1899-12-30T00:00:48"/>
    <n v="181.60000000000002"/>
    <n v="0.8"/>
    <n v="48"/>
    <d v="1899-12-30T00:03:19"/>
    <n v="752.88333333333333"/>
    <n v="3.3166666666666664"/>
    <n v="199"/>
    <n v="101"/>
    <n v="0.44790000000000002"/>
    <n v="101.6733"/>
  </r>
  <r>
    <n v="870"/>
    <x v="869"/>
    <n v="205"/>
    <n v="196"/>
    <x v="10"/>
    <n v="9"/>
    <d v="1899-12-30T00:00:20"/>
    <n v="65.333333333333329"/>
    <n v="0.33333333333333331"/>
    <n v="20"/>
    <d v="1899-12-30T00:03:06"/>
    <n v="607.6"/>
    <n v="3.1"/>
    <n v="186"/>
    <n v="144"/>
    <n v="0.73660000000000003"/>
    <n v="144.37360000000001"/>
  </r>
  <r>
    <n v="871"/>
    <x v="870"/>
    <n v="249"/>
    <n v="215"/>
    <x v="11"/>
    <n v="34"/>
    <d v="1899-12-30T00:00:40"/>
    <n v="143.33333333333331"/>
    <n v="0.66666666666666663"/>
    <n v="40"/>
    <d v="1899-12-30T00:02:58"/>
    <n v="637.83333333333337"/>
    <n v="2.9666666666666668"/>
    <n v="178"/>
    <n v="99"/>
    <n v="0.46089999999999998"/>
    <n v="99.093499999999992"/>
  </r>
  <r>
    <n v="872"/>
    <x v="871"/>
    <n v="236"/>
    <n v="213"/>
    <x v="9"/>
    <n v="23"/>
    <d v="1899-12-30T00:00:26"/>
    <n v="92.3"/>
    <n v="0.43333333333333335"/>
    <n v="26"/>
    <d v="1899-12-30T00:03:14"/>
    <n v="688.7"/>
    <n v="3.2333333333333334"/>
    <n v="194"/>
    <n v="134"/>
    <n v="0.63360000000000005"/>
    <n v="134.95680000000002"/>
  </r>
  <r>
    <n v="873"/>
    <x v="872"/>
    <n v="39"/>
    <n v="39"/>
    <x v="3"/>
    <n v="0"/>
    <d v="1899-12-30T00:00:14"/>
    <n v="9.1"/>
    <n v="0.23333333333333334"/>
    <n v="14"/>
    <d v="1899-12-30T00:02:30"/>
    <n v="97.5"/>
    <n v="2.5"/>
    <n v="150"/>
    <n v="34"/>
    <n v="0.87180000000000002"/>
    <n v="34.0002"/>
  </r>
  <r>
    <n v="874"/>
    <x v="873"/>
    <n v="208"/>
    <n v="194"/>
    <x v="2"/>
    <n v="14"/>
    <d v="1899-12-30T00:00:17"/>
    <n v="54.966666666666669"/>
    <n v="0.28333333333333333"/>
    <n v="17"/>
    <d v="1899-12-30T00:02:54"/>
    <n v="562.6"/>
    <n v="2.9"/>
    <n v="174"/>
    <n v="149"/>
    <n v="0.76959999999999995"/>
    <n v="149.30239999999998"/>
  </r>
  <r>
    <n v="875"/>
    <x v="874"/>
    <n v="39"/>
    <n v="38"/>
    <x v="7"/>
    <n v="1"/>
    <d v="1899-12-30T00:00:04"/>
    <n v="2.5333333333333332"/>
    <n v="6.6666666666666666E-2"/>
    <n v="4"/>
    <d v="1899-12-30T00:02:21"/>
    <n v="89.3"/>
    <n v="2.35"/>
    <n v="141"/>
    <n v="36"/>
    <n v="0.94869999999999999"/>
    <n v="36.050600000000003"/>
  </r>
  <r>
    <n v="876"/>
    <x v="875"/>
    <n v="115"/>
    <n v="110"/>
    <x v="10"/>
    <n v="5"/>
    <d v="1899-12-30T00:00:08"/>
    <n v="14.666666666666666"/>
    <n v="0.13333333333333333"/>
    <n v="8"/>
    <d v="1899-12-30T00:02:46"/>
    <n v="304.33333333333331"/>
    <n v="2.7666666666666666"/>
    <n v="166"/>
    <n v="99"/>
    <n v="0.90429999999999999"/>
    <n v="99.472999999999999"/>
  </r>
  <r>
    <n v="877"/>
    <x v="876"/>
    <n v="338"/>
    <n v="308"/>
    <x v="1"/>
    <n v="30"/>
    <d v="1899-12-30T00:00:27"/>
    <n v="138.6"/>
    <n v="0.45"/>
    <n v="27"/>
    <d v="1899-12-30T00:02:50"/>
    <n v="872.66666666666674"/>
    <n v="2.8333333333333335"/>
    <n v="170"/>
    <n v="194"/>
    <n v="0.63100000000000001"/>
    <n v="194.34800000000001"/>
  </r>
  <r>
    <n v="878"/>
    <x v="877"/>
    <n v="404"/>
    <n v="320"/>
    <x v="24"/>
    <n v="84"/>
    <d v="1899-12-30T00:00:45"/>
    <n v="240"/>
    <n v="0.75"/>
    <n v="45"/>
    <d v="1899-12-30T00:02:58"/>
    <n v="949.33333333333337"/>
    <n v="2.9666666666666668"/>
    <n v="178"/>
    <n v="164"/>
    <n v="0.51390000000000002"/>
    <n v="164.44800000000001"/>
  </r>
  <r>
    <n v="879"/>
    <x v="878"/>
    <n v="436"/>
    <n v="393"/>
    <x v="9"/>
    <n v="43"/>
    <d v="1899-12-30T00:00:26"/>
    <n v="170.3"/>
    <n v="0.43333333333333335"/>
    <n v="26"/>
    <d v="1899-12-30T00:02:51"/>
    <n v="1120.05"/>
    <n v="2.85"/>
    <n v="171"/>
    <n v="256"/>
    <n v="0.65259999999999996"/>
    <n v="256.47179999999997"/>
  </r>
  <r>
    <n v="880"/>
    <x v="879"/>
    <n v="73"/>
    <n v="72"/>
    <x v="5"/>
    <n v="1"/>
    <d v="1899-12-30T00:00:07"/>
    <n v="8.4"/>
    <n v="0.11666666666666667"/>
    <n v="7"/>
    <d v="1899-12-30T00:02:46"/>
    <n v="199.2"/>
    <n v="2.7666666666666666"/>
    <n v="166"/>
    <n v="67"/>
    <n v="0.93149999999999999"/>
    <n v="67.067999999999998"/>
  </r>
  <r>
    <n v="881"/>
    <x v="880"/>
    <n v="521"/>
    <n v="492"/>
    <x v="0"/>
    <n v="29"/>
    <d v="1899-12-30T00:00:17"/>
    <n v="139.4"/>
    <n v="0.28333333333333333"/>
    <n v="17"/>
    <d v="1899-12-30T00:02:45"/>
    <n v="1353"/>
    <n v="2.75"/>
    <n v="165"/>
    <n v="388"/>
    <n v="0.78939999999999999"/>
    <n v="388.38479999999998"/>
  </r>
  <r>
    <n v="882"/>
    <x v="881"/>
    <n v="648"/>
    <n v="564"/>
    <x v="20"/>
    <n v="84"/>
    <d v="1899-12-30T00:00:27"/>
    <n v="253.8"/>
    <n v="0.45"/>
    <n v="27"/>
    <d v="1899-12-30T00:02:46"/>
    <n v="1560.3999999999999"/>
    <n v="2.7666666666666666"/>
    <n v="166"/>
    <n v="346"/>
    <n v="0.61360000000000003"/>
    <n v="346.07040000000001"/>
  </r>
  <r>
    <n v="883"/>
    <x v="882"/>
    <n v="729"/>
    <n v="592"/>
    <x v="14"/>
    <n v="137"/>
    <d v="1899-12-30T00:00:55"/>
    <n v="542.66666666666663"/>
    <n v="0.91666666666666663"/>
    <n v="55"/>
    <d v="1899-12-30T00:02:53"/>
    <n v="1706.9333333333334"/>
    <n v="2.8833333333333333"/>
    <n v="173"/>
    <n v="212"/>
    <n v="0.35830000000000001"/>
    <n v="212.11359999999999"/>
  </r>
  <r>
    <n v="884"/>
    <x v="883"/>
    <n v="1196"/>
    <n v="718"/>
    <x v="46"/>
    <n v="478"/>
    <d v="1899-12-30T00:01:52"/>
    <n v="1340.2666666666667"/>
    <n v="1.8666666666666667"/>
    <n v="112"/>
    <d v="1899-12-30T00:03:09"/>
    <n v="2261.6999999999998"/>
    <n v="3.15"/>
    <n v="189"/>
    <n v="104"/>
    <n v="0.1462"/>
    <n v="104.9716"/>
  </r>
  <r>
    <n v="885"/>
    <x v="884"/>
    <n v="436"/>
    <n v="323"/>
    <x v="40"/>
    <n v="113"/>
    <d v="1899-12-30T00:00:44"/>
    <n v="236.86666666666665"/>
    <n v="0.73333333333333328"/>
    <n v="44"/>
    <d v="1899-12-30T00:03:02"/>
    <n v="979.76666666666665"/>
    <n v="3.0333333333333332"/>
    <n v="182"/>
    <n v="141"/>
    <n v="0.4375"/>
    <n v="141.3125"/>
  </r>
  <r>
    <n v="886"/>
    <x v="885"/>
    <n v="191"/>
    <n v="178"/>
    <x v="2"/>
    <n v="13"/>
    <d v="1899-12-30T00:00:16"/>
    <n v="47.466666666666669"/>
    <n v="0.26666666666666666"/>
    <n v="16"/>
    <d v="1899-12-30T00:02:51"/>
    <n v="507.3"/>
    <n v="2.85"/>
    <n v="171"/>
    <n v="143"/>
    <n v="0.80530000000000002"/>
    <n v="143.3434"/>
  </r>
  <r>
    <n v="887"/>
    <x v="886"/>
    <n v="68"/>
    <n v="68"/>
    <x v="3"/>
    <n v="0"/>
    <d v="1899-12-30T00:00:05"/>
    <n v="5.6666666666666661"/>
    <n v="8.3333333333333329E-2"/>
    <n v="5"/>
    <d v="1899-12-30T00:02:56"/>
    <n v="199.4666666666667"/>
    <n v="2.9333333333333336"/>
    <n v="176"/>
    <n v="67"/>
    <n v="0.98529999999999995"/>
    <n v="67.000399999999999"/>
  </r>
  <r>
    <n v="888"/>
    <x v="887"/>
    <n v="498"/>
    <n v="429"/>
    <x v="11"/>
    <n v="69"/>
    <d v="1899-12-30T00:00:34"/>
    <n v="243.1"/>
    <n v="0.56666666666666665"/>
    <n v="34"/>
    <d v="1899-12-30T00:03:09"/>
    <n v="1351.35"/>
    <n v="3.15"/>
    <n v="189"/>
    <n v="217"/>
    <n v="0.5071"/>
    <n v="217.54589999999999"/>
  </r>
  <r>
    <n v="889"/>
    <x v="888"/>
    <n v="358"/>
    <n v="329"/>
    <x v="1"/>
    <n v="29"/>
    <d v="1899-12-30T00:00:21"/>
    <n v="115.14999999999999"/>
    <n v="0.35"/>
    <n v="21"/>
    <d v="1899-12-30T00:03:03"/>
    <n v="1003.4499999999999"/>
    <n v="3.05"/>
    <n v="183"/>
    <n v="220"/>
    <n v="0.66949999999999998"/>
    <n v="220.2655"/>
  </r>
  <r>
    <n v="890"/>
    <x v="889"/>
    <n v="340"/>
    <n v="302"/>
    <x v="8"/>
    <n v="38"/>
    <d v="1899-12-30T00:00:24"/>
    <n v="120.80000000000001"/>
    <n v="0.4"/>
    <n v="24"/>
    <d v="1899-12-30T00:02:50"/>
    <n v="855.66666666666674"/>
    <n v="2.8333333333333335"/>
    <n v="170"/>
    <n v="198"/>
    <n v="0.65669999999999995"/>
    <n v="198.32339999999999"/>
  </r>
  <r>
    <n v="891"/>
    <x v="890"/>
    <n v="322"/>
    <n v="306"/>
    <x v="10"/>
    <n v="16"/>
    <d v="1899-12-30T00:00:16"/>
    <n v="81.599999999999994"/>
    <n v="0.26666666666666666"/>
    <n v="16"/>
    <d v="1899-12-30T00:02:39"/>
    <n v="810.9"/>
    <n v="2.65"/>
    <n v="159"/>
    <n v="237"/>
    <n v="0.77739999999999998"/>
    <n v="237.8844"/>
  </r>
  <r>
    <n v="892"/>
    <x v="891"/>
    <n v="296"/>
    <n v="282"/>
    <x v="10"/>
    <n v="14"/>
    <d v="1899-12-30T00:00:18"/>
    <n v="84.6"/>
    <n v="0.3"/>
    <n v="18"/>
    <d v="1899-12-30T00:02:37"/>
    <n v="737.9"/>
    <n v="2.6166666666666667"/>
    <n v="157"/>
    <n v="215"/>
    <n v="0.76529999999999998"/>
    <n v="215.81459999999998"/>
  </r>
  <r>
    <n v="893"/>
    <x v="892"/>
    <n v="264"/>
    <n v="234"/>
    <x v="8"/>
    <n v="30"/>
    <d v="1899-12-30T00:00:20"/>
    <n v="78"/>
    <n v="0.33333333333333331"/>
    <n v="20"/>
    <d v="1899-12-30T00:02:34"/>
    <n v="600.59999999999991"/>
    <n v="2.5666666666666664"/>
    <n v="154"/>
    <n v="163"/>
    <n v="0.69879999999999998"/>
    <n v="163.51919999999998"/>
  </r>
  <r>
    <n v="894"/>
    <x v="893"/>
    <n v="52"/>
    <n v="51"/>
    <x v="5"/>
    <n v="1"/>
    <d v="1899-12-30T00:00:06"/>
    <n v="5.1000000000000005"/>
    <n v="0.1"/>
    <n v="6"/>
    <d v="1899-12-30T00:02:36"/>
    <n v="132.6"/>
    <n v="2.6"/>
    <n v="156"/>
    <n v="48"/>
    <n v="0.94120000000000004"/>
    <n v="48.001200000000004"/>
  </r>
  <r>
    <n v="895"/>
    <x v="894"/>
    <n v="266"/>
    <n v="264"/>
    <x v="12"/>
    <n v="2"/>
    <d v="1899-12-30T00:00:09"/>
    <n v="39.6"/>
    <n v="0.15"/>
    <n v="9"/>
    <d v="1899-12-30T00:02:39"/>
    <n v="699.6"/>
    <n v="2.65"/>
    <n v="159"/>
    <n v="240"/>
    <n v="0.90980000000000005"/>
    <n v="240.18720000000002"/>
  </r>
  <r>
    <n v="896"/>
    <x v="895"/>
    <n v="242"/>
    <n v="238"/>
    <x v="5"/>
    <n v="4"/>
    <d v="1899-12-30T00:00:09"/>
    <n v="35.699999999999996"/>
    <n v="0.15"/>
    <n v="9"/>
    <d v="1899-12-30T00:02:45"/>
    <n v="654.5"/>
    <n v="2.75"/>
    <n v="165"/>
    <n v="215"/>
    <n v="0.90459999999999996"/>
    <n v="215.29479999999998"/>
  </r>
  <r>
    <n v="897"/>
    <x v="896"/>
    <n v="241"/>
    <n v="228"/>
    <x v="0"/>
    <n v="13"/>
    <d v="1899-12-30T00:00:19"/>
    <n v="72.2"/>
    <n v="0.31666666666666665"/>
    <n v="19"/>
    <d v="1899-12-30T00:02:48"/>
    <n v="638.4"/>
    <n v="2.8"/>
    <n v="168"/>
    <n v="181"/>
    <n v="0.79579999999999995"/>
    <n v="181.44239999999999"/>
  </r>
  <r>
    <n v="898"/>
    <x v="897"/>
    <n v="279"/>
    <n v="269"/>
    <x v="4"/>
    <n v="10"/>
    <d v="1899-12-30T00:00:08"/>
    <n v="35.866666666666667"/>
    <n v="0.13333333333333333"/>
    <n v="8"/>
    <d v="1899-12-30T00:02:43"/>
    <n v="730.78333333333342"/>
    <n v="2.7166666666666668"/>
    <n v="163"/>
    <n v="245"/>
    <n v="0.91300000000000003"/>
    <n v="245.59700000000001"/>
  </r>
  <r>
    <n v="899"/>
    <x v="898"/>
    <n v="73"/>
    <n v="72"/>
    <x v="5"/>
    <n v="1"/>
    <d v="1899-12-30T00:00:08"/>
    <n v="9.6"/>
    <n v="0.13333333333333333"/>
    <n v="8"/>
    <d v="1899-12-30T00:03:04"/>
    <n v="220.8"/>
    <n v="3.0666666666666669"/>
    <n v="184"/>
    <n v="66"/>
    <n v="0.91779999999999995"/>
    <n v="66.081599999999995"/>
  </r>
  <r>
    <n v="900"/>
    <x v="899"/>
    <n v="226"/>
    <n v="218"/>
    <x v="4"/>
    <n v="8"/>
    <d v="1899-12-30T00:00:08"/>
    <n v="29.066666666666666"/>
    <n v="0.13333333333333333"/>
    <n v="8"/>
    <d v="1899-12-30T00:02:54"/>
    <n v="632.19999999999993"/>
    <n v="2.9"/>
    <n v="174"/>
    <n v="200"/>
    <n v="0.91859999999999997"/>
    <n v="200.25479999999999"/>
  </r>
  <r>
    <n v="901"/>
    <x v="900"/>
    <n v="43"/>
    <n v="42"/>
    <x v="7"/>
    <n v="1"/>
    <d v="1899-12-30T00:00:11"/>
    <n v="7.6999999999999993"/>
    <n v="0.18333333333333332"/>
    <n v="11"/>
    <d v="1899-12-30T00:02:38"/>
    <n v="110.6"/>
    <n v="2.6333333333333333"/>
    <n v="158"/>
    <n v="35"/>
    <n v="0.83720000000000006"/>
    <n v="35.162400000000005"/>
  </r>
  <r>
    <n v="902"/>
    <x v="901"/>
    <n v="311"/>
    <n v="255"/>
    <x v="14"/>
    <n v="56"/>
    <d v="1899-12-30T00:00:45"/>
    <n v="191.25"/>
    <n v="0.75"/>
    <n v="45"/>
    <d v="1899-12-30T00:02:55"/>
    <n v="743.75"/>
    <n v="2.9166666666666665"/>
    <n v="175"/>
    <n v="120"/>
    <n v="0.4718"/>
    <n v="120.309"/>
  </r>
  <r>
    <n v="903"/>
    <x v="902"/>
    <n v="251"/>
    <n v="210"/>
    <x v="19"/>
    <n v="41"/>
    <d v="1899-12-30T00:00:26"/>
    <n v="91"/>
    <n v="0.43333333333333335"/>
    <n v="26"/>
    <d v="1899-12-30T00:02:54"/>
    <n v="609"/>
    <n v="2.9"/>
    <n v="174"/>
    <n v="133"/>
    <n v="0.63519999999999999"/>
    <n v="133.392"/>
  </r>
  <r>
    <n v="904"/>
    <x v="903"/>
    <n v="339"/>
    <n v="313"/>
    <x v="6"/>
    <n v="26"/>
    <d v="1899-12-30T00:00:12"/>
    <n v="62.6"/>
    <n v="0.2"/>
    <n v="12"/>
    <d v="1899-12-30T00:02:02"/>
    <n v="636.43333333333328"/>
    <n v="2.0333333333333332"/>
    <n v="122"/>
    <n v="256"/>
    <n v="0.82089999999999996"/>
    <n v="256.94169999999997"/>
  </r>
  <r>
    <n v="905"/>
    <x v="904"/>
    <n v="323"/>
    <n v="261"/>
    <x v="34"/>
    <n v="62"/>
    <d v="1899-12-30T00:00:41"/>
    <n v="178.35"/>
    <n v="0.68333333333333335"/>
    <n v="41"/>
    <d v="1899-12-30T00:02:57"/>
    <n v="769.95"/>
    <n v="2.95"/>
    <n v="177"/>
    <n v="140"/>
    <n v="0.53990000000000005"/>
    <n v="140.91390000000001"/>
  </r>
  <r>
    <n v="906"/>
    <x v="905"/>
    <n v="289"/>
    <n v="265"/>
    <x v="1"/>
    <n v="24"/>
    <d v="1899-12-30T00:00:11"/>
    <n v="48.583333333333329"/>
    <n v="0.18333333333333332"/>
    <n v="11"/>
    <d v="1899-12-30T00:03:00"/>
    <n v="795"/>
    <n v="3"/>
    <n v="180"/>
    <n v="220"/>
    <n v="0.8327"/>
    <n v="220.66550000000001"/>
  </r>
  <r>
    <n v="907"/>
    <x v="906"/>
    <n v="310"/>
    <n v="281"/>
    <x v="9"/>
    <n v="29"/>
    <d v="1899-12-30T00:00:15"/>
    <n v="70.25"/>
    <n v="0.25"/>
    <n v="15"/>
    <d v="1899-12-30T00:02:41"/>
    <n v="754.01666666666677"/>
    <n v="2.6833333333333336"/>
    <n v="161"/>
    <n v="222"/>
    <n v="0.79120000000000001"/>
    <n v="222.3272"/>
  </r>
  <r>
    <n v="908"/>
    <x v="907"/>
    <n v="33"/>
    <n v="31"/>
    <x v="2"/>
    <n v="2"/>
    <d v="1899-12-30T00:00:14"/>
    <n v="7.2333333333333334"/>
    <n v="0.23333333333333334"/>
    <n v="14"/>
    <d v="1899-12-30T00:02:53"/>
    <n v="89.383333333333326"/>
    <n v="2.8833333333333333"/>
    <n v="173"/>
    <n v="26"/>
    <n v="0.84850000000000003"/>
    <n v="26.3035"/>
  </r>
  <r>
    <n v="909"/>
    <x v="908"/>
    <n v="346"/>
    <n v="318"/>
    <x v="1"/>
    <n v="28"/>
    <d v="1899-12-30T00:00:12"/>
    <n v="63.6"/>
    <n v="0.2"/>
    <n v="12"/>
    <d v="1899-12-30T00:02:36"/>
    <n v="826.80000000000007"/>
    <n v="2.6"/>
    <n v="156"/>
    <n v="262"/>
    <n v="0.82489999999999997"/>
    <n v="262.31819999999999"/>
  </r>
  <r>
    <n v="910"/>
    <x v="909"/>
    <n v="325"/>
    <n v="285"/>
    <x v="20"/>
    <n v="40"/>
    <d v="1899-12-30T00:00:32"/>
    <n v="152"/>
    <n v="0.53333333333333333"/>
    <n v="32"/>
    <d v="1899-12-30T00:02:45"/>
    <n v="783.75"/>
    <n v="2.75"/>
    <n v="165"/>
    <n v="173"/>
    <n v="0.60819999999999996"/>
    <n v="173.33699999999999"/>
  </r>
  <r>
    <n v="911"/>
    <x v="910"/>
    <n v="627"/>
    <n v="504"/>
    <x v="34"/>
    <n v="123"/>
    <d v="1899-12-30T00:00:37"/>
    <n v="310.8"/>
    <n v="0.6166666666666667"/>
    <n v="37"/>
    <d v="1899-12-30T00:03:20"/>
    <n v="1680"/>
    <n v="3.3333333333333335"/>
    <n v="200"/>
    <n v="286"/>
    <n v="0.56930000000000003"/>
    <n v="286.92720000000003"/>
  </r>
  <r>
    <n v="912"/>
    <x v="911"/>
    <n v="905"/>
    <n v="631"/>
    <x v="47"/>
    <n v="274"/>
    <d v="1899-12-30T00:01:23"/>
    <n v="872.88333333333333"/>
    <n v="1.3833333333333333"/>
    <n v="83"/>
    <d v="1899-12-30T00:03:42"/>
    <n v="2334.7000000000003"/>
    <n v="3.7"/>
    <n v="222"/>
    <n v="162"/>
    <n v="0.25679999999999997"/>
    <n v="162.04079999999999"/>
  </r>
  <r>
    <n v="913"/>
    <x v="912"/>
    <n v="1141"/>
    <n v="610"/>
    <x v="48"/>
    <n v="531"/>
    <d v="1899-12-30T00:01:46"/>
    <n v="1077.6666666666667"/>
    <n v="1.7666666666666666"/>
    <n v="106"/>
    <d v="1899-12-30T00:03:12"/>
    <n v="1952"/>
    <n v="3.2"/>
    <n v="192"/>
    <n v="88"/>
    <n v="0.14549999999999999"/>
    <n v="88.754999999999995"/>
  </r>
  <r>
    <n v="914"/>
    <x v="913"/>
    <n v="863"/>
    <n v="511"/>
    <x v="49"/>
    <n v="352"/>
    <d v="1899-12-30T00:02:07"/>
    <n v="1081.6166666666668"/>
    <n v="2.1166666666666667"/>
    <n v="127"/>
    <d v="1899-12-30T00:03:03"/>
    <n v="1558.55"/>
    <n v="3.05"/>
    <n v="183"/>
    <n v="61"/>
    <n v="0.12130000000000001"/>
    <n v="61.984300000000005"/>
  </r>
  <r>
    <n v="915"/>
    <x v="914"/>
    <n v="63"/>
    <n v="56"/>
    <x v="8"/>
    <n v="7"/>
    <d v="1899-12-30T00:00:16"/>
    <n v="14.933333333333334"/>
    <n v="0.26666666666666666"/>
    <n v="16"/>
    <d v="1899-12-30T00:02:31"/>
    <n v="140.93333333333334"/>
    <n v="2.5166666666666666"/>
    <n v="151"/>
    <n v="39"/>
    <n v="0.7097"/>
    <n v="39.743200000000002"/>
  </r>
  <r>
    <n v="916"/>
    <x v="915"/>
    <n v="573"/>
    <n v="487"/>
    <x v="16"/>
    <n v="86"/>
    <d v="1899-12-30T00:00:56"/>
    <n v="454.53333333333336"/>
    <n v="0.93333333333333335"/>
    <n v="56"/>
    <d v="1899-12-30T00:02:45"/>
    <n v="1339.25"/>
    <n v="2.75"/>
    <n v="165"/>
    <n v="170"/>
    <n v="0.34989999999999999"/>
    <n v="170.40129999999999"/>
  </r>
  <r>
    <n v="917"/>
    <x v="916"/>
    <n v="391"/>
    <n v="323"/>
    <x v="21"/>
    <n v="68"/>
    <d v="1899-12-30T00:00:46"/>
    <n v="247.63333333333335"/>
    <n v="0.76666666666666672"/>
    <n v="46"/>
    <d v="1899-12-30T00:03:08"/>
    <n v="1012.0666666666666"/>
    <n v="3.1333333333333333"/>
    <n v="188"/>
    <n v="137"/>
    <n v="0.42709999999999998"/>
    <n v="137.95329999999998"/>
  </r>
  <r>
    <n v="918"/>
    <x v="917"/>
    <n v="526"/>
    <n v="355"/>
    <x v="45"/>
    <n v="171"/>
    <d v="1899-12-30T00:01:29"/>
    <n v="526.58333333333337"/>
    <n v="1.4833333333333334"/>
    <n v="89"/>
    <d v="1899-12-30T00:03:50"/>
    <n v="1360.8333333333335"/>
    <n v="3.8333333333333335"/>
    <n v="230"/>
    <n v="79"/>
    <n v="0.224"/>
    <n v="79.52"/>
  </r>
  <r>
    <n v="919"/>
    <x v="918"/>
    <n v="343"/>
    <n v="309"/>
    <x v="9"/>
    <n v="34"/>
    <d v="1899-12-30T00:00:39"/>
    <n v="200.85"/>
    <n v="0.65"/>
    <n v="39"/>
    <d v="1899-12-30T00:03:24"/>
    <n v="1050.5999999999999"/>
    <n v="3.4"/>
    <n v="204"/>
    <n v="150"/>
    <n v="0.48820000000000002"/>
    <n v="150.85380000000001"/>
  </r>
  <r>
    <n v="920"/>
    <x v="919"/>
    <n v="401"/>
    <n v="346"/>
    <x v="11"/>
    <n v="55"/>
    <d v="1899-12-30T00:00:41"/>
    <n v="236.43333333333334"/>
    <n v="0.68333333333333335"/>
    <n v="41"/>
    <d v="1899-12-30T00:03:13"/>
    <n v="1112.9666666666667"/>
    <n v="3.2166666666666668"/>
    <n v="193"/>
    <n v="153"/>
    <n v="0.44269999999999998"/>
    <n v="153.17419999999998"/>
  </r>
  <r>
    <n v="921"/>
    <x v="920"/>
    <n v="281"/>
    <n v="239"/>
    <x v="18"/>
    <n v="42"/>
    <d v="1899-12-30T00:00:41"/>
    <n v="163.31666666666666"/>
    <n v="0.68333333333333335"/>
    <n v="41"/>
    <d v="1899-12-30T00:03:07"/>
    <n v="744.88333333333333"/>
    <n v="3.1166666666666667"/>
    <n v="187"/>
    <n v="101"/>
    <n v="0.42549999999999999"/>
    <n v="101.69449999999999"/>
  </r>
  <r>
    <n v="922"/>
    <x v="921"/>
    <n v="46"/>
    <n v="39"/>
    <x v="16"/>
    <n v="7"/>
    <d v="1899-12-30T00:00:11"/>
    <n v="7.1499999999999995"/>
    <n v="0.18333333333333332"/>
    <n v="11"/>
    <d v="1899-12-30T00:03:09"/>
    <n v="122.85"/>
    <n v="3.15"/>
    <n v="189"/>
    <n v="31"/>
    <n v="0.80430000000000001"/>
    <n v="31.367699999999999"/>
  </r>
  <r>
    <n v="923"/>
    <x v="922"/>
    <n v="357"/>
    <n v="323"/>
    <x v="9"/>
    <n v="34"/>
    <d v="1899-12-30T00:00:32"/>
    <n v="172.26666666666665"/>
    <n v="0.53333333333333333"/>
    <n v="32"/>
    <d v="1899-12-30T00:03:08"/>
    <n v="1012.0666666666666"/>
    <n v="3.1333333333333333"/>
    <n v="188"/>
    <n v="196"/>
    <n v="0.60909999999999997"/>
    <n v="196.73929999999999"/>
  </r>
  <r>
    <n v="924"/>
    <x v="923"/>
    <n v="280"/>
    <n v="255"/>
    <x v="1"/>
    <n v="25"/>
    <d v="1899-12-30T00:00:34"/>
    <n v="144.5"/>
    <n v="0.56666666666666665"/>
    <n v="34"/>
    <d v="1899-12-30T00:03:02"/>
    <n v="773.5"/>
    <n v="3.0333333333333332"/>
    <n v="182"/>
    <n v="134"/>
    <n v="0.52900000000000003"/>
    <n v="134.89500000000001"/>
  </r>
  <r>
    <n v="925"/>
    <x v="924"/>
    <n v="258"/>
    <n v="247"/>
    <x v="10"/>
    <n v="11"/>
    <d v="1899-12-30T00:00:25"/>
    <n v="102.91666666666667"/>
    <n v="0.41666666666666669"/>
    <n v="25"/>
    <d v="1899-12-30T00:02:57"/>
    <n v="728.65000000000009"/>
    <n v="2.95"/>
    <n v="177"/>
    <n v="173"/>
    <n v="0.70199999999999996"/>
    <n v="173.39399999999998"/>
  </r>
  <r>
    <n v="926"/>
    <x v="925"/>
    <n v="282"/>
    <n v="255"/>
    <x v="9"/>
    <n v="27"/>
    <d v="1899-12-30T00:00:18"/>
    <n v="76.5"/>
    <n v="0.3"/>
    <n v="18"/>
    <d v="1899-12-30T00:02:47"/>
    <n v="709.75"/>
    <n v="2.7833333333333332"/>
    <n v="167"/>
    <n v="190"/>
    <n v="0.74729999999999996"/>
    <n v="190.5615"/>
  </r>
  <r>
    <n v="927"/>
    <x v="926"/>
    <n v="253"/>
    <n v="240"/>
    <x v="0"/>
    <n v="13"/>
    <d v="1899-12-30T00:00:18"/>
    <n v="72"/>
    <n v="0.3"/>
    <n v="18"/>
    <d v="1899-12-30T00:02:41"/>
    <n v="644"/>
    <n v="2.6833333333333336"/>
    <n v="161"/>
    <n v="180"/>
    <n v="0.752"/>
    <n v="180.48"/>
  </r>
  <r>
    <n v="928"/>
    <x v="927"/>
    <n v="266"/>
    <n v="232"/>
    <x v="20"/>
    <n v="34"/>
    <d v="1899-12-30T00:00:37"/>
    <n v="143.06666666666666"/>
    <n v="0.6166666666666667"/>
    <n v="37"/>
    <d v="1899-12-30T00:02:49"/>
    <n v="653.46666666666658"/>
    <n v="2.8166666666666664"/>
    <n v="169"/>
    <n v="133"/>
    <n v="0.57589999999999997"/>
    <n v="133.6088"/>
  </r>
  <r>
    <n v="929"/>
    <x v="928"/>
    <n v="30"/>
    <n v="29"/>
    <x v="4"/>
    <n v="1"/>
    <d v="1899-12-30T00:00:10"/>
    <n v="4.833333333333333"/>
    <n v="0.16666666666666666"/>
    <n v="10"/>
    <d v="1899-12-30T00:03:21"/>
    <n v="97.15"/>
    <n v="3.35"/>
    <n v="201"/>
    <n v="26"/>
    <n v="0.9"/>
    <n v="26.1"/>
  </r>
  <r>
    <n v="930"/>
    <x v="929"/>
    <n v="258"/>
    <n v="230"/>
    <x v="13"/>
    <n v="28"/>
    <d v="1899-12-30T00:00:33"/>
    <n v="126.50000000000001"/>
    <n v="0.55000000000000004"/>
    <n v="33"/>
    <d v="1899-12-30T00:03:01"/>
    <n v="693.83333333333337"/>
    <n v="3.0166666666666666"/>
    <n v="181"/>
    <n v="123"/>
    <n v="0.53539999999999999"/>
    <n v="123.142"/>
  </r>
  <r>
    <n v="931"/>
    <x v="930"/>
    <n v="293"/>
    <n v="282"/>
    <x v="4"/>
    <n v="11"/>
    <d v="1899-12-30T00:00:23"/>
    <n v="108.10000000000001"/>
    <n v="0.38333333333333336"/>
    <n v="23"/>
    <d v="1899-12-30T00:02:39"/>
    <n v="747.3"/>
    <n v="2.65"/>
    <n v="159"/>
    <n v="198"/>
    <n v="0.70240000000000002"/>
    <n v="198.07680000000002"/>
  </r>
  <r>
    <n v="932"/>
    <x v="931"/>
    <n v="377"/>
    <n v="341"/>
    <x v="9"/>
    <n v="36"/>
    <d v="1899-12-30T00:00:20"/>
    <n v="113.66666666666666"/>
    <n v="0.33333333333333331"/>
    <n v="20"/>
    <d v="1899-12-30T00:02:21"/>
    <n v="801.35"/>
    <n v="2.35"/>
    <n v="141"/>
    <n v="232"/>
    <n v="0.68279999999999996"/>
    <n v="232.8348"/>
  </r>
  <r>
    <n v="933"/>
    <x v="932"/>
    <n v="196"/>
    <n v="182"/>
    <x v="6"/>
    <n v="14"/>
    <d v="1899-12-30T00:00:28"/>
    <n v="84.933333333333337"/>
    <n v="0.46666666666666667"/>
    <n v="28"/>
    <d v="1899-12-30T00:02:37"/>
    <n v="476.23333333333335"/>
    <n v="2.6166666666666667"/>
    <n v="157"/>
    <n v="112"/>
    <n v="0.61860000000000004"/>
    <n v="112.5852"/>
  </r>
  <r>
    <n v="934"/>
    <x v="933"/>
    <n v="192"/>
    <n v="173"/>
    <x v="9"/>
    <n v="19"/>
    <d v="1899-12-30T00:00:33"/>
    <n v="95.15"/>
    <n v="0.55000000000000004"/>
    <n v="33"/>
    <d v="1899-12-30T00:02:44"/>
    <n v="472.86666666666667"/>
    <n v="2.7333333333333334"/>
    <n v="164"/>
    <n v="106"/>
    <n v="0.61780000000000002"/>
    <n v="106.8794"/>
  </r>
  <r>
    <n v="935"/>
    <x v="934"/>
    <n v="185"/>
    <n v="178"/>
    <x v="4"/>
    <n v="7"/>
    <d v="1899-12-30T00:00:17"/>
    <n v="50.43333333333333"/>
    <n v="0.28333333333333333"/>
    <n v="17"/>
    <d v="1899-12-30T00:02:46"/>
    <n v="492.46666666666664"/>
    <n v="2.7666666666666666"/>
    <n v="166"/>
    <n v="138"/>
    <n v="0.7772"/>
    <n v="138.3416"/>
  </r>
  <r>
    <n v="936"/>
    <x v="935"/>
    <n v="27"/>
    <n v="25"/>
    <x v="6"/>
    <n v="2"/>
    <d v="1899-12-30T00:00:18"/>
    <n v="7.5"/>
    <n v="0.3"/>
    <n v="18"/>
    <d v="1899-12-30T00:02:09"/>
    <n v="53.75"/>
    <n v="2.15"/>
    <n v="129"/>
    <n v="18"/>
    <n v="0.74070000000000003"/>
    <n v="18.517500000000002"/>
  </r>
  <r>
    <n v="937"/>
    <x v="936"/>
    <n v="222"/>
    <n v="214"/>
    <x v="4"/>
    <n v="8"/>
    <d v="1899-12-30T00:00:18"/>
    <n v="64.2"/>
    <n v="0.3"/>
    <n v="18"/>
    <d v="1899-12-30T00:02:57"/>
    <n v="631.30000000000007"/>
    <n v="2.95"/>
    <n v="177"/>
    <n v="159"/>
    <n v="0.74660000000000004"/>
    <n v="159.7724"/>
  </r>
  <r>
    <n v="938"/>
    <x v="937"/>
    <n v="217"/>
    <n v="198"/>
    <x v="1"/>
    <n v="19"/>
    <d v="1899-12-30T00:00:09"/>
    <n v="29.7"/>
    <n v="0.15"/>
    <n v="9"/>
    <d v="1899-12-30T00:02:43"/>
    <n v="537.9"/>
    <n v="2.7166666666666668"/>
    <n v="163"/>
    <n v="175"/>
    <n v="0.88829999999999998"/>
    <n v="175.88339999999999"/>
  </r>
  <r>
    <n v="939"/>
    <x v="938"/>
    <n v="204"/>
    <n v="197"/>
    <x v="4"/>
    <n v="7"/>
    <d v="1899-12-30T00:00:17"/>
    <n v="55.816666666666663"/>
    <n v="0.28333333333333333"/>
    <n v="17"/>
    <d v="1899-12-30T00:02:40"/>
    <n v="525.33333333333326"/>
    <n v="2.6666666666666665"/>
    <n v="160"/>
    <n v="157"/>
    <n v="0.79700000000000004"/>
    <n v="157.00900000000001"/>
  </r>
  <r>
    <n v="940"/>
    <x v="939"/>
    <n v="191"/>
    <n v="181"/>
    <x v="0"/>
    <n v="10"/>
    <d v="1899-12-30T00:00:12"/>
    <n v="36.200000000000003"/>
    <n v="0.2"/>
    <n v="12"/>
    <d v="1899-12-30T00:02:46"/>
    <n v="500.76666666666665"/>
    <n v="2.7666666666666666"/>
    <n v="166"/>
    <n v="157"/>
    <n v="0.87229999999999996"/>
    <n v="157.88630000000001"/>
  </r>
  <r>
    <n v="941"/>
    <x v="940"/>
    <n v="176"/>
    <n v="157"/>
    <x v="13"/>
    <n v="19"/>
    <d v="1899-12-30T00:00:17"/>
    <n v="44.483333333333334"/>
    <n v="0.28333333333333333"/>
    <n v="17"/>
    <d v="1899-12-30T00:02:51"/>
    <n v="447.45"/>
    <n v="2.85"/>
    <n v="171"/>
    <n v="115"/>
    <n v="0.73529999999999995"/>
    <n v="115.4421"/>
  </r>
  <r>
    <n v="942"/>
    <x v="941"/>
    <n v="176"/>
    <n v="163"/>
    <x v="6"/>
    <n v="13"/>
    <d v="1899-12-30T00:00:24"/>
    <n v="65.2"/>
    <n v="0.4"/>
    <n v="24"/>
    <d v="1899-12-30T00:03:11"/>
    <n v="518.88333333333333"/>
    <n v="3.1833333333333331"/>
    <n v="191"/>
    <n v="104"/>
    <n v="0.64159999999999995"/>
    <n v="104.5808"/>
  </r>
  <r>
    <n v="943"/>
    <x v="942"/>
    <n v="26"/>
    <n v="26"/>
    <x v="3"/>
    <n v="0"/>
    <d v="1899-12-30T00:00:24"/>
    <n v="10.4"/>
    <n v="0.4"/>
    <n v="24"/>
    <d v="1899-12-30T00:03:03"/>
    <n v="79.3"/>
    <n v="3.05"/>
    <n v="183"/>
    <n v="17"/>
    <n v="0.69230000000000003"/>
    <n v="17.9998"/>
  </r>
  <r>
    <n v="944"/>
    <x v="943"/>
    <n v="170"/>
    <n v="167"/>
    <x v="5"/>
    <n v="3"/>
    <d v="1899-12-30T00:00:16"/>
    <n v="44.533333333333331"/>
    <n v="0.26666666666666666"/>
    <n v="16"/>
    <d v="1899-12-30T00:02:47"/>
    <n v="464.81666666666666"/>
    <n v="2.7833333333333332"/>
    <n v="167"/>
    <n v="132"/>
    <n v="0.79410000000000003"/>
    <n v="132.6147"/>
  </r>
  <r>
    <n v="945"/>
    <x v="944"/>
    <n v="154"/>
    <n v="147"/>
    <x v="10"/>
    <n v="7"/>
    <d v="1899-12-30T00:00:21"/>
    <n v="51.449999999999996"/>
    <n v="0.35"/>
    <n v="21"/>
    <d v="1899-12-30T00:03:02"/>
    <n v="445.9"/>
    <n v="3.0333333333333332"/>
    <n v="182"/>
    <n v="110"/>
    <n v="0.75160000000000005"/>
    <n v="110.48520000000001"/>
  </r>
  <r>
    <n v="946"/>
    <x v="945"/>
    <n v="165"/>
    <n v="152"/>
    <x v="6"/>
    <n v="13"/>
    <d v="1899-12-30T00:00:17"/>
    <n v="43.066666666666663"/>
    <n v="0.28333333333333333"/>
    <n v="17"/>
    <d v="1899-12-30T00:02:58"/>
    <n v="450.93333333333334"/>
    <n v="2.9666666666666668"/>
    <n v="178"/>
    <n v="122"/>
    <n v="0.8075"/>
    <n v="122.74"/>
  </r>
  <r>
    <n v="947"/>
    <x v="946"/>
    <n v="153"/>
    <n v="143"/>
    <x v="2"/>
    <n v="10"/>
    <d v="1899-12-30T00:00:19"/>
    <n v="45.283333333333331"/>
    <n v="0.31666666666666665"/>
    <n v="19"/>
    <d v="1899-12-30T00:03:05"/>
    <n v="440.91666666666669"/>
    <n v="3.0833333333333335"/>
    <n v="185"/>
    <n v="111"/>
    <n v="0.77629999999999999"/>
    <n v="111.01089999999999"/>
  </r>
  <r>
    <n v="948"/>
    <x v="947"/>
    <n v="175"/>
    <n v="169"/>
    <x v="4"/>
    <n v="6"/>
    <d v="1899-12-30T00:00:11"/>
    <n v="30.983333333333331"/>
    <n v="0.18333333333333332"/>
    <n v="11"/>
    <d v="1899-12-30T00:02:17"/>
    <n v="385.88333333333333"/>
    <n v="2.2833333333333332"/>
    <n v="137"/>
    <n v="144"/>
    <n v="0.85629999999999995"/>
    <n v="144.71469999999999"/>
  </r>
  <r>
    <n v="949"/>
    <x v="948"/>
    <n v="241"/>
    <n v="214"/>
    <x v="8"/>
    <n v="27"/>
    <d v="1899-12-30T00:00:29"/>
    <n v="103.43333333333334"/>
    <n v="0.48333333333333334"/>
    <n v="29"/>
    <d v="1899-12-30T00:03:00"/>
    <n v="642"/>
    <n v="3"/>
    <n v="180"/>
    <n v="141"/>
    <n v="0.6623"/>
    <n v="141.73220000000001"/>
  </r>
  <r>
    <n v="950"/>
    <x v="949"/>
    <n v="14"/>
    <n v="14"/>
    <x v="3"/>
    <n v="0"/>
    <d v="1899-12-30T00:00:16"/>
    <n v="3.7333333333333334"/>
    <n v="0.26666666666666666"/>
    <n v="16"/>
    <d v="1899-12-30T00:02:46"/>
    <n v="38.733333333333334"/>
    <n v="2.7666666666666666"/>
    <n v="166"/>
    <n v="11"/>
    <n v="0.85709999999999997"/>
    <n v="11.9994"/>
  </r>
  <r>
    <n v="951"/>
    <x v="950"/>
    <n v="57"/>
    <n v="55"/>
    <x v="4"/>
    <n v="2"/>
    <d v="1899-12-30T00:00:12"/>
    <n v="11"/>
    <n v="0.2"/>
    <n v="12"/>
    <d v="1899-12-30T00:02:35"/>
    <n v="142.08333333333334"/>
    <n v="2.5833333333333335"/>
    <n v="155"/>
    <n v="47"/>
    <n v="0.85960000000000003"/>
    <n v="47.277999999999999"/>
  </r>
  <r>
    <n v="952"/>
    <x v="951"/>
    <n v="954"/>
    <n v="644"/>
    <x v="45"/>
    <n v="310"/>
    <d v="1899-12-30T00:01:14"/>
    <n v="794.26666666666665"/>
    <n v="1.2333333333333334"/>
    <n v="74"/>
    <d v="1899-12-30T00:02:05"/>
    <n v="1341.6666666666667"/>
    <n v="2.0833333333333335"/>
    <n v="125.00000000000001"/>
    <n v="169"/>
    <n v="0.26329999999999998"/>
    <n v="169.56519999999998"/>
  </r>
  <r>
    <n v="953"/>
    <x v="952"/>
    <n v="374"/>
    <n v="344"/>
    <x v="1"/>
    <n v="30"/>
    <d v="1899-12-30T00:00:28"/>
    <n v="160.53333333333333"/>
    <n v="0.46666666666666667"/>
    <n v="28"/>
    <d v="1899-12-30T00:03:03"/>
    <n v="1049.2"/>
    <n v="3.05"/>
    <n v="183"/>
    <n v="212"/>
    <n v="0.61850000000000005"/>
    <n v="212.76400000000001"/>
  </r>
  <r>
    <n v="954"/>
    <x v="953"/>
    <n v="265"/>
    <n v="245"/>
    <x v="6"/>
    <n v="20"/>
    <d v="1899-12-30T00:00:31"/>
    <n v="126.58333333333334"/>
    <n v="0.51666666666666672"/>
    <n v="31.000000000000004"/>
    <d v="1899-12-30T00:03:05"/>
    <n v="755.41666666666674"/>
    <n v="3.0833333333333335"/>
    <n v="185"/>
    <n v="138"/>
    <n v="0.56699999999999995"/>
    <n v="138.91499999999999"/>
  </r>
  <r>
    <n v="955"/>
    <x v="954"/>
    <n v="222"/>
    <n v="205"/>
    <x v="6"/>
    <n v="17"/>
    <d v="1899-12-30T00:00:20"/>
    <n v="68.333333333333329"/>
    <n v="0.33333333333333331"/>
    <n v="20"/>
    <d v="1899-12-30T00:03:12"/>
    <n v="656"/>
    <n v="3.2"/>
    <n v="192"/>
    <n v="149"/>
    <n v="0.72689999999999999"/>
    <n v="149.0145"/>
  </r>
  <r>
    <n v="956"/>
    <x v="955"/>
    <n v="203"/>
    <n v="192"/>
    <x v="0"/>
    <n v="11"/>
    <d v="1899-12-30T00:00:27"/>
    <n v="86.4"/>
    <n v="0.45"/>
    <n v="27"/>
    <d v="1899-12-30T00:03:04"/>
    <n v="588.80000000000007"/>
    <n v="3.0666666666666669"/>
    <n v="184"/>
    <n v="131"/>
    <n v="0.68659999999999999"/>
    <n v="131.8272"/>
  </r>
  <r>
    <n v="957"/>
    <x v="956"/>
    <n v="33"/>
    <n v="31"/>
    <x v="2"/>
    <n v="2"/>
    <d v="1899-12-30T00:00:29"/>
    <n v="14.983333333333334"/>
    <n v="0.48333333333333334"/>
    <n v="29"/>
    <d v="1899-12-30T00:02:15"/>
    <n v="69.75"/>
    <n v="2.25"/>
    <n v="135"/>
    <n v="24"/>
    <n v="0.78129999999999999"/>
    <n v="24.220299999999998"/>
  </r>
  <r>
    <n v="958"/>
    <x v="957"/>
    <n v="220"/>
    <n v="195"/>
    <x v="8"/>
    <n v="25"/>
    <d v="1899-12-30T00:00:28"/>
    <n v="91"/>
    <n v="0.46666666666666667"/>
    <n v="28"/>
    <d v="1899-12-30T00:02:45"/>
    <n v="536.25"/>
    <n v="2.75"/>
    <n v="165"/>
    <n v="116"/>
    <n v="0.59619999999999995"/>
    <n v="116.25899999999999"/>
  </r>
  <r>
    <n v="959"/>
    <x v="958"/>
    <n v="185"/>
    <n v="177"/>
    <x v="10"/>
    <n v="8"/>
    <d v="1899-12-30T00:00:16"/>
    <n v="47.2"/>
    <n v="0.26666666666666666"/>
    <n v="16"/>
    <d v="1899-12-30T00:02:33"/>
    <n v="451.34999999999997"/>
    <n v="2.5499999999999998"/>
    <n v="153"/>
    <n v="141"/>
    <n v="0.80110000000000003"/>
    <n v="141.79470000000001"/>
  </r>
  <r>
    <n v="960"/>
    <x v="959"/>
    <n v="203"/>
    <n v="172"/>
    <x v="16"/>
    <n v="31"/>
    <d v="1899-12-30T00:00:34"/>
    <n v="97.466666666666669"/>
    <n v="0.56666666666666665"/>
    <n v="34"/>
    <d v="1899-12-30T00:02:53"/>
    <n v="495.93333333333334"/>
    <n v="2.8833333333333333"/>
    <n v="173"/>
    <n v="90"/>
    <n v="0.52790000000000004"/>
    <n v="90.7988"/>
  </r>
  <r>
    <n v="961"/>
    <x v="960"/>
    <n v="218"/>
    <n v="193"/>
    <x v="8"/>
    <n v="25"/>
    <d v="1899-12-30T00:00:34"/>
    <n v="109.36666666666666"/>
    <n v="0.56666666666666665"/>
    <n v="34"/>
    <d v="1899-12-30T00:02:58"/>
    <n v="572.56666666666672"/>
    <n v="2.9666666666666668"/>
    <n v="178"/>
    <n v="119"/>
    <n v="0.61970000000000003"/>
    <n v="119.60210000000001"/>
  </r>
  <r>
    <n v="962"/>
    <x v="961"/>
    <n v="204"/>
    <n v="194"/>
    <x v="10"/>
    <n v="10"/>
    <d v="1899-12-30T00:00:16"/>
    <n v="51.733333333333334"/>
    <n v="0.26666666666666666"/>
    <n v="16"/>
    <d v="1899-12-30T00:02:52"/>
    <n v="556.13333333333333"/>
    <n v="2.8666666666666667"/>
    <n v="172"/>
    <n v="157"/>
    <n v="0.81310000000000004"/>
    <n v="157.7414"/>
  </r>
  <r>
    <n v="963"/>
    <x v="962"/>
    <n v="242"/>
    <n v="211"/>
    <x v="20"/>
    <n v="31"/>
    <d v="1899-12-30T00:00:44"/>
    <n v="154.73333333333332"/>
    <n v="0.73333333333333328"/>
    <n v="44"/>
    <d v="1899-12-30T00:02:57"/>
    <n v="622.45000000000005"/>
    <n v="2.95"/>
    <n v="177"/>
    <n v="100"/>
    <n v="0.47699999999999998"/>
    <n v="100.64699999999999"/>
  </r>
  <r>
    <n v="964"/>
    <x v="963"/>
    <n v="29"/>
    <n v="29"/>
    <x v="3"/>
    <n v="0"/>
    <d v="1899-12-30T00:00:08"/>
    <n v="3.8666666666666667"/>
    <n v="0.13333333333333333"/>
    <n v="8"/>
    <d v="1899-12-30T00:02:40"/>
    <n v="77.333333333333329"/>
    <n v="2.6666666666666665"/>
    <n v="160"/>
    <n v="26"/>
    <n v="0.89659999999999995"/>
    <n v="26.0014"/>
  </r>
  <r>
    <n v="965"/>
    <x v="964"/>
    <n v="171"/>
    <n v="163"/>
    <x v="10"/>
    <n v="8"/>
    <d v="1899-12-30T00:00:24"/>
    <n v="65.2"/>
    <n v="0.4"/>
    <n v="24"/>
    <d v="1899-12-30T00:02:58"/>
    <n v="483.56666666666666"/>
    <n v="2.9666666666666668"/>
    <n v="178"/>
    <n v="112"/>
    <n v="0.69230000000000003"/>
    <n v="112.84490000000001"/>
  </r>
  <r>
    <n v="966"/>
    <x v="965"/>
    <n v="190"/>
    <n v="166"/>
    <x v="20"/>
    <n v="24"/>
    <d v="1899-12-30T00:00:46"/>
    <n v="127.26666666666668"/>
    <n v="0.76666666666666672"/>
    <n v="46"/>
    <d v="1899-12-30T00:02:59"/>
    <n v="495.23333333333335"/>
    <n v="2.9833333333333334"/>
    <n v="179"/>
    <n v="70"/>
    <n v="0.42249999999999999"/>
    <n v="70.134999999999991"/>
  </r>
  <r>
    <n v="967"/>
    <x v="966"/>
    <n v="221"/>
    <n v="196"/>
    <x v="8"/>
    <n v="25"/>
    <d v="1899-12-30T00:00:33"/>
    <n v="107.80000000000001"/>
    <n v="0.55000000000000004"/>
    <n v="33"/>
    <d v="1899-12-30T00:02:57"/>
    <n v="578.20000000000005"/>
    <n v="2.95"/>
    <n v="177"/>
    <n v="105"/>
    <n v="0.53669999999999995"/>
    <n v="105.19319999999999"/>
  </r>
  <r>
    <n v="968"/>
    <x v="967"/>
    <n v="297"/>
    <n v="241"/>
    <x v="14"/>
    <n v="56"/>
    <d v="1899-12-30T00:00:49"/>
    <n v="196.81666666666666"/>
    <n v="0.81666666666666665"/>
    <n v="49"/>
    <d v="1899-12-30T00:03:11"/>
    <n v="767.18333333333328"/>
    <n v="3.1833333333333331"/>
    <n v="191"/>
    <n v="108"/>
    <n v="0.44829999999999998"/>
    <n v="108.04029999999999"/>
  </r>
  <r>
    <n v="969"/>
    <x v="968"/>
    <n v="233"/>
    <n v="214"/>
    <x v="1"/>
    <n v="19"/>
    <d v="1899-12-30T00:00:26"/>
    <n v="92.733333333333334"/>
    <n v="0.43333333333333335"/>
    <n v="26"/>
    <d v="1899-12-30T00:02:49"/>
    <n v="602.76666666666665"/>
    <n v="2.8166666666666664"/>
    <n v="169"/>
    <n v="133"/>
    <n v="0.625"/>
    <n v="133.75"/>
  </r>
  <r>
    <n v="970"/>
    <x v="969"/>
    <n v="198"/>
    <n v="191"/>
    <x v="4"/>
    <n v="7"/>
    <d v="1899-12-30T00:00:14"/>
    <n v="44.56666666666667"/>
    <n v="0.23333333333333334"/>
    <n v="14"/>
    <d v="1899-12-30T00:03:01"/>
    <n v="576.18333333333328"/>
    <n v="3.0166666666666666"/>
    <n v="181"/>
    <n v="158"/>
    <n v="0.82740000000000002"/>
    <n v="158.0334"/>
  </r>
  <r>
    <n v="971"/>
    <x v="970"/>
    <n v="15"/>
    <n v="15"/>
    <x v="3"/>
    <n v="0"/>
    <d v="1899-12-30T00:00:04"/>
    <n v="1"/>
    <n v="6.6666666666666666E-2"/>
    <n v="4"/>
    <d v="1899-12-30T00:03:19"/>
    <n v="49.75"/>
    <n v="3.3166666666666664"/>
    <n v="199"/>
    <n v="15"/>
    <n v="1"/>
    <n v="15"/>
  </r>
  <r>
    <n v="972"/>
    <x v="971"/>
    <n v="27"/>
    <n v="25"/>
    <x v="6"/>
    <n v="2"/>
    <d v="1899-12-30T00:00:08"/>
    <n v="3.3333333333333335"/>
    <n v="0.13333333333333333"/>
    <n v="8"/>
    <d v="1899-12-30T00:02:34"/>
    <n v="64.166666666666657"/>
    <n v="2.5666666666666664"/>
    <n v="154"/>
    <n v="22"/>
    <n v="0.88890000000000002"/>
    <n v="22.2225"/>
  </r>
  <r>
    <n v="973"/>
    <x v="972"/>
    <n v="7"/>
    <n v="6"/>
    <x v="18"/>
    <n v="1"/>
    <d v="1899-12-30T00:00:03"/>
    <n v="0.30000000000000004"/>
    <n v="0.05"/>
    <n v="3"/>
    <d v="1899-12-30T00:04:48"/>
    <n v="28.799999999999997"/>
    <n v="4.8"/>
    <n v="288"/>
    <n v="5"/>
    <n v="0.85709999999999997"/>
    <n v="5.1425999999999998"/>
  </r>
  <r>
    <n v="974"/>
    <x v="973"/>
    <n v="169"/>
    <n v="144"/>
    <x v="18"/>
    <n v="25"/>
    <d v="1899-12-30T00:00:33"/>
    <n v="79.2"/>
    <n v="0.55000000000000004"/>
    <n v="33"/>
    <d v="1899-12-30T00:02:36"/>
    <n v="374.40000000000003"/>
    <n v="2.6"/>
    <n v="156"/>
    <n v="81"/>
    <n v="0.56359999999999999"/>
    <n v="81.1584"/>
  </r>
  <r>
    <n v="975"/>
    <x v="974"/>
    <n v="224"/>
    <n v="206"/>
    <x v="1"/>
    <n v="18"/>
    <d v="1899-12-30T00:00:20"/>
    <n v="68.666666666666657"/>
    <n v="0.33333333333333331"/>
    <n v="20"/>
    <d v="1899-12-30T00:02:35"/>
    <n v="532.16666666666674"/>
    <n v="2.5833333333333335"/>
    <n v="155"/>
    <n v="145"/>
    <n v="0.70720000000000005"/>
    <n v="145.6832"/>
  </r>
  <r>
    <n v="976"/>
    <x v="975"/>
    <n v="170"/>
    <n v="160"/>
    <x v="0"/>
    <n v="10"/>
    <d v="1899-12-30T00:00:28"/>
    <n v="74.666666666666671"/>
    <n v="0.46666666666666667"/>
    <n v="28"/>
    <d v="1899-12-30T00:03:01"/>
    <n v="482.66666666666663"/>
    <n v="3.0166666666666666"/>
    <n v="181"/>
    <n v="99"/>
    <n v="0.62350000000000005"/>
    <n v="99.76"/>
  </r>
  <r>
    <n v="977"/>
    <x v="976"/>
    <n v="161"/>
    <n v="149"/>
    <x v="6"/>
    <n v="12"/>
    <d v="1899-12-30T00:00:24"/>
    <n v="59.6"/>
    <n v="0.4"/>
    <n v="24"/>
    <d v="1899-12-30T00:03:08"/>
    <n v="466.86666666666667"/>
    <n v="3.1333333333333333"/>
    <n v="188"/>
    <n v="101"/>
    <n v="0.68130000000000002"/>
    <n v="101.5137"/>
  </r>
  <r>
    <n v="978"/>
    <x v="977"/>
    <n v="37"/>
    <n v="35"/>
    <x v="0"/>
    <n v="2"/>
    <d v="1899-12-30T00:00:12"/>
    <n v="7"/>
    <n v="0.2"/>
    <n v="12"/>
    <d v="1899-12-30T00:02:48"/>
    <n v="98"/>
    <n v="2.8"/>
    <n v="168"/>
    <n v="28"/>
    <n v="0.80559999999999998"/>
    <n v="28.195999999999998"/>
  </r>
  <r>
    <n v="979"/>
    <x v="978"/>
    <n v="183"/>
    <n v="169"/>
    <x v="6"/>
    <n v="14"/>
    <d v="1899-12-30T00:00:32"/>
    <n v="90.133333333333326"/>
    <n v="0.53333333333333333"/>
    <n v="32"/>
    <d v="1899-12-30T00:02:58"/>
    <n v="501.36666666666667"/>
    <n v="2.9666666666666668"/>
    <n v="178"/>
    <n v="101"/>
    <n v="0.59889999999999999"/>
    <n v="101.2141"/>
  </r>
  <r>
    <n v="980"/>
    <x v="979"/>
    <n v="221"/>
    <n v="206"/>
    <x v="2"/>
    <n v="15"/>
    <d v="1899-12-30T00:00:30"/>
    <n v="103"/>
    <n v="0.5"/>
    <n v="30"/>
    <d v="1899-12-30T00:02:54"/>
    <n v="597.4"/>
    <n v="2.9"/>
    <n v="174"/>
    <n v="119"/>
    <n v="0.58179999999999998"/>
    <n v="119.85079999999999"/>
  </r>
  <r>
    <n v="981"/>
    <x v="980"/>
    <n v="202"/>
    <n v="193"/>
    <x v="10"/>
    <n v="9"/>
    <d v="1899-12-30T00:00:18"/>
    <n v="57.9"/>
    <n v="0.3"/>
    <n v="18"/>
    <d v="1899-12-30T00:02:53"/>
    <n v="556.48333333333335"/>
    <n v="2.8833333333333333"/>
    <n v="173"/>
    <n v="145"/>
    <n v="0.75380000000000003"/>
    <n v="145.48340000000002"/>
  </r>
  <r>
    <n v="982"/>
    <x v="981"/>
    <n v="193"/>
    <n v="163"/>
    <x v="16"/>
    <n v="30"/>
    <d v="1899-12-30T00:00:36"/>
    <n v="97.8"/>
    <n v="0.6"/>
    <n v="36"/>
    <d v="1899-12-30T00:03:12"/>
    <n v="521.6"/>
    <n v="3.2"/>
    <n v="192"/>
    <n v="87"/>
    <n v="0.53400000000000003"/>
    <n v="87.042000000000002"/>
  </r>
  <r>
    <n v="983"/>
    <x v="982"/>
    <n v="201"/>
    <n v="196"/>
    <x v="7"/>
    <n v="5"/>
    <d v="1899-12-30T00:00:10"/>
    <n v="32.666666666666664"/>
    <n v="0.16666666666666666"/>
    <n v="10"/>
    <d v="1899-12-30T00:02:43"/>
    <n v="532.4666666666667"/>
    <n v="2.7166666666666668"/>
    <n v="163"/>
    <n v="174"/>
    <n v="0.89"/>
    <n v="174.44"/>
  </r>
  <r>
    <n v="984"/>
    <x v="983"/>
    <n v="193"/>
    <n v="180"/>
    <x v="2"/>
    <n v="13"/>
    <d v="1899-12-30T00:00:21"/>
    <n v="62.999999999999993"/>
    <n v="0.35"/>
    <n v="21"/>
    <d v="1899-12-30T00:02:42"/>
    <n v="486.00000000000006"/>
    <n v="2.7"/>
    <n v="162"/>
    <n v="131"/>
    <n v="0.73160000000000003"/>
    <n v="131.68800000000002"/>
  </r>
  <r>
    <n v="985"/>
    <x v="984"/>
    <n v="27"/>
    <n v="25"/>
    <x v="6"/>
    <n v="2"/>
    <d v="1899-12-30T00:00:25"/>
    <n v="10.416666666666668"/>
    <n v="0.41666666666666669"/>
    <n v="25"/>
    <d v="1899-12-30T00:02:03"/>
    <n v="51.249999999999993"/>
    <n v="2.0499999999999998"/>
    <n v="122.99999999999999"/>
    <n v="16"/>
    <n v="0.66669999999999996"/>
    <n v="16.6675"/>
  </r>
  <r>
    <n v="986"/>
    <x v="985"/>
    <n v="227"/>
    <n v="206"/>
    <x v="9"/>
    <n v="21"/>
    <d v="1899-12-30T00:00:29"/>
    <n v="99.566666666666663"/>
    <n v="0.48333333333333334"/>
    <n v="29"/>
    <d v="1899-12-30T00:03:01"/>
    <n v="621.43333333333328"/>
    <n v="3.0166666666666666"/>
    <n v="181"/>
    <n v="137"/>
    <n v="0.66669999999999996"/>
    <n v="137.34019999999998"/>
  </r>
  <r>
    <n v="987"/>
    <x v="986"/>
    <n v="225"/>
    <n v="199"/>
    <x v="8"/>
    <n v="26"/>
    <d v="1899-12-30T00:00:35"/>
    <n v="116.08333333333334"/>
    <n v="0.58333333333333337"/>
    <n v="35"/>
    <d v="1899-12-30T00:02:58"/>
    <n v="590.36666666666667"/>
    <n v="2.9666666666666668"/>
    <n v="178"/>
    <n v="104"/>
    <n v="0.52680000000000005"/>
    <n v="104.83320000000001"/>
  </r>
  <r>
    <n v="988"/>
    <x v="987"/>
    <n v="204"/>
    <n v="193"/>
    <x v="0"/>
    <n v="11"/>
    <d v="1899-12-30T00:00:33"/>
    <n v="106.15"/>
    <n v="0.55000000000000004"/>
    <n v="33"/>
    <d v="1899-12-30T00:02:39"/>
    <n v="511.45"/>
    <n v="2.65"/>
    <n v="159"/>
    <n v="113"/>
    <n v="0.58819999999999995"/>
    <n v="113.52259999999998"/>
  </r>
  <r>
    <n v="989"/>
    <x v="988"/>
    <n v="221"/>
    <n v="194"/>
    <x v="20"/>
    <n v="27"/>
    <d v="1899-12-30T00:00:29"/>
    <n v="93.766666666666666"/>
    <n v="0.48333333333333334"/>
    <n v="29"/>
    <d v="1899-12-30T00:02:48"/>
    <n v="543.19999999999993"/>
    <n v="2.8"/>
    <n v="168"/>
    <n v="117"/>
    <n v="0.60729999999999995"/>
    <n v="117.81619999999999"/>
  </r>
  <r>
    <n v="990"/>
    <x v="989"/>
    <n v="172"/>
    <n v="154"/>
    <x v="13"/>
    <n v="18"/>
    <d v="1899-12-30T00:00:34"/>
    <n v="87.266666666666666"/>
    <n v="0.56666666666666665"/>
    <n v="34"/>
    <d v="1899-12-30T00:03:09"/>
    <n v="485.09999999999997"/>
    <n v="3.15"/>
    <n v="189"/>
    <n v="83"/>
    <n v="0.54169999999999996"/>
    <n v="83.42179999999999"/>
  </r>
  <r>
    <n v="991"/>
    <x v="990"/>
    <n v="161"/>
    <n v="150"/>
    <x v="2"/>
    <n v="11"/>
    <d v="1899-12-30T00:00:36"/>
    <n v="90"/>
    <n v="0.6"/>
    <n v="36"/>
    <d v="1899-12-30T00:02:51"/>
    <n v="427.5"/>
    <n v="2.85"/>
    <n v="171"/>
    <n v="79"/>
    <n v="0.52800000000000002"/>
    <n v="79.2"/>
  </r>
  <r>
    <n v="992"/>
    <x v="991"/>
    <n v="17"/>
    <n v="14"/>
    <x v="21"/>
    <n v="3"/>
    <d v="1899-12-30T00:00:47"/>
    <n v="10.966666666666667"/>
    <n v="0.78333333333333333"/>
    <n v="47"/>
    <d v="1899-12-30T00:03:08"/>
    <n v="43.866666666666667"/>
    <n v="3.1333333333333333"/>
    <n v="188"/>
    <n v="5"/>
    <n v="0.4118"/>
    <n v="5.7652000000000001"/>
  </r>
  <r>
    <n v="993"/>
    <x v="992"/>
    <n v="168"/>
    <n v="145"/>
    <x v="11"/>
    <n v="23"/>
    <d v="1899-12-30T00:00:38"/>
    <n v="91.833333333333329"/>
    <n v="0.6333333333333333"/>
    <n v="38"/>
    <d v="1899-12-30T00:02:57"/>
    <n v="427.75"/>
    <n v="2.95"/>
    <n v="177"/>
    <n v="73"/>
    <n v="0.50609999999999999"/>
    <n v="73.384500000000003"/>
  </r>
  <r>
    <n v="994"/>
    <x v="993"/>
    <n v="160"/>
    <n v="142"/>
    <x v="8"/>
    <n v="18"/>
    <d v="1899-12-30T00:00:33"/>
    <n v="78.100000000000009"/>
    <n v="0.55000000000000004"/>
    <n v="33"/>
    <d v="1899-12-30T00:02:44"/>
    <n v="388.13333333333333"/>
    <n v="2.7333333333333334"/>
    <n v="164"/>
    <n v="76"/>
    <n v="0.54139999999999999"/>
    <n v="76.878799999999998"/>
  </r>
  <r>
    <n v="995"/>
    <x v="994"/>
    <n v="185"/>
    <n v="159"/>
    <x v="18"/>
    <n v="26"/>
    <d v="1899-12-30T00:00:41"/>
    <n v="108.65"/>
    <n v="0.68333333333333335"/>
    <n v="41"/>
    <d v="1899-12-30T00:02:56"/>
    <n v="466.40000000000003"/>
    <n v="2.9333333333333336"/>
    <n v="176"/>
    <n v="67"/>
    <n v="0.42699999999999999"/>
    <n v="67.893000000000001"/>
  </r>
  <r>
    <n v="996"/>
    <x v="995"/>
    <n v="155"/>
    <n v="146"/>
    <x v="0"/>
    <n v="9"/>
    <d v="1899-12-30T00:00:28"/>
    <n v="68.13333333333334"/>
    <n v="0.46666666666666667"/>
    <n v="28"/>
    <d v="1899-12-30T00:02:49"/>
    <n v="411.23333333333329"/>
    <n v="2.8166666666666664"/>
    <n v="169"/>
    <n v="95"/>
    <n v="0.65159999999999996"/>
    <n v="95.133599999999987"/>
  </r>
  <r>
    <n v="997"/>
    <x v="996"/>
    <n v="188"/>
    <n v="172"/>
    <x v="1"/>
    <n v="16"/>
    <d v="1899-12-30T00:00:28"/>
    <n v="80.266666666666666"/>
    <n v="0.46666666666666667"/>
    <n v="28"/>
    <d v="1899-12-30T00:02:39"/>
    <n v="455.8"/>
    <n v="2.65"/>
    <n v="159"/>
    <n v="102"/>
    <n v="0.5978"/>
    <n v="102.8216"/>
  </r>
  <r>
    <n v="998"/>
    <x v="997"/>
    <n v="152"/>
    <n v="120"/>
    <x v="23"/>
    <n v="32"/>
    <d v="1899-12-30T00:00:29"/>
    <n v="58"/>
    <n v="0.48333333333333334"/>
    <n v="29"/>
    <d v="1899-12-30T00:02:54"/>
    <n v="348"/>
    <n v="2.9"/>
    <n v="174"/>
    <n v="63"/>
    <n v="0.53059999999999996"/>
    <n v="63.671999999999997"/>
  </r>
  <r>
    <n v="999"/>
    <x v="998"/>
    <n v="26"/>
    <n v="26"/>
    <x v="3"/>
    <n v="0"/>
    <d v="1899-12-30T00:00:17"/>
    <n v="7.3666666666666663"/>
    <n v="0.28333333333333333"/>
    <n v="17"/>
    <d v="1899-12-30T00:03:01"/>
    <n v="78.433333333333337"/>
    <n v="3.0166666666666666"/>
    <n v="181"/>
    <n v="21"/>
    <n v="0.80769999999999997"/>
    <n v="21.0002"/>
  </r>
  <r>
    <n v="1000"/>
    <x v="999"/>
    <n v="152"/>
    <n v="140"/>
    <x v="6"/>
    <n v="12"/>
    <d v="1899-12-30T00:00:21"/>
    <n v="49"/>
    <n v="0.35"/>
    <n v="21"/>
    <d v="1899-12-30T00:02:58"/>
    <n v="415.33333333333337"/>
    <n v="2.9666666666666668"/>
    <n v="178"/>
    <n v="98"/>
    <n v="0.70669999999999999"/>
    <n v="98.938000000000002"/>
  </r>
  <r>
    <n v="1001"/>
    <x v="1000"/>
    <n v="130"/>
    <n v="125"/>
    <x v="4"/>
    <n v="5"/>
    <d v="1899-12-30T00:00:08"/>
    <n v="16.666666666666668"/>
    <n v="0.13333333333333333"/>
    <n v="8"/>
    <d v="1899-12-30T00:02:39"/>
    <n v="331.25"/>
    <n v="2.65"/>
    <n v="159"/>
    <n v="115"/>
    <n v="0.92"/>
    <n v="115"/>
  </r>
  <r>
    <n v="1002"/>
    <x v="1001"/>
    <n v="191"/>
    <n v="187"/>
    <x v="7"/>
    <n v="4"/>
    <d v="1899-12-30T00:00:18"/>
    <n v="56.1"/>
    <n v="0.3"/>
    <n v="18"/>
    <d v="1899-12-30T00:02:33"/>
    <n v="476.84999999999997"/>
    <n v="2.5499999999999998"/>
    <n v="153"/>
    <n v="155"/>
    <n v="0.83069999999999999"/>
    <n v="155.3409"/>
  </r>
  <r>
    <n v="1003"/>
    <x v="1002"/>
    <n v="254"/>
    <n v="227"/>
    <x v="13"/>
    <n v="27"/>
    <d v="1899-12-30T00:00:33"/>
    <n v="124.85000000000001"/>
    <n v="0.55000000000000004"/>
    <n v="33"/>
    <d v="1899-12-30T00:02:57"/>
    <n v="669.65000000000009"/>
    <n v="2.95"/>
    <n v="177"/>
    <n v="128"/>
    <n v="0.56569999999999998"/>
    <n v="128.41389999999998"/>
  </r>
  <r>
    <n v="1004"/>
    <x v="1003"/>
    <n v="213"/>
    <n v="188"/>
    <x v="8"/>
    <n v="25"/>
    <d v="1899-12-30T00:00:30"/>
    <n v="94"/>
    <n v="0.5"/>
    <n v="30"/>
    <d v="1899-12-30T00:02:52"/>
    <n v="538.93333333333339"/>
    <n v="2.8666666666666667"/>
    <n v="172"/>
    <n v="103"/>
    <n v="0.54810000000000003"/>
    <n v="103.0428"/>
  </r>
  <r>
    <n v="1005"/>
    <x v="1004"/>
    <n v="176"/>
    <n v="151"/>
    <x v="18"/>
    <n v="25"/>
    <d v="1899-12-30T00:00:32"/>
    <n v="80.533333333333331"/>
    <n v="0.53333333333333333"/>
    <n v="32"/>
    <d v="1899-12-30T00:02:45"/>
    <n v="415.25"/>
    <n v="2.75"/>
    <n v="165"/>
    <n v="84"/>
    <n v="0.5575"/>
    <n v="84.182500000000005"/>
  </r>
  <r>
    <n v="1006"/>
    <x v="1005"/>
    <n v="61"/>
    <n v="59"/>
    <x v="4"/>
    <n v="2"/>
    <d v="1899-12-30T00:00:16"/>
    <n v="15.733333333333333"/>
    <n v="0.26666666666666666"/>
    <n v="16"/>
    <d v="1899-12-30T00:01:31"/>
    <n v="89.483333333333334"/>
    <n v="1.5166666666666666"/>
    <n v="91"/>
    <n v="47"/>
    <n v="0.80330000000000001"/>
    <n v="47.3947"/>
  </r>
  <r>
    <n v="1007"/>
    <x v="1006"/>
    <n v="166"/>
    <n v="154"/>
    <x v="6"/>
    <n v="12"/>
    <d v="1899-12-30T00:00:28"/>
    <n v="71.866666666666674"/>
    <n v="0.46666666666666667"/>
    <n v="28"/>
    <d v="1899-12-30T00:02:56"/>
    <n v="451.73333333333335"/>
    <n v="2.9333333333333336"/>
    <n v="176"/>
    <n v="95"/>
    <n v="0.61819999999999997"/>
    <n v="95.202799999999996"/>
  </r>
  <r>
    <n v="1008"/>
    <x v="1007"/>
    <n v="191"/>
    <n v="172"/>
    <x v="9"/>
    <n v="19"/>
    <d v="1899-12-30T00:00:21"/>
    <n v="60.199999999999996"/>
    <n v="0.35"/>
    <n v="21"/>
    <d v="1899-12-30T00:02:40"/>
    <n v="458.66666666666663"/>
    <n v="2.6666666666666665"/>
    <n v="160"/>
    <n v="126"/>
    <n v="0.73770000000000002"/>
    <n v="126.8844"/>
  </r>
  <r>
    <n v="1009"/>
    <x v="1008"/>
    <n v="171"/>
    <n v="157"/>
    <x v="1"/>
    <n v="14"/>
    <d v="1899-12-30T00:00:19"/>
    <n v="49.716666666666661"/>
    <n v="0.31666666666666665"/>
    <n v="19"/>
    <d v="1899-12-30T00:02:34"/>
    <n v="402.96666666666664"/>
    <n v="2.5666666666666664"/>
    <n v="154"/>
    <n v="114"/>
    <n v="0.72619999999999996"/>
    <n v="114.01339999999999"/>
  </r>
  <r>
    <n v="1010"/>
    <x v="1009"/>
    <n v="153"/>
    <n v="124"/>
    <x v="14"/>
    <n v="29"/>
    <d v="1899-12-30T00:00:50"/>
    <n v="103.33333333333334"/>
    <n v="0.83333333333333337"/>
    <n v="50"/>
    <d v="1899-12-30T00:03:04"/>
    <n v="380.26666666666671"/>
    <n v="3.0666666666666669"/>
    <n v="184"/>
    <n v="56"/>
    <n v="0.45329999999999998"/>
    <n v="56.209199999999996"/>
  </r>
  <r>
    <n v="1011"/>
    <x v="1010"/>
    <n v="183"/>
    <n v="158"/>
    <x v="11"/>
    <n v="25"/>
    <d v="1899-12-30T00:00:33"/>
    <n v="86.9"/>
    <n v="0.55000000000000004"/>
    <n v="33"/>
    <d v="1899-12-30T00:02:52"/>
    <n v="452.93333333333334"/>
    <n v="2.8666666666666667"/>
    <n v="172"/>
    <n v="82"/>
    <n v="0.51910000000000001"/>
    <n v="82.017799999999994"/>
  </r>
  <r>
    <n v="1012"/>
    <x v="1011"/>
    <n v="14"/>
    <n v="14"/>
    <x v="3"/>
    <n v="0"/>
    <d v="1899-12-30T00:00:15"/>
    <n v="3.5"/>
    <n v="0.25"/>
    <n v="15"/>
    <d v="1899-12-30T00:03:43"/>
    <n v="52.033333333333331"/>
    <n v="3.7166666666666668"/>
    <n v="223"/>
    <n v="11"/>
    <n v="0.85709999999999997"/>
    <n v="11.9994"/>
  </r>
  <r>
    <n v="1013"/>
    <x v="1012"/>
    <n v="18"/>
    <n v="18"/>
    <x v="3"/>
    <n v="0"/>
    <d v="1899-12-30T00:00:03"/>
    <n v="0.9"/>
    <n v="0.05"/>
    <n v="3"/>
    <d v="1899-12-30T00:02:56"/>
    <n v="52.800000000000004"/>
    <n v="2.9333333333333336"/>
    <n v="176"/>
    <n v="18"/>
    <n v="1"/>
    <n v="18"/>
  </r>
  <r>
    <n v="1014"/>
    <x v="1013"/>
    <n v="159"/>
    <n v="148"/>
    <x v="2"/>
    <n v="11"/>
    <d v="1899-12-30T00:00:22"/>
    <n v="54.266666666666666"/>
    <n v="0.36666666666666664"/>
    <n v="22"/>
    <d v="1899-12-30T00:02:36"/>
    <n v="384.8"/>
    <n v="2.6"/>
    <n v="156"/>
    <n v="102"/>
    <n v="0.69430000000000003"/>
    <n v="102.7564"/>
  </r>
  <r>
    <n v="1015"/>
    <x v="1014"/>
    <n v="143"/>
    <n v="134"/>
    <x v="2"/>
    <n v="9"/>
    <d v="1899-12-30T00:00:22"/>
    <n v="49.133333333333333"/>
    <n v="0.36666666666666664"/>
    <n v="22"/>
    <d v="1899-12-30T00:02:51"/>
    <n v="381.90000000000003"/>
    <n v="2.85"/>
    <n v="171"/>
    <n v="99"/>
    <n v="0.74099999999999999"/>
    <n v="99.293999999999997"/>
  </r>
  <r>
    <n v="1016"/>
    <x v="1015"/>
    <n v="195"/>
    <n v="175"/>
    <x v="13"/>
    <n v="20"/>
    <d v="1899-12-30T00:00:29"/>
    <n v="84.583333333333329"/>
    <n v="0.48333333333333334"/>
    <n v="29"/>
    <d v="1899-12-30T00:02:47"/>
    <n v="487.08333333333331"/>
    <n v="2.7833333333333332"/>
    <n v="167"/>
    <n v="107"/>
    <n v="0.61580000000000001"/>
    <n v="107.765"/>
  </r>
  <r>
    <n v="1017"/>
    <x v="1016"/>
    <n v="194"/>
    <n v="150"/>
    <x v="22"/>
    <n v="44"/>
    <d v="1899-12-30T00:00:37"/>
    <n v="92.5"/>
    <n v="0.6166666666666667"/>
    <n v="37"/>
    <d v="1899-12-30T00:02:47"/>
    <n v="417.5"/>
    <n v="2.7833333333333332"/>
    <n v="167"/>
    <n v="71"/>
    <n v="0.47339999999999999"/>
    <n v="71.010000000000005"/>
  </r>
  <r>
    <n v="1018"/>
    <x v="1017"/>
    <n v="390"/>
    <n v="362"/>
    <x v="6"/>
    <n v="28"/>
    <d v="1899-12-30T00:00:31"/>
    <n v="187.03333333333336"/>
    <n v="0.51666666666666672"/>
    <n v="31.000000000000004"/>
    <d v="1899-12-30T00:02:50"/>
    <n v="1025.6666666666667"/>
    <n v="2.8333333333333335"/>
    <n v="170"/>
    <n v="215"/>
    <n v="0.5948"/>
    <n v="215.3176"/>
  </r>
  <r>
    <n v="1019"/>
    <x v="1018"/>
    <n v="238"/>
    <n v="205"/>
    <x v="11"/>
    <n v="33"/>
    <d v="1899-12-30T00:00:29"/>
    <n v="99.083333333333329"/>
    <n v="0.48333333333333334"/>
    <n v="29"/>
    <d v="1899-12-30T00:02:18"/>
    <n v="471.49999999999994"/>
    <n v="2.2999999999999998"/>
    <n v="138"/>
    <n v="124"/>
    <n v="0.60870000000000002"/>
    <n v="124.7835"/>
  </r>
  <r>
    <n v="1020"/>
    <x v="1019"/>
    <n v="29"/>
    <n v="28"/>
    <x v="4"/>
    <n v="1"/>
    <d v="1899-12-30T00:00:09"/>
    <n v="4.2"/>
    <n v="0.15"/>
    <n v="9"/>
    <d v="1899-12-30T00:02:28"/>
    <n v="69.066666666666663"/>
    <n v="2.4666666666666668"/>
    <n v="148"/>
    <n v="25"/>
    <n v="0.89290000000000003"/>
    <n v="25.001200000000001"/>
  </r>
  <r>
    <n v="1021"/>
    <x v="1020"/>
    <n v="30"/>
    <n v="29"/>
    <x v="4"/>
    <n v="1"/>
    <d v="1899-12-30T00:00:19"/>
    <n v="9.1833333333333336"/>
    <n v="0.31666666666666665"/>
    <n v="19"/>
    <d v="1899-12-30T00:02:30"/>
    <n v="72.5"/>
    <n v="2.5"/>
    <n v="150"/>
    <n v="24"/>
    <n v="0.83330000000000004"/>
    <n v="24.165700000000001"/>
  </r>
  <r>
    <n v="1022"/>
    <x v="1021"/>
    <n v="287"/>
    <n v="273"/>
    <x v="10"/>
    <n v="14"/>
    <d v="1899-12-30T00:00:16"/>
    <n v="72.8"/>
    <n v="0.26666666666666666"/>
    <n v="16"/>
    <d v="1899-12-30T00:02:20"/>
    <n v="637"/>
    <n v="2.3333333333333335"/>
    <n v="140"/>
    <n v="215"/>
    <n v="0.79"/>
    <n v="215.67000000000002"/>
  </r>
  <r>
    <n v="1023"/>
    <x v="1022"/>
    <n v="474"/>
    <n v="380"/>
    <x v="34"/>
    <n v="94"/>
    <d v="1899-12-30T00:00:39"/>
    <n v="247"/>
    <n v="0.65"/>
    <n v="39"/>
    <d v="1899-12-30T00:02:08"/>
    <n v="810.66666666666663"/>
    <n v="2.1333333333333333"/>
    <n v="128"/>
    <n v="180"/>
    <n v="0.47420000000000001"/>
    <n v="180.196"/>
  </r>
  <r>
    <n v="1024"/>
    <x v="1023"/>
    <n v="277"/>
    <n v="230"/>
    <x v="19"/>
    <n v="47"/>
    <d v="1899-12-30T00:00:40"/>
    <n v="153.33333333333331"/>
    <n v="0.66666666666666663"/>
    <n v="40"/>
    <d v="1899-12-30T00:02:52"/>
    <n v="659.33333333333337"/>
    <n v="2.8666666666666667"/>
    <n v="172"/>
    <n v="106"/>
    <n v="0.46179999999999999"/>
    <n v="106.214"/>
  </r>
  <r>
    <n v="1025"/>
    <x v="1024"/>
    <n v="173"/>
    <n v="163"/>
    <x v="0"/>
    <n v="10"/>
    <d v="1899-12-30T00:00:17"/>
    <n v="46.18333333333333"/>
    <n v="0.28333333333333333"/>
    <n v="17"/>
    <d v="1899-12-30T00:02:46"/>
    <n v="450.96666666666664"/>
    <n v="2.7666666666666666"/>
    <n v="166"/>
    <n v="125"/>
    <n v="0.77190000000000003"/>
    <n v="125.81970000000001"/>
  </r>
  <r>
    <n v="1026"/>
    <x v="1025"/>
    <n v="167"/>
    <n v="152"/>
    <x v="1"/>
    <n v="15"/>
    <d v="1899-12-30T00:00:13"/>
    <n v="32.933333333333337"/>
    <n v="0.21666666666666667"/>
    <n v="13"/>
    <d v="1899-12-30T00:02:37"/>
    <n v="397.73333333333335"/>
    <n v="2.6166666666666667"/>
    <n v="157"/>
    <n v="127"/>
    <n v="0.84150000000000003"/>
    <n v="127.908"/>
  </r>
  <r>
    <n v="1027"/>
    <x v="1026"/>
    <n v="27"/>
    <n v="24"/>
    <x v="8"/>
    <n v="3"/>
    <d v="1899-12-30T00:00:20"/>
    <n v="8"/>
    <n v="0.33333333333333331"/>
    <n v="20"/>
    <d v="1899-12-30T00:02:05"/>
    <n v="50"/>
    <n v="2.0833333333333335"/>
    <n v="125.00000000000001"/>
    <n v="18"/>
    <n v="0.76919999999999999"/>
    <n v="18.460799999999999"/>
  </r>
  <r>
    <n v="1028"/>
    <x v="1027"/>
    <n v="173"/>
    <n v="153"/>
    <x v="8"/>
    <n v="20"/>
    <d v="1899-12-30T00:00:29"/>
    <n v="73.95"/>
    <n v="0.48333333333333334"/>
    <n v="29"/>
    <d v="1899-12-30T00:02:46"/>
    <n v="423.3"/>
    <n v="2.7666666666666666"/>
    <n v="166"/>
    <n v="88"/>
    <n v="0.57989999999999997"/>
    <n v="88.724699999999999"/>
  </r>
  <r>
    <n v="1029"/>
    <x v="1028"/>
    <n v="36"/>
    <n v="27"/>
    <x v="25"/>
    <n v="9"/>
    <d v="1899-12-30T00:00:36"/>
    <n v="16.2"/>
    <n v="0.6"/>
    <n v="36"/>
    <d v="1899-12-30T00:02:55"/>
    <n v="78.75"/>
    <n v="2.9166666666666665"/>
    <n v="175"/>
    <n v="11"/>
    <n v="0.41670000000000001"/>
    <n v="11.2509"/>
  </r>
  <r>
    <n v="1030"/>
    <x v="1029"/>
    <n v="186"/>
    <n v="171"/>
    <x v="1"/>
    <n v="15"/>
    <d v="1899-12-30T00:00:27"/>
    <n v="76.95"/>
    <n v="0.45"/>
    <n v="27"/>
    <d v="1899-12-30T00:02:49"/>
    <n v="481.65"/>
    <n v="2.8166666666666664"/>
    <n v="169"/>
    <n v="110"/>
    <n v="0.64480000000000004"/>
    <n v="110.2608"/>
  </r>
  <r>
    <n v="1031"/>
    <x v="1030"/>
    <n v="160"/>
    <n v="149"/>
    <x v="2"/>
    <n v="11"/>
    <d v="1899-12-30T00:00:23"/>
    <n v="57.116666666666667"/>
    <n v="0.38333333333333336"/>
    <n v="23"/>
    <d v="1899-12-30T00:02:47"/>
    <n v="414.71666666666664"/>
    <n v="2.7833333333333332"/>
    <n v="167"/>
    <n v="110"/>
    <n v="0.74050000000000005"/>
    <n v="110.33450000000001"/>
  </r>
  <r>
    <n v="1032"/>
    <x v="1031"/>
    <n v="233"/>
    <n v="215"/>
    <x v="6"/>
    <n v="18"/>
    <d v="1899-12-30T00:00:22"/>
    <n v="78.833333333333329"/>
    <n v="0.36666666666666664"/>
    <n v="22"/>
    <d v="1899-12-30T00:02:34"/>
    <n v="551.83333333333326"/>
    <n v="2.5666666666666664"/>
    <n v="154"/>
    <n v="159"/>
    <n v="0.74119999999999997"/>
    <n v="159.358"/>
  </r>
  <r>
    <n v="1033"/>
    <x v="1032"/>
    <n v="162"/>
    <n v="157"/>
    <x v="4"/>
    <n v="5"/>
    <d v="1899-12-30T00:00:13"/>
    <n v="34.016666666666666"/>
    <n v="0.21666666666666667"/>
    <n v="13"/>
    <d v="1899-12-30T00:02:32"/>
    <n v="397.73333333333329"/>
    <n v="2.5333333333333332"/>
    <n v="152"/>
    <n v="129"/>
    <n v="0.82720000000000005"/>
    <n v="129.87040000000002"/>
  </r>
  <r>
    <n v="1034"/>
    <x v="1033"/>
    <n v="27"/>
    <n v="24"/>
    <x v="8"/>
    <n v="3"/>
    <d v="1899-12-30T00:00:18"/>
    <n v="7.1999999999999993"/>
    <n v="0.3"/>
    <n v="18"/>
    <d v="1899-12-30T00:02:10"/>
    <n v="52"/>
    <n v="2.1666666666666665"/>
    <n v="130"/>
    <n v="16"/>
    <n v="0.70369999999999999"/>
    <n v="16.8888"/>
  </r>
  <r>
    <n v="1035"/>
    <x v="1034"/>
    <n v="168"/>
    <n v="155"/>
    <x v="6"/>
    <n v="13"/>
    <d v="1899-12-30T00:00:26"/>
    <n v="67.166666666666671"/>
    <n v="0.43333333333333335"/>
    <n v="26"/>
    <d v="1899-12-30T00:03:18"/>
    <n v="511.5"/>
    <n v="3.3"/>
    <n v="198"/>
    <n v="100"/>
    <n v="0.64880000000000004"/>
    <n v="100.56400000000001"/>
  </r>
  <r>
    <n v="1036"/>
    <x v="1035"/>
    <n v="328"/>
    <n v="301"/>
    <x v="1"/>
    <n v="27"/>
    <d v="1899-12-30T00:00:23"/>
    <n v="115.38333333333334"/>
    <n v="0.38333333333333336"/>
    <n v="23"/>
    <d v="1899-12-30T00:02:29"/>
    <n v="747.48333333333335"/>
    <n v="2.4833333333333334"/>
    <n v="149"/>
    <n v="204"/>
    <n v="0.67910000000000004"/>
    <n v="204.40910000000002"/>
  </r>
  <r>
    <n v="1037"/>
    <x v="1036"/>
    <n v="234"/>
    <n v="208"/>
    <x v="8"/>
    <n v="26"/>
    <d v="1899-12-30T00:00:20"/>
    <n v="69.333333333333329"/>
    <n v="0.33333333333333331"/>
    <n v="20"/>
    <d v="1899-12-30T00:02:44"/>
    <n v="568.5333333333333"/>
    <n v="2.7333333333333334"/>
    <n v="164"/>
    <n v="150"/>
    <n v="0.72250000000000003"/>
    <n v="150.28"/>
  </r>
  <r>
    <n v="1038"/>
    <x v="1037"/>
    <n v="37"/>
    <n v="34"/>
    <x v="1"/>
    <n v="3"/>
    <d v="1899-12-30T00:00:14"/>
    <n v="7.9333333333333336"/>
    <n v="0.23333333333333334"/>
    <n v="14"/>
    <d v="1899-12-30T00:02:16"/>
    <n v="77.066666666666663"/>
    <n v="2.2666666666666666"/>
    <n v="136"/>
    <n v="28"/>
    <n v="0.83779999999999999"/>
    <n v="28.485199999999999"/>
  </r>
  <r>
    <n v="1039"/>
    <x v="1038"/>
    <n v="185"/>
    <n v="167"/>
    <x v="9"/>
    <n v="18"/>
    <d v="1899-12-30T00:00:18"/>
    <n v="50.1"/>
    <n v="0.3"/>
    <n v="18"/>
    <d v="1899-12-30T00:02:43"/>
    <n v="453.68333333333334"/>
    <n v="2.7166666666666668"/>
    <n v="163"/>
    <n v="122"/>
    <n v="0.73509999999999998"/>
    <n v="122.76169999999999"/>
  </r>
  <r>
    <n v="1040"/>
    <x v="1039"/>
    <n v="139"/>
    <n v="132"/>
    <x v="0"/>
    <n v="7"/>
    <d v="1899-12-30T00:00:10"/>
    <n v="22"/>
    <n v="0.16666666666666666"/>
    <n v="10"/>
    <d v="1899-12-30T00:02:57"/>
    <n v="389.40000000000003"/>
    <n v="2.95"/>
    <n v="177"/>
    <n v="116"/>
    <n v="0.88319999999999999"/>
    <n v="116.58239999999999"/>
  </r>
  <r>
    <n v="1041"/>
    <x v="1040"/>
    <n v="13"/>
    <n v="11"/>
    <x v="16"/>
    <n v="2"/>
    <d v="1899-12-30T00:00:46"/>
    <n v="8.4333333333333336"/>
    <n v="0.76666666666666672"/>
    <n v="46"/>
    <d v="1899-12-30T00:02:07"/>
    <n v="23.283333333333335"/>
    <n v="2.1166666666666667"/>
    <n v="127"/>
    <n v="4"/>
    <n v="0.41670000000000001"/>
    <n v="4.5837000000000003"/>
  </r>
  <r>
    <n v="1042"/>
    <x v="1041"/>
    <n v="161"/>
    <n v="152"/>
    <x v="0"/>
    <n v="9"/>
    <d v="1899-12-30T00:00:23"/>
    <n v="58.266666666666673"/>
    <n v="0.38333333333333336"/>
    <n v="23"/>
    <d v="1899-12-30T00:02:28"/>
    <n v="374.93333333333334"/>
    <n v="2.4666666666666668"/>
    <n v="148"/>
    <n v="105"/>
    <n v="0.69620000000000004"/>
    <n v="105.8224"/>
  </r>
  <r>
    <n v="1043"/>
    <x v="1042"/>
    <n v="149"/>
    <n v="144"/>
    <x v="4"/>
    <n v="5"/>
    <d v="1899-12-30T00:00:15"/>
    <n v="36"/>
    <n v="0.25"/>
    <n v="15"/>
    <d v="1899-12-30T00:02:46"/>
    <n v="398.4"/>
    <n v="2.7666666666666666"/>
    <n v="166"/>
    <n v="119"/>
    <n v="0.83109999999999995"/>
    <n v="119.6784"/>
  </r>
  <r>
    <n v="1044"/>
    <x v="1043"/>
    <n v="178"/>
    <n v="167"/>
    <x v="2"/>
    <n v="11"/>
    <d v="1899-12-30T00:00:22"/>
    <n v="61.233333333333327"/>
    <n v="0.36666666666666664"/>
    <n v="22"/>
    <d v="1899-12-30T00:02:42"/>
    <n v="450.90000000000003"/>
    <n v="2.7"/>
    <n v="162"/>
    <n v="125"/>
    <n v="0.74860000000000004"/>
    <n v="125.01620000000001"/>
  </r>
  <r>
    <n v="1045"/>
    <x v="1044"/>
    <n v="224"/>
    <n v="210"/>
    <x v="2"/>
    <n v="14"/>
    <d v="1899-12-30T00:00:21"/>
    <n v="73.5"/>
    <n v="0.35"/>
    <n v="21"/>
    <d v="1899-12-30T00:03:00"/>
    <n v="630"/>
    <n v="3"/>
    <n v="180"/>
    <n v="152"/>
    <n v="0.72519999999999996"/>
    <n v="152.292"/>
  </r>
  <r>
    <n v="1046"/>
    <x v="1045"/>
    <n v="277"/>
    <n v="273"/>
    <x v="5"/>
    <n v="4"/>
    <d v="1899-12-30T00:00:10"/>
    <n v="45.5"/>
    <n v="0.16666666666666666"/>
    <n v="10"/>
    <d v="1899-12-30T00:02:00"/>
    <n v="546"/>
    <n v="2"/>
    <n v="120"/>
    <n v="244"/>
    <n v="0.89739999999999998"/>
    <n v="244.99019999999999"/>
  </r>
  <r>
    <n v="1047"/>
    <x v="1046"/>
    <n v="188"/>
    <n v="172"/>
    <x v="1"/>
    <n v="16"/>
    <d v="1899-12-30T00:00:20"/>
    <n v="57.333333333333329"/>
    <n v="0.33333333333333331"/>
    <n v="20"/>
    <d v="1899-12-30T00:02:41"/>
    <n v="461.53333333333336"/>
    <n v="2.6833333333333336"/>
    <n v="161"/>
    <n v="124"/>
    <n v="0.72189999999999999"/>
    <n v="124.16679999999999"/>
  </r>
  <r>
    <n v="1048"/>
    <x v="1047"/>
    <n v="26"/>
    <n v="22"/>
    <x v="16"/>
    <n v="4"/>
    <d v="1899-12-30T00:00:34"/>
    <n v="12.466666666666667"/>
    <n v="0.56666666666666665"/>
    <n v="34"/>
    <d v="1899-12-30T00:02:23"/>
    <n v="52.43333333333333"/>
    <n v="2.3833333333333333"/>
    <n v="143"/>
    <n v="14"/>
    <n v="0.68"/>
    <n v="14.96"/>
  </r>
  <r>
    <n v="1049"/>
    <x v="1048"/>
    <n v="177"/>
    <n v="167"/>
    <x v="0"/>
    <n v="10"/>
    <d v="1899-12-30T00:00:35"/>
    <n v="97.416666666666671"/>
    <n v="0.58333333333333337"/>
    <n v="35"/>
    <d v="1899-12-30T00:02:56"/>
    <n v="489.86666666666673"/>
    <n v="2.9333333333333336"/>
    <n v="176"/>
    <n v="93"/>
    <n v="0.5625"/>
    <n v="93.9375"/>
  </r>
  <r>
    <n v="1050"/>
    <x v="1049"/>
    <n v="149"/>
    <n v="144"/>
    <x v="4"/>
    <n v="5"/>
    <d v="1899-12-30T00:00:28"/>
    <n v="67.2"/>
    <n v="0.46666666666666667"/>
    <n v="28"/>
    <d v="1899-12-30T00:02:47"/>
    <n v="400.79999999999995"/>
    <n v="2.7833333333333332"/>
    <n v="167"/>
    <n v="95"/>
    <n v="0.66220000000000001"/>
    <n v="95.356800000000007"/>
  </r>
  <r>
    <n v="1051"/>
    <x v="1050"/>
    <n v="147"/>
    <n v="147"/>
    <x v="3"/>
    <n v="0"/>
    <d v="1899-12-30T00:00:11"/>
    <n v="26.95"/>
    <n v="0.18333333333333332"/>
    <n v="11"/>
    <d v="1899-12-30T00:02:51"/>
    <n v="418.95"/>
    <n v="2.85"/>
    <n v="171"/>
    <n v="125"/>
    <n v="0.85709999999999997"/>
    <n v="125.99369999999999"/>
  </r>
  <r>
    <n v="1052"/>
    <x v="1051"/>
    <n v="140"/>
    <n v="134"/>
    <x v="10"/>
    <n v="6"/>
    <d v="1899-12-30T00:00:19"/>
    <n v="42.43333333333333"/>
    <n v="0.31666666666666665"/>
    <n v="19"/>
    <d v="1899-12-30T00:02:44"/>
    <n v="366.26666666666665"/>
    <n v="2.7333333333333334"/>
    <n v="164"/>
    <n v="105"/>
    <n v="0.78569999999999995"/>
    <n v="105.2838"/>
  </r>
  <r>
    <n v="1053"/>
    <x v="1052"/>
    <n v="177"/>
    <n v="163"/>
    <x v="6"/>
    <n v="14"/>
    <d v="1899-12-30T00:00:19"/>
    <n v="51.616666666666667"/>
    <n v="0.31666666666666665"/>
    <n v="19"/>
    <d v="1899-12-30T00:02:35"/>
    <n v="421.08333333333337"/>
    <n v="2.5833333333333335"/>
    <n v="155"/>
    <n v="123"/>
    <n v="0.7571"/>
    <n v="123.40729999999999"/>
  </r>
  <r>
    <n v="1054"/>
    <x v="1053"/>
    <n v="169"/>
    <n v="169"/>
    <x v="3"/>
    <n v="0"/>
    <d v="1899-12-30T00:00:09"/>
    <n v="25.349999999999998"/>
    <n v="0.15"/>
    <n v="9"/>
    <d v="1899-12-30T00:02:45"/>
    <n v="464.75"/>
    <n v="2.75"/>
    <n v="165"/>
    <n v="151"/>
    <n v="0.89939999999999998"/>
    <n v="151.99860000000001"/>
  </r>
  <r>
    <n v="1055"/>
    <x v="1054"/>
    <n v="26"/>
    <n v="21"/>
    <x v="34"/>
    <n v="5"/>
    <d v="1899-12-30T00:00:27"/>
    <n v="9.4500000000000011"/>
    <n v="0.45"/>
    <n v="27"/>
    <d v="1899-12-30T00:02:28"/>
    <n v="51.800000000000004"/>
    <n v="2.4666666666666668"/>
    <n v="148"/>
    <n v="10"/>
    <n v="0.48"/>
    <n v="10.08"/>
  </r>
  <r>
    <n v="1056"/>
    <x v="1055"/>
    <n v="147"/>
    <n v="140"/>
    <x v="10"/>
    <n v="7"/>
    <d v="1899-12-30T00:00:12"/>
    <n v="28"/>
    <n v="0.2"/>
    <n v="12"/>
    <d v="1899-12-30T00:02:48"/>
    <n v="392"/>
    <n v="2.8"/>
    <n v="168"/>
    <n v="119"/>
    <n v="0.85519999999999996"/>
    <n v="119.72799999999999"/>
  </r>
  <r>
    <n v="1057"/>
    <x v="1056"/>
    <n v="127"/>
    <n v="122"/>
    <x v="4"/>
    <n v="5"/>
    <d v="1899-12-30T00:00:21"/>
    <n v="42.699999999999996"/>
    <n v="0.35"/>
    <n v="21"/>
    <d v="1899-12-30T00:02:48"/>
    <n v="341.59999999999997"/>
    <n v="2.8"/>
    <n v="168"/>
    <n v="86"/>
    <n v="0.7087"/>
    <n v="86.461399999999998"/>
  </r>
  <r>
    <n v="1058"/>
    <x v="1057"/>
    <n v="141"/>
    <n v="135"/>
    <x v="10"/>
    <n v="6"/>
    <d v="1899-12-30T00:00:17"/>
    <n v="38.25"/>
    <n v="0.28333333333333333"/>
    <n v="17"/>
    <d v="1899-12-30T00:02:27"/>
    <n v="330.75"/>
    <n v="2.4500000000000002"/>
    <n v="147"/>
    <n v="105"/>
    <n v="0.78010000000000002"/>
    <n v="105.3135"/>
  </r>
  <r>
    <n v="1059"/>
    <x v="1058"/>
    <n v="208"/>
    <n v="181"/>
    <x v="20"/>
    <n v="27"/>
    <d v="1899-12-30T00:00:38"/>
    <n v="114.63333333333333"/>
    <n v="0.6333333333333333"/>
    <n v="38"/>
    <d v="1899-12-30T00:02:39"/>
    <n v="479.65"/>
    <n v="2.65"/>
    <n v="159"/>
    <n v="88"/>
    <n v="0.49020000000000002"/>
    <n v="88.726200000000006"/>
  </r>
  <r>
    <n v="1060"/>
    <x v="1059"/>
    <n v="178"/>
    <n v="163"/>
    <x v="1"/>
    <n v="15"/>
    <d v="1899-12-30T00:00:33"/>
    <n v="89.65"/>
    <n v="0.55000000000000004"/>
    <n v="33"/>
    <d v="1899-12-30T00:02:54"/>
    <n v="472.7"/>
    <n v="2.9"/>
    <n v="174"/>
    <n v="89"/>
    <n v="0.54800000000000004"/>
    <n v="89.324000000000012"/>
  </r>
  <r>
    <n v="1061"/>
    <x v="1060"/>
    <n v="198"/>
    <n v="190"/>
    <x v="10"/>
    <n v="8"/>
    <d v="1899-12-30T00:00:25"/>
    <n v="79.166666666666671"/>
    <n v="0.41666666666666669"/>
    <n v="25"/>
    <d v="1899-12-30T00:02:32"/>
    <n v="481.33333333333331"/>
    <n v="2.5333333333333332"/>
    <n v="152"/>
    <n v="127"/>
    <n v="0.67010000000000003"/>
    <n v="127.319"/>
  </r>
  <r>
    <n v="1062"/>
    <x v="1061"/>
    <n v="21"/>
    <n v="17"/>
    <x v="34"/>
    <n v="4"/>
    <d v="1899-12-30T00:00:44"/>
    <n v="12.466666666666665"/>
    <n v="0.73333333333333328"/>
    <n v="44"/>
    <d v="1899-12-30T00:03:31"/>
    <n v="59.783333333333331"/>
    <n v="3.5166666666666666"/>
    <n v="211"/>
    <n v="8"/>
    <n v="0.47620000000000001"/>
    <n v="8.0953999999999997"/>
  </r>
  <r>
    <n v="1063"/>
    <x v="1062"/>
    <n v="171"/>
    <n v="161"/>
    <x v="0"/>
    <n v="10"/>
    <d v="1899-12-30T00:00:16"/>
    <n v="42.93333333333333"/>
    <n v="0.26666666666666666"/>
    <n v="16"/>
    <d v="1899-12-30T00:02:35"/>
    <n v="415.91666666666669"/>
    <n v="2.5833333333333335"/>
    <n v="155"/>
    <n v="131"/>
    <n v="0.81440000000000001"/>
    <n v="131.11840000000001"/>
  </r>
  <r>
    <n v="1064"/>
    <x v="1063"/>
    <n v="200"/>
    <n v="196"/>
    <x v="5"/>
    <n v="4"/>
    <d v="1899-12-30T00:00:09"/>
    <n v="29.4"/>
    <n v="0.15"/>
    <n v="9"/>
    <d v="1899-12-30T00:02:51"/>
    <n v="558.6"/>
    <n v="2.85"/>
    <n v="171"/>
    <n v="180"/>
    <n v="0.91920000000000002"/>
    <n v="180.16320000000002"/>
  </r>
  <r>
    <n v="1065"/>
    <x v="1064"/>
    <n v="166"/>
    <n v="157"/>
    <x v="0"/>
    <n v="9"/>
    <d v="1899-12-30T00:00:24"/>
    <n v="62.800000000000004"/>
    <n v="0.4"/>
    <n v="24"/>
    <d v="1899-12-30T00:02:40"/>
    <n v="418.66666666666663"/>
    <n v="2.6666666666666665"/>
    <n v="160"/>
    <n v="101"/>
    <n v="0.64629999999999999"/>
    <n v="101.4691"/>
  </r>
  <r>
    <n v="1066"/>
    <x v="1065"/>
    <n v="230"/>
    <n v="217"/>
    <x v="0"/>
    <n v="13"/>
    <d v="1899-12-30T00:00:27"/>
    <n v="97.65"/>
    <n v="0.45"/>
    <n v="27"/>
    <d v="1899-12-30T00:02:39"/>
    <n v="575.04999999999995"/>
    <n v="2.65"/>
    <n v="159"/>
    <n v="124"/>
    <n v="0.57210000000000005"/>
    <n v="124.14570000000001"/>
  </r>
  <r>
    <n v="1067"/>
    <x v="1066"/>
    <n v="174"/>
    <n v="168"/>
    <x v="4"/>
    <n v="6"/>
    <d v="1899-12-30T00:00:24"/>
    <n v="67.2"/>
    <n v="0.4"/>
    <n v="24"/>
    <d v="1899-12-30T00:02:57"/>
    <n v="495.6"/>
    <n v="2.95"/>
    <n v="177"/>
    <n v="116"/>
    <n v="0.69589999999999996"/>
    <n v="116.91119999999999"/>
  </r>
  <r>
    <n v="1068"/>
    <x v="1067"/>
    <n v="240"/>
    <n v="185"/>
    <x v="22"/>
    <n v="55"/>
    <d v="1899-12-30T00:01:00"/>
    <n v="185"/>
    <n v="1"/>
    <n v="60"/>
    <d v="1899-12-30T00:03:02"/>
    <n v="561.16666666666663"/>
    <n v="3.0333333333333332"/>
    <n v="182"/>
    <n v="55"/>
    <n v="0.2979"/>
    <n v="55.111499999999999"/>
  </r>
  <r>
    <n v="1069"/>
    <x v="1068"/>
    <n v="35"/>
    <n v="27"/>
    <x v="22"/>
    <n v="8"/>
    <d v="1899-12-30T00:00:48"/>
    <n v="21.6"/>
    <n v="0.8"/>
    <n v="48"/>
    <d v="1899-12-30T00:02:56"/>
    <n v="79.2"/>
    <n v="2.9333333333333336"/>
    <n v="176"/>
    <n v="11"/>
    <n v="0.43330000000000002"/>
    <n v="11.699100000000001"/>
  </r>
  <r>
    <n v="1070"/>
    <x v="1069"/>
    <n v="198"/>
    <n v="179"/>
    <x v="9"/>
    <n v="19"/>
    <d v="1899-12-30T00:00:27"/>
    <n v="80.55"/>
    <n v="0.45"/>
    <n v="27"/>
    <d v="1899-12-30T00:02:41"/>
    <n v="480.31666666666672"/>
    <n v="2.6833333333333336"/>
    <n v="161"/>
    <n v="107"/>
    <n v="0.60099999999999998"/>
    <n v="107.57899999999999"/>
  </r>
  <r>
    <n v="1071"/>
    <x v="1070"/>
    <n v="189"/>
    <n v="181"/>
    <x v="10"/>
    <n v="8"/>
    <d v="1899-12-30T00:00:19"/>
    <n v="57.316666666666663"/>
    <n v="0.31666666666666665"/>
    <n v="19"/>
    <d v="1899-12-30T00:02:59"/>
    <n v="539.98333333333335"/>
    <n v="2.9833333333333334"/>
    <n v="179"/>
    <n v="129"/>
    <n v="0.71430000000000005"/>
    <n v="129.28830000000002"/>
  </r>
  <r>
    <n v="1072"/>
    <x v="1071"/>
    <n v="229"/>
    <n v="219"/>
    <x v="10"/>
    <n v="10"/>
    <d v="1899-12-30T00:00:30"/>
    <n v="109.5"/>
    <n v="0.5"/>
    <n v="30"/>
    <d v="1899-12-30T00:03:15"/>
    <n v="711.75"/>
    <n v="3.25"/>
    <n v="195"/>
    <n v="129"/>
    <n v="0.59209999999999996"/>
    <n v="129.66989999999998"/>
  </r>
  <r>
    <n v="1073"/>
    <x v="1072"/>
    <n v="254"/>
    <n v="235"/>
    <x v="6"/>
    <n v="19"/>
    <d v="1899-12-30T00:00:27"/>
    <n v="105.75"/>
    <n v="0.45"/>
    <n v="27"/>
    <d v="1899-12-30T00:02:56"/>
    <n v="689.33333333333337"/>
    <n v="2.9333333333333336"/>
    <n v="176"/>
    <n v="140"/>
    <n v="0.5968"/>
    <n v="140.24799999999999"/>
  </r>
  <r>
    <n v="1074"/>
    <x v="1073"/>
    <n v="584"/>
    <n v="521"/>
    <x v="13"/>
    <n v="63"/>
    <d v="1899-12-30T00:00:29"/>
    <n v="251.81666666666666"/>
    <n v="0.48333333333333334"/>
    <n v="29"/>
    <d v="1899-12-30T00:02:16"/>
    <n v="1180.9333333333334"/>
    <n v="2.2666666666666666"/>
    <n v="136"/>
    <n v="303"/>
    <n v="0.58299999999999996"/>
    <n v="303.74299999999999"/>
  </r>
  <r>
    <n v="1075"/>
    <x v="1074"/>
    <n v="564"/>
    <n v="551"/>
    <x v="7"/>
    <n v="13"/>
    <d v="1899-12-30T00:00:12"/>
    <n v="110.2"/>
    <n v="0.2"/>
    <n v="12"/>
    <d v="1899-12-30T00:01:40"/>
    <n v="918.33333333333326"/>
    <n v="1.6666666666666665"/>
    <n v="99.999999999999986"/>
    <n v="462"/>
    <n v="0.83960000000000001"/>
    <n v="462.61959999999999"/>
  </r>
  <r>
    <n v="1076"/>
    <x v="1075"/>
    <n v="150"/>
    <n v="149"/>
    <x v="12"/>
    <n v="1"/>
    <d v="1899-12-30T00:00:10"/>
    <n v="24.833333333333332"/>
    <n v="0.16666666666666666"/>
    <n v="10"/>
    <d v="1899-12-30T00:01:40"/>
    <n v="248.33333333333331"/>
    <n v="1.6666666666666665"/>
    <n v="99.999999999999986"/>
    <n v="133"/>
    <n v="0.89329999999999998"/>
    <n v="133.10169999999999"/>
  </r>
  <r>
    <n v="1077"/>
    <x v="1076"/>
    <n v="521"/>
    <n v="499"/>
    <x v="10"/>
    <n v="22"/>
    <d v="1899-12-30T00:00:23"/>
    <n v="191.28333333333336"/>
    <n v="0.38333333333333336"/>
    <n v="23"/>
    <d v="1899-12-30T00:01:36"/>
    <n v="798.40000000000009"/>
    <n v="1.6"/>
    <n v="96"/>
    <n v="353"/>
    <n v="0.70930000000000004"/>
    <n v="353.94069999999999"/>
  </r>
  <r>
    <n v="1078"/>
    <x v="1077"/>
    <n v="330"/>
    <n v="309"/>
    <x v="2"/>
    <n v="21"/>
    <d v="1899-12-30T00:00:21"/>
    <n v="108.14999999999999"/>
    <n v="0.35"/>
    <n v="21"/>
    <d v="1899-12-30T00:03:19"/>
    <n v="1024.8499999999999"/>
    <n v="3.3166666666666664"/>
    <n v="199"/>
    <n v="214"/>
    <n v="0.69540000000000002"/>
    <n v="214.87860000000001"/>
  </r>
  <r>
    <n v="1079"/>
    <x v="1078"/>
    <n v="298"/>
    <n v="288"/>
    <x v="4"/>
    <n v="10"/>
    <d v="1899-12-30T00:00:13"/>
    <n v="62.400000000000006"/>
    <n v="0.21666666666666667"/>
    <n v="13"/>
    <d v="1899-12-30T00:03:20"/>
    <n v="960"/>
    <n v="3.3333333333333335"/>
    <n v="200"/>
    <n v="244"/>
    <n v="0.84750000000000003"/>
    <n v="244.08"/>
  </r>
  <r>
    <n v="1080"/>
    <x v="1079"/>
    <n v="294"/>
    <n v="287"/>
    <x v="7"/>
    <n v="7"/>
    <d v="1899-12-30T00:00:14"/>
    <n v="66.966666666666669"/>
    <n v="0.23333333333333334"/>
    <n v="14"/>
    <d v="1899-12-30T00:03:28"/>
    <n v="994.93333333333339"/>
    <n v="3.4666666666666668"/>
    <n v="208"/>
    <n v="236"/>
    <n v="0.82250000000000001"/>
    <n v="236.0575"/>
  </r>
  <r>
    <n v="1081"/>
    <x v="1080"/>
    <n v="261"/>
    <n v="253"/>
    <x v="4"/>
    <n v="8"/>
    <d v="1899-12-30T00:00:10"/>
    <n v="42.166666666666664"/>
    <n v="0.16666666666666666"/>
    <n v="10"/>
    <d v="1899-12-30T00:03:03"/>
    <n v="771.65"/>
    <n v="3.05"/>
    <n v="183"/>
    <n v="227"/>
    <n v="0.89959999999999996"/>
    <n v="227.59879999999998"/>
  </r>
  <r>
    <n v="1082"/>
    <x v="1081"/>
    <n v="223"/>
    <n v="210"/>
    <x v="0"/>
    <n v="13"/>
    <d v="1899-12-30T00:00:16"/>
    <n v="56"/>
    <n v="0.26666666666666666"/>
    <n v="16"/>
    <d v="1899-12-30T00:03:07"/>
    <n v="654.5"/>
    <n v="3.1166666666666667"/>
    <n v="187"/>
    <n v="168"/>
    <n v="0.80089999999999995"/>
    <n v="168.18899999999999"/>
  </r>
  <r>
    <n v="1083"/>
    <x v="1082"/>
    <n v="59"/>
    <n v="58"/>
    <x v="5"/>
    <n v="1"/>
    <d v="1899-12-30T00:00:21"/>
    <n v="20.299999999999997"/>
    <n v="0.35"/>
    <n v="21"/>
    <d v="1899-12-30T00:03:41"/>
    <n v="213.63333333333335"/>
    <n v="3.6833333333333336"/>
    <n v="221"/>
    <n v="43"/>
    <n v="0.74580000000000002"/>
    <n v="43.256399999999999"/>
  </r>
  <r>
    <n v="1084"/>
    <x v="1083"/>
    <n v="340"/>
    <n v="327"/>
    <x v="4"/>
    <n v="13"/>
    <d v="1899-12-30T00:00:21"/>
    <n v="114.44999999999999"/>
    <n v="0.35"/>
    <n v="21"/>
    <d v="1899-12-30T00:01:55"/>
    <n v="626.75"/>
    <n v="1.9166666666666665"/>
    <n v="114.99999999999999"/>
    <n v="253"/>
    <n v="0.77610000000000001"/>
    <n v="253.78470000000002"/>
  </r>
  <r>
    <n v="1085"/>
    <x v="1084"/>
    <n v="287"/>
    <n v="280"/>
    <x v="7"/>
    <n v="7"/>
    <d v="1899-12-30T00:00:13"/>
    <n v="60.666666666666671"/>
    <n v="0.21666666666666667"/>
    <n v="13"/>
    <d v="1899-12-30T00:03:05"/>
    <n v="863.33333333333337"/>
    <n v="3.0833333333333335"/>
    <n v="185"/>
    <n v="236"/>
    <n v="0.84319999999999995"/>
    <n v="236.09599999999998"/>
  </r>
  <r>
    <n v="1086"/>
    <x v="1085"/>
    <n v="269"/>
    <n v="257"/>
    <x v="10"/>
    <n v="12"/>
    <d v="1899-12-30T00:00:16"/>
    <n v="68.533333333333331"/>
    <n v="0.26666666666666666"/>
    <n v="16"/>
    <d v="1899-12-30T00:03:04"/>
    <n v="788.13333333333344"/>
    <n v="3.0666666666666669"/>
    <n v="184"/>
    <n v="210"/>
    <n v="0.82020000000000004"/>
    <n v="210.79140000000001"/>
  </r>
  <r>
    <n v="1087"/>
    <x v="1086"/>
    <n v="270"/>
    <n v="261"/>
    <x v="4"/>
    <n v="9"/>
    <d v="1899-12-30T00:00:12"/>
    <n v="52.2"/>
    <n v="0.2"/>
    <n v="12"/>
    <d v="1899-12-30T00:03:06"/>
    <n v="809.1"/>
    <n v="3.1"/>
    <n v="186"/>
    <n v="224"/>
    <n v="0.85870000000000002"/>
    <n v="224.1207"/>
  </r>
  <r>
    <n v="1088"/>
    <x v="1087"/>
    <n v="285"/>
    <n v="273"/>
    <x v="10"/>
    <n v="12"/>
    <d v="1899-12-30T00:00:12"/>
    <n v="54.6"/>
    <n v="0.2"/>
    <n v="12"/>
    <d v="1899-12-30T00:03:14"/>
    <n v="882.7"/>
    <n v="3.2333333333333334"/>
    <n v="194"/>
    <n v="233"/>
    <n v="0.85360000000000003"/>
    <n v="233.03280000000001"/>
  </r>
  <r>
    <n v="1089"/>
    <x v="1088"/>
    <n v="251"/>
    <n v="229"/>
    <x v="1"/>
    <n v="22"/>
    <d v="1899-12-30T00:00:22"/>
    <n v="83.966666666666654"/>
    <n v="0.36666666666666664"/>
    <n v="22"/>
    <d v="1899-12-30T00:02:59"/>
    <n v="683.18333333333339"/>
    <n v="2.9833333333333334"/>
    <n v="179"/>
    <n v="167"/>
    <n v="0.73060000000000003"/>
    <n v="167.3074"/>
  </r>
  <r>
    <n v="1090"/>
    <x v="1089"/>
    <n v="47"/>
    <n v="47"/>
    <x v="3"/>
    <n v="0"/>
    <d v="1899-12-30T00:00:13"/>
    <n v="10.183333333333334"/>
    <n v="0.21666666666666667"/>
    <n v="13"/>
    <d v="1899-12-30T00:03:03"/>
    <n v="143.35"/>
    <n v="3.05"/>
    <n v="183"/>
    <n v="40"/>
    <n v="0.87229999999999996"/>
    <n v="40.998100000000001"/>
  </r>
  <r>
    <n v="1091"/>
    <x v="1090"/>
    <n v="233"/>
    <n v="225"/>
    <x v="4"/>
    <n v="8"/>
    <d v="1899-12-30T00:00:13"/>
    <n v="48.75"/>
    <n v="0.21666666666666667"/>
    <n v="13"/>
    <d v="1899-12-30T00:03:02"/>
    <n v="682.5"/>
    <n v="3.0333333333333332"/>
    <n v="182"/>
    <n v="190"/>
    <n v="0.84719999999999995"/>
    <n v="190.61999999999998"/>
  </r>
  <r>
    <n v="1092"/>
    <x v="1091"/>
    <n v="257"/>
    <n v="248"/>
    <x v="4"/>
    <n v="9"/>
    <d v="1899-12-30T00:00:14"/>
    <n v="57.866666666666667"/>
    <n v="0.23333333333333334"/>
    <n v="14"/>
    <d v="1899-12-30T00:03:14"/>
    <n v="801.86666666666667"/>
    <n v="3.2333333333333334"/>
    <n v="194"/>
    <n v="206"/>
    <n v="0.83399999999999996"/>
    <n v="206.83199999999999"/>
  </r>
  <r>
    <n v="1093"/>
    <x v="1092"/>
    <n v="245"/>
    <n v="234"/>
    <x v="10"/>
    <n v="11"/>
    <d v="1899-12-30T00:00:11"/>
    <n v="42.9"/>
    <n v="0.18333333333333332"/>
    <n v="11"/>
    <d v="1899-12-30T00:03:01"/>
    <n v="705.9"/>
    <n v="3.0166666666666666"/>
    <n v="181"/>
    <n v="201"/>
    <n v="0.85950000000000004"/>
    <n v="201.12300000000002"/>
  </r>
  <r>
    <n v="1094"/>
    <x v="1093"/>
    <n v="267"/>
    <n v="265"/>
    <x v="12"/>
    <n v="2"/>
    <d v="1899-12-30T00:00:05"/>
    <n v="22.083333333333332"/>
    <n v="8.3333333333333329E-2"/>
    <n v="5"/>
    <d v="1899-12-30T00:02:59"/>
    <n v="790.58333333333337"/>
    <n v="2.9833333333333334"/>
    <n v="179"/>
    <n v="258"/>
    <n v="0.97360000000000002"/>
    <n v="258.00400000000002"/>
  </r>
  <r>
    <n v="1095"/>
    <x v="1094"/>
    <n v="231"/>
    <n v="224"/>
    <x v="4"/>
    <n v="7"/>
    <d v="1899-12-30T00:00:11"/>
    <n v="41.066666666666663"/>
    <n v="0.18333333333333332"/>
    <n v="11"/>
    <d v="1899-12-30T00:02:56"/>
    <n v="657.06666666666672"/>
    <n v="2.9333333333333336"/>
    <n v="176"/>
    <n v="193"/>
    <n v="0.86580000000000001"/>
    <n v="193.9392"/>
  </r>
  <r>
    <n v="1096"/>
    <x v="1095"/>
    <n v="236"/>
    <n v="226"/>
    <x v="10"/>
    <n v="10"/>
    <d v="1899-12-30T00:00:19"/>
    <n v="71.566666666666663"/>
    <n v="0.31666666666666665"/>
    <n v="19"/>
    <d v="1899-12-30T00:03:04"/>
    <n v="693.06666666666672"/>
    <n v="3.0666666666666669"/>
    <n v="184"/>
    <n v="169"/>
    <n v="0.75"/>
    <n v="169.5"/>
  </r>
  <r>
    <n v="1097"/>
    <x v="1096"/>
    <n v="81"/>
    <n v="78"/>
    <x v="4"/>
    <n v="3"/>
    <d v="1899-12-30T00:00:11"/>
    <n v="14.299999999999999"/>
    <n v="0.18333333333333332"/>
    <n v="11"/>
    <d v="1899-12-30T00:02:57"/>
    <n v="230.10000000000002"/>
    <n v="2.95"/>
    <n v="177"/>
    <n v="63"/>
    <n v="0.8125"/>
    <n v="63.375"/>
  </r>
  <r>
    <n v="1098"/>
    <x v="1097"/>
    <n v="281"/>
    <n v="273"/>
    <x v="7"/>
    <n v="8"/>
    <d v="1899-12-30T00:00:11"/>
    <n v="50.05"/>
    <n v="0.18333333333333332"/>
    <n v="11"/>
    <d v="1899-12-30T00:03:02"/>
    <n v="828.1"/>
    <n v="3.0333333333333332"/>
    <n v="182"/>
    <n v="241"/>
    <n v="0.88490000000000002"/>
    <n v="241.57769999999999"/>
  </r>
  <r>
    <n v="1099"/>
    <x v="1098"/>
    <n v="399"/>
    <n v="387"/>
    <x v="4"/>
    <n v="12"/>
    <d v="1899-12-30T00:00:11"/>
    <n v="70.949999999999989"/>
    <n v="0.18333333333333332"/>
    <n v="11"/>
    <d v="1899-12-30T00:02:51"/>
    <n v="1102.95"/>
    <n v="2.85"/>
    <n v="171"/>
    <n v="334"/>
    <n v="0.86360000000000003"/>
    <n v="334.21320000000003"/>
  </r>
  <r>
    <n v="1100"/>
    <x v="1099"/>
    <n v="291"/>
    <n v="287"/>
    <x v="5"/>
    <n v="4"/>
    <d v="1899-12-30T00:00:11"/>
    <n v="52.61666666666666"/>
    <n v="0.18333333333333332"/>
    <n v="11"/>
    <d v="1899-12-30T00:02:36"/>
    <n v="746.2"/>
    <n v="2.6"/>
    <n v="156"/>
    <n v="252"/>
    <n v="0.87970000000000004"/>
    <n v="252.47390000000001"/>
  </r>
  <r>
    <n v="1101"/>
    <x v="1100"/>
    <n v="290"/>
    <n v="281"/>
    <x v="4"/>
    <n v="9"/>
    <d v="1899-12-30T00:00:07"/>
    <n v="32.783333333333331"/>
    <n v="0.11666666666666667"/>
    <n v="7"/>
    <d v="1899-12-30T00:03:03"/>
    <n v="857.05"/>
    <n v="3.05"/>
    <n v="183"/>
    <n v="257"/>
    <n v="0.91639999999999999"/>
    <n v="257.50839999999999"/>
  </r>
  <r>
    <n v="1102"/>
    <x v="1101"/>
    <n v="230"/>
    <n v="227"/>
    <x v="5"/>
    <n v="3"/>
    <d v="1899-12-30T00:00:08"/>
    <n v="30.266666666666666"/>
    <n v="0.13333333333333333"/>
    <n v="8"/>
    <d v="1899-12-30T00:03:06"/>
    <n v="703.7"/>
    <n v="3.1"/>
    <n v="186"/>
    <n v="208"/>
    <n v="0.91669999999999996"/>
    <n v="208.0909"/>
  </r>
  <r>
    <n v="1103"/>
    <x v="1102"/>
    <n v="236"/>
    <n v="216"/>
    <x v="1"/>
    <n v="20"/>
    <d v="1899-12-30T00:00:17"/>
    <n v="61.199999999999996"/>
    <n v="0.28333333333333333"/>
    <n v="17"/>
    <d v="1899-12-30T00:03:09"/>
    <n v="680.4"/>
    <n v="3.15"/>
    <n v="189"/>
    <n v="152"/>
    <n v="0.70689999999999997"/>
    <n v="152.69039999999998"/>
  </r>
  <r>
    <n v="1104"/>
    <x v="1103"/>
    <n v="45"/>
    <n v="44"/>
    <x v="7"/>
    <n v="1"/>
    <d v="1899-12-30T00:00:05"/>
    <n v="3.6666666666666665"/>
    <n v="8.3333333333333329E-2"/>
    <n v="5"/>
    <d v="1899-12-30T00:02:45"/>
    <n v="121"/>
    <n v="2.75"/>
    <n v="165"/>
    <n v="41"/>
    <n v="0.93330000000000002"/>
    <n v="41.065200000000004"/>
  </r>
  <r>
    <n v="1105"/>
    <x v="1104"/>
    <n v="249"/>
    <n v="238"/>
    <x v="10"/>
    <n v="11"/>
    <d v="1899-12-30T00:00:11"/>
    <n v="43.633333333333333"/>
    <n v="0.18333333333333332"/>
    <n v="11"/>
    <d v="1899-12-30T00:02:42"/>
    <n v="642.6"/>
    <n v="2.7"/>
    <n v="162"/>
    <n v="205"/>
    <n v="0.86529999999999996"/>
    <n v="205.94139999999999"/>
  </r>
  <r>
    <n v="1106"/>
    <x v="1105"/>
    <n v="350"/>
    <n v="328"/>
    <x v="2"/>
    <n v="22"/>
    <d v="1899-12-30T00:00:28"/>
    <n v="153.06666666666666"/>
    <n v="0.46666666666666667"/>
    <n v="28"/>
    <d v="1899-12-30T00:02:31"/>
    <n v="825.4666666666667"/>
    <n v="2.5166666666666666"/>
    <n v="151"/>
    <n v="191"/>
    <n v="0.58260000000000001"/>
    <n v="191.09280000000001"/>
  </r>
  <r>
    <n v="1107"/>
    <x v="1106"/>
    <n v="361"/>
    <n v="306"/>
    <x v="16"/>
    <n v="55"/>
    <d v="1899-12-30T00:00:27"/>
    <n v="137.70000000000002"/>
    <n v="0.45"/>
    <n v="27"/>
    <d v="1899-12-30T00:02:26"/>
    <n v="744.6"/>
    <n v="2.4333333333333336"/>
    <n v="146"/>
    <n v="184"/>
    <n v="0.60170000000000001"/>
    <n v="184.12020000000001"/>
  </r>
  <r>
    <n v="1108"/>
    <x v="1107"/>
    <n v="262"/>
    <n v="256"/>
    <x v="7"/>
    <n v="6"/>
    <d v="1899-12-30T00:00:13"/>
    <n v="55.466666666666669"/>
    <n v="0.21666666666666667"/>
    <n v="13"/>
    <d v="1899-12-30T00:02:50"/>
    <n v="725.33333333333337"/>
    <n v="2.8333333333333335"/>
    <n v="170"/>
    <n v="220"/>
    <n v="0.86150000000000004"/>
    <n v="220.54400000000001"/>
  </r>
  <r>
    <n v="1109"/>
    <x v="1108"/>
    <n v="302"/>
    <n v="288"/>
    <x v="10"/>
    <n v="14"/>
    <d v="1899-12-30T00:00:21"/>
    <n v="100.8"/>
    <n v="0.35"/>
    <n v="21"/>
    <d v="1899-12-30T00:02:56"/>
    <n v="844.80000000000007"/>
    <n v="2.9333333333333336"/>
    <n v="176"/>
    <n v="204"/>
    <n v="0.71099999999999997"/>
    <n v="204.768"/>
  </r>
  <r>
    <n v="1110"/>
    <x v="1109"/>
    <n v="299"/>
    <n v="268"/>
    <x v="13"/>
    <n v="31"/>
    <d v="1899-12-30T00:00:28"/>
    <n v="125.06666666666666"/>
    <n v="0.46666666666666667"/>
    <n v="28"/>
    <d v="1899-12-30T00:02:49"/>
    <n v="754.86666666666656"/>
    <n v="2.8166666666666664"/>
    <n v="169"/>
    <n v="148"/>
    <n v="0.55410000000000004"/>
    <n v="148.49880000000002"/>
  </r>
  <r>
    <n v="1111"/>
    <x v="1110"/>
    <n v="50"/>
    <n v="49"/>
    <x v="5"/>
    <n v="1"/>
    <d v="1899-12-30T00:00:24"/>
    <n v="19.600000000000001"/>
    <n v="0.4"/>
    <n v="24"/>
    <d v="1899-12-30T00:02:55"/>
    <n v="142.91666666666666"/>
    <n v="2.9166666666666665"/>
    <n v="175"/>
    <n v="37"/>
    <n v="0.76"/>
    <n v="37.24"/>
  </r>
  <r>
    <n v="1112"/>
    <x v="1111"/>
    <n v="285"/>
    <n v="273"/>
    <x v="10"/>
    <n v="12"/>
    <d v="1899-12-30T00:00:21"/>
    <n v="95.55"/>
    <n v="0.35"/>
    <n v="21"/>
    <d v="1899-12-30T00:02:49"/>
    <n v="768.94999999999993"/>
    <n v="2.8166666666666664"/>
    <n v="169"/>
    <n v="207"/>
    <n v="0.76160000000000005"/>
    <n v="207.91680000000002"/>
  </r>
  <r>
    <n v="1113"/>
    <x v="1112"/>
    <n v="77"/>
    <n v="75"/>
    <x v="7"/>
    <n v="2"/>
    <d v="1899-12-30T00:00:09"/>
    <n v="11.25"/>
    <n v="0.15"/>
    <n v="9"/>
    <d v="1899-12-30T00:02:43"/>
    <n v="203.75"/>
    <n v="2.7166666666666668"/>
    <n v="163"/>
    <n v="69"/>
    <n v="0.92110000000000003"/>
    <n v="69.082499999999996"/>
  </r>
  <r>
    <n v="1114"/>
    <x v="1113"/>
    <n v="332"/>
    <n v="321"/>
    <x v="4"/>
    <n v="11"/>
    <d v="1899-12-30T00:00:17"/>
    <n v="90.95"/>
    <n v="0.28333333333333333"/>
    <n v="17"/>
    <d v="1899-12-30T00:02:58"/>
    <n v="952.30000000000007"/>
    <n v="2.9666666666666668"/>
    <n v="178"/>
    <n v="258"/>
    <n v="0.80659999999999998"/>
    <n v="258.91859999999997"/>
  </r>
  <r>
    <n v="1115"/>
    <x v="1114"/>
    <n v="282"/>
    <n v="266"/>
    <x v="0"/>
    <n v="16"/>
    <d v="1899-12-30T00:00:22"/>
    <n v="97.533333333333331"/>
    <n v="0.36666666666666664"/>
    <n v="22"/>
    <d v="1899-12-30T00:03:10"/>
    <n v="842.33333333333326"/>
    <n v="3.1666666666666665"/>
    <n v="190"/>
    <n v="197"/>
    <n v="0.7429"/>
    <n v="197.6114"/>
  </r>
  <r>
    <n v="1116"/>
    <x v="1115"/>
    <n v="256"/>
    <n v="248"/>
    <x v="4"/>
    <n v="8"/>
    <d v="1899-12-30T00:00:14"/>
    <n v="57.866666666666667"/>
    <n v="0.23333333333333334"/>
    <n v="14"/>
    <d v="1899-12-30T00:03:00"/>
    <n v="744"/>
    <n v="3"/>
    <n v="180"/>
    <n v="204"/>
    <n v="0.82350000000000001"/>
    <n v="204.22800000000001"/>
  </r>
  <r>
    <n v="1117"/>
    <x v="1116"/>
    <n v="177"/>
    <n v="176"/>
    <x v="12"/>
    <n v="1"/>
    <d v="1899-12-30T00:00:12"/>
    <n v="35.200000000000003"/>
    <n v="0.2"/>
    <n v="12"/>
    <d v="1899-12-30T00:02:37"/>
    <n v="460.53333333333336"/>
    <n v="2.6166666666666667"/>
    <n v="157"/>
    <n v="146"/>
    <n v="0.83520000000000005"/>
    <n v="146.99520000000001"/>
  </r>
  <r>
    <n v="1118"/>
    <x v="1117"/>
    <n v="27"/>
    <n v="24"/>
    <x v="8"/>
    <n v="3"/>
    <d v="1899-12-30T00:00:13"/>
    <n v="5.2"/>
    <n v="0.21666666666666667"/>
    <n v="13"/>
    <d v="1899-12-30T00:02:15"/>
    <n v="54"/>
    <n v="2.25"/>
    <n v="135"/>
    <n v="17"/>
    <n v="0.74070000000000003"/>
    <n v="17.776800000000001"/>
  </r>
  <r>
    <n v="1119"/>
    <x v="1118"/>
    <n v="307"/>
    <n v="305"/>
    <x v="12"/>
    <n v="2"/>
    <d v="1899-12-30T00:00:09"/>
    <n v="45.75"/>
    <n v="0.15"/>
    <n v="9"/>
    <d v="1899-12-30T00:03:01"/>
    <n v="920.08333333333337"/>
    <n v="3.0166666666666666"/>
    <n v="181"/>
    <n v="279"/>
    <n v="0.91800000000000004"/>
    <n v="279.99"/>
  </r>
  <r>
    <n v="1120"/>
    <x v="1119"/>
    <n v="587"/>
    <n v="577"/>
    <x v="5"/>
    <n v="10"/>
    <d v="1899-12-30T00:00:10"/>
    <n v="96.166666666666657"/>
    <n v="0.16666666666666666"/>
    <n v="10"/>
    <d v="1899-12-30T00:02:08"/>
    <n v="1230.9333333333334"/>
    <n v="2.1333333333333333"/>
    <n v="128"/>
    <n v="530"/>
    <n v="0.9194"/>
    <n v="530.49379999999996"/>
  </r>
  <r>
    <n v="1121"/>
    <x v="1120"/>
    <n v="270"/>
    <n v="265"/>
    <x v="5"/>
    <n v="5"/>
    <d v="1899-12-30T00:00:07"/>
    <n v="30.916666666666668"/>
    <n v="0.11666666666666667"/>
    <n v="7"/>
    <d v="1899-12-30T00:02:44"/>
    <n v="724.33333333333337"/>
    <n v="2.7333333333333334"/>
    <n v="164"/>
    <n v="243"/>
    <n v="0.91790000000000005"/>
    <n v="243.24350000000001"/>
  </r>
  <r>
    <n v="1122"/>
    <x v="1121"/>
    <n v="307"/>
    <n v="297"/>
    <x v="4"/>
    <n v="10"/>
    <d v="1899-12-30T00:00:14"/>
    <n v="69.3"/>
    <n v="0.23333333333333334"/>
    <n v="14"/>
    <d v="1899-12-30T00:02:59"/>
    <n v="886.05000000000007"/>
    <n v="2.9833333333333334"/>
    <n v="179"/>
    <n v="244"/>
    <n v="0.82240000000000002"/>
    <n v="244.25280000000001"/>
  </r>
  <r>
    <n v="1123"/>
    <x v="1122"/>
    <n v="242"/>
    <n v="238"/>
    <x v="5"/>
    <n v="4"/>
    <d v="1899-12-30T00:00:06"/>
    <n v="23.8"/>
    <n v="0.1"/>
    <n v="6"/>
    <d v="1899-12-30T00:02:42"/>
    <n v="642.6"/>
    <n v="2.7"/>
    <n v="162"/>
    <n v="225"/>
    <n v="0.94630000000000003"/>
    <n v="225.21940000000001"/>
  </r>
  <r>
    <n v="1124"/>
    <x v="1123"/>
    <n v="194"/>
    <n v="182"/>
    <x v="2"/>
    <n v="12"/>
    <d v="1899-12-30T00:00:12"/>
    <n v="36.4"/>
    <n v="0.2"/>
    <n v="12"/>
    <d v="1899-12-30T00:02:57"/>
    <n v="536.9"/>
    <n v="2.95"/>
    <n v="177"/>
    <n v="147"/>
    <n v="0.8115"/>
    <n v="147.69300000000001"/>
  </r>
  <r>
    <n v="1125"/>
    <x v="1124"/>
    <n v="21"/>
    <n v="21"/>
    <x v="3"/>
    <n v="0"/>
    <d v="1899-12-30T00:00:12"/>
    <n v="4.2"/>
    <n v="0.2"/>
    <n v="12"/>
    <d v="1899-12-30T00:03:07"/>
    <n v="65.45"/>
    <n v="3.1166666666666667"/>
    <n v="187"/>
    <n v="19"/>
    <n v="0.90480000000000005"/>
    <n v="19.000800000000002"/>
  </r>
  <r>
    <n v="1126"/>
    <x v="1125"/>
    <n v="291"/>
    <n v="288"/>
    <x v="5"/>
    <n v="3"/>
    <d v="1899-12-30T00:00:07"/>
    <n v="33.6"/>
    <n v="0.11666666666666667"/>
    <n v="7"/>
    <d v="1899-12-30T00:02:46"/>
    <n v="796.8"/>
    <n v="2.7666666666666666"/>
    <n v="166"/>
    <n v="270"/>
    <n v="0.93789999999999996"/>
    <n v="270.11519999999996"/>
  </r>
  <r>
    <n v="1127"/>
    <x v="1126"/>
    <n v="516"/>
    <n v="479"/>
    <x v="6"/>
    <n v="37"/>
    <d v="1899-12-30T00:00:26"/>
    <n v="207.56666666666666"/>
    <n v="0.43333333333333335"/>
    <n v="26"/>
    <d v="1899-12-30T00:02:40"/>
    <n v="1277.3333333333333"/>
    <n v="2.6666666666666665"/>
    <n v="160"/>
    <n v="305"/>
    <n v="0.63800000000000001"/>
    <n v="305.60200000000003"/>
  </r>
  <r>
    <n v="1128"/>
    <x v="1127"/>
    <n v="452"/>
    <n v="447"/>
    <x v="5"/>
    <n v="5"/>
    <d v="1899-12-30T00:00:06"/>
    <n v="44.7"/>
    <n v="0.1"/>
    <n v="6"/>
    <d v="1899-12-30T00:02:04"/>
    <n v="923.80000000000007"/>
    <n v="2.0666666666666669"/>
    <n v="124.00000000000001"/>
    <n v="422"/>
    <n v="0.94440000000000002"/>
    <n v="422.14679999999998"/>
  </r>
  <r>
    <n v="1129"/>
    <x v="1128"/>
    <n v="375"/>
    <n v="375"/>
    <x v="3"/>
    <n v="0"/>
    <d v="1899-12-30T00:00:05"/>
    <n v="31.25"/>
    <n v="8.3333333333333329E-2"/>
    <n v="5"/>
    <d v="1899-12-30T00:02:13"/>
    <n v="831.25"/>
    <n v="2.2166666666666668"/>
    <n v="133"/>
    <n v="361"/>
    <n v="0.96530000000000005"/>
    <n v="361.98750000000001"/>
  </r>
  <r>
    <n v="1130"/>
    <x v="1129"/>
    <n v="306"/>
    <n v="287"/>
    <x v="2"/>
    <n v="19"/>
    <d v="1899-12-30T00:00:19"/>
    <n v="90.883333333333326"/>
    <n v="0.31666666666666665"/>
    <n v="19"/>
    <d v="1899-12-30T00:02:15"/>
    <n v="645.75"/>
    <n v="2.25"/>
    <n v="135"/>
    <n v="219"/>
    <n v="0.76319999999999999"/>
    <n v="219.0384"/>
  </r>
  <r>
    <n v="1131"/>
    <x v="1130"/>
    <n v="241"/>
    <n v="235"/>
    <x v="7"/>
    <n v="6"/>
    <d v="1899-12-30T00:00:15"/>
    <n v="58.75"/>
    <n v="0.25"/>
    <n v="15"/>
    <d v="1899-12-30T00:02:40"/>
    <n v="626.66666666666663"/>
    <n v="2.6666666666666665"/>
    <n v="160"/>
    <n v="188"/>
    <n v="0.80330000000000001"/>
    <n v="188.77549999999999"/>
  </r>
  <r>
    <n v="1132"/>
    <x v="1131"/>
    <n v="34"/>
    <n v="34"/>
    <x v="3"/>
    <n v="0"/>
    <d v="1899-12-30T00:00:18"/>
    <n v="10.199999999999999"/>
    <n v="0.3"/>
    <n v="18"/>
    <d v="1899-12-30T00:03:01"/>
    <n v="102.56666666666666"/>
    <n v="3.0166666666666666"/>
    <n v="181"/>
    <n v="28"/>
    <n v="0.85289999999999999"/>
    <n v="28.9986"/>
  </r>
  <r>
    <n v="1133"/>
    <x v="1132"/>
    <n v="248"/>
    <n v="238"/>
    <x v="10"/>
    <n v="10"/>
    <d v="1899-12-30T00:00:19"/>
    <n v="75.36666666666666"/>
    <n v="0.31666666666666665"/>
    <n v="19"/>
    <d v="1899-12-30T00:02:43"/>
    <n v="646.56666666666672"/>
    <n v="2.7166666666666668"/>
    <n v="163"/>
    <n v="176"/>
    <n v="0.7409"/>
    <n v="176.33420000000001"/>
  </r>
  <r>
    <n v="1134"/>
    <x v="1133"/>
    <n v="323"/>
    <n v="307"/>
    <x v="10"/>
    <n v="16"/>
    <d v="1899-12-30T00:00:13"/>
    <n v="66.516666666666666"/>
    <n v="0.21666666666666667"/>
    <n v="13"/>
    <d v="1899-12-30T00:02:42"/>
    <n v="828.90000000000009"/>
    <n v="2.7"/>
    <n v="162"/>
    <n v="253"/>
    <n v="0.82699999999999996"/>
    <n v="253.88899999999998"/>
  </r>
  <r>
    <n v="1135"/>
    <x v="1134"/>
    <n v="260"/>
    <n v="257"/>
    <x v="5"/>
    <n v="3"/>
    <d v="1899-12-30T00:00:10"/>
    <n v="42.833333333333329"/>
    <n v="0.16666666666666666"/>
    <n v="10"/>
    <d v="1899-12-30T00:02:29"/>
    <n v="638.2166666666667"/>
    <n v="2.4833333333333334"/>
    <n v="149"/>
    <n v="234"/>
    <n v="0.91120000000000001"/>
    <n v="234.17840000000001"/>
  </r>
  <r>
    <n v="1136"/>
    <x v="1135"/>
    <n v="316"/>
    <n v="311"/>
    <x v="5"/>
    <n v="5"/>
    <d v="1899-12-30T00:00:10"/>
    <n v="51.833333333333329"/>
    <n v="0.16666666666666666"/>
    <n v="10"/>
    <d v="1899-12-30T00:02:41"/>
    <n v="834.51666666666677"/>
    <n v="2.6833333333333336"/>
    <n v="161"/>
    <n v="272"/>
    <n v="0.87539999999999996"/>
    <n v="272.24939999999998"/>
  </r>
  <r>
    <n v="1137"/>
    <x v="1136"/>
    <n v="60"/>
    <n v="59"/>
    <x v="5"/>
    <n v="1"/>
    <d v="1899-12-30T00:00:03"/>
    <n v="2.95"/>
    <n v="0.05"/>
    <n v="3"/>
    <d v="1899-12-30T00:02:41"/>
    <n v="158.31666666666669"/>
    <n v="2.6833333333333336"/>
    <n v="161"/>
    <n v="58"/>
    <n v="0.98329999999999995"/>
    <n v="58.014699999999998"/>
  </r>
  <r>
    <n v="1138"/>
    <x v="1137"/>
    <n v="267"/>
    <n v="251"/>
    <x v="0"/>
    <n v="16"/>
    <d v="1899-12-30T00:00:19"/>
    <n v="79.483333333333334"/>
    <n v="0.31666666666666665"/>
    <n v="19"/>
    <d v="1899-12-30T00:02:27"/>
    <n v="614.95000000000005"/>
    <n v="2.4500000000000002"/>
    <n v="147"/>
    <n v="189"/>
    <n v="0.75560000000000005"/>
    <n v="189.65560000000002"/>
  </r>
  <r>
    <n v="1139"/>
    <x v="1138"/>
    <n v="30"/>
    <n v="29"/>
    <x v="4"/>
    <n v="1"/>
    <d v="1899-12-30T00:00:08"/>
    <n v="3.8666666666666667"/>
    <n v="0.13333333333333333"/>
    <n v="8"/>
    <d v="1899-12-30T00:02:00"/>
    <n v="58"/>
    <n v="2"/>
    <n v="120"/>
    <n v="26"/>
    <n v="0.93100000000000005"/>
    <n v="26.999000000000002"/>
  </r>
  <r>
    <n v="1140"/>
    <x v="1139"/>
    <n v="247"/>
    <n v="238"/>
    <x v="4"/>
    <n v="9"/>
    <d v="1899-12-30T00:00:13"/>
    <n v="51.56666666666667"/>
    <n v="0.21666666666666667"/>
    <n v="13"/>
    <d v="1899-12-30T00:02:35"/>
    <n v="614.83333333333337"/>
    <n v="2.5833333333333335"/>
    <n v="155"/>
    <n v="198"/>
    <n v="0.83330000000000004"/>
    <n v="198.3254"/>
  </r>
  <r>
    <n v="1141"/>
    <x v="1140"/>
    <n v="376"/>
    <n v="365"/>
    <x v="7"/>
    <n v="11"/>
    <d v="1899-12-30T00:00:15"/>
    <n v="91.25"/>
    <n v="0.25"/>
    <n v="15"/>
    <d v="1899-12-30T00:03:00"/>
    <n v="1095"/>
    <n v="3"/>
    <n v="180"/>
    <n v="298"/>
    <n v="0.81769999999999998"/>
    <n v="298.46049999999997"/>
  </r>
  <r>
    <n v="1142"/>
    <x v="1141"/>
    <n v="316"/>
    <n v="306"/>
    <x v="4"/>
    <n v="10"/>
    <d v="1899-12-30T00:00:13"/>
    <n v="66.3"/>
    <n v="0.21666666666666667"/>
    <n v="13"/>
    <d v="1899-12-30T00:02:55"/>
    <n v="892.5"/>
    <n v="2.9166666666666665"/>
    <n v="175"/>
    <n v="253"/>
    <n v="0.82799999999999996"/>
    <n v="253.36799999999999"/>
  </r>
  <r>
    <n v="1143"/>
    <x v="1142"/>
    <n v="310"/>
    <n v="304"/>
    <x v="5"/>
    <n v="6"/>
    <d v="1899-12-30T00:00:07"/>
    <n v="35.466666666666669"/>
    <n v="0.11666666666666667"/>
    <n v="7"/>
    <d v="1899-12-30T00:02:51"/>
    <n v="866.4"/>
    <n v="2.85"/>
    <n v="171"/>
    <n v="280"/>
    <n v="0.92159999999999997"/>
    <n v="280.16640000000001"/>
  </r>
  <r>
    <n v="1144"/>
    <x v="1143"/>
    <n v="340"/>
    <n v="327"/>
    <x v="4"/>
    <n v="13"/>
    <d v="1899-12-30T00:00:23"/>
    <n v="125.35000000000001"/>
    <n v="0.38333333333333336"/>
    <n v="23"/>
    <d v="1899-12-30T00:02:55"/>
    <n v="953.75"/>
    <n v="2.9166666666666665"/>
    <n v="175"/>
    <n v="233"/>
    <n v="0.71340000000000003"/>
    <n v="233.2818"/>
  </r>
  <r>
    <n v="1145"/>
    <x v="1144"/>
    <n v="306"/>
    <n v="289"/>
    <x v="0"/>
    <n v="17"/>
    <d v="1899-12-30T00:00:24"/>
    <n v="115.60000000000001"/>
    <n v="0.4"/>
    <n v="24"/>
    <d v="1899-12-30T00:02:43"/>
    <n v="785.11666666666667"/>
    <n v="2.7166666666666668"/>
    <n v="163"/>
    <n v="201"/>
    <n v="0.69740000000000002"/>
    <n v="201.54859999999999"/>
  </r>
  <r>
    <n v="1146"/>
    <x v="1145"/>
    <n v="40"/>
    <n v="40"/>
    <x v="3"/>
    <n v="0"/>
    <d v="1899-12-30T00:00:05"/>
    <n v="3.333333333333333"/>
    <n v="8.3333333333333329E-2"/>
    <n v="5"/>
    <d v="1899-12-30T00:02:46"/>
    <n v="110.66666666666666"/>
    <n v="2.7666666666666666"/>
    <n v="166"/>
    <n v="39"/>
    <n v="0.97499999999999998"/>
    <n v="39"/>
  </r>
  <r>
    <n v="1147"/>
    <x v="1146"/>
    <n v="378"/>
    <n v="370"/>
    <x v="7"/>
    <n v="8"/>
    <d v="1899-12-30T00:00:11"/>
    <n v="67.833333333333329"/>
    <n v="0.18333333333333332"/>
    <n v="11"/>
    <d v="1899-12-30T00:02:52"/>
    <n v="1060.6666666666667"/>
    <n v="2.8666666666666667"/>
    <n v="172"/>
    <n v="320"/>
    <n v="0.86699999999999999"/>
    <n v="320.79000000000002"/>
  </r>
  <r>
    <n v="1148"/>
    <x v="1147"/>
    <n v="424"/>
    <n v="416"/>
    <x v="5"/>
    <n v="8"/>
    <d v="1899-12-30T00:00:14"/>
    <n v="97.066666666666663"/>
    <n v="0.23333333333333334"/>
    <n v="14"/>
    <d v="1899-12-30T00:02:54"/>
    <n v="1206.3999999999999"/>
    <n v="2.9"/>
    <n v="174"/>
    <n v="348"/>
    <n v="0.83889999999999998"/>
    <n v="348.98239999999998"/>
  </r>
  <r>
    <n v="1149"/>
    <x v="1148"/>
    <n v="356"/>
    <n v="353"/>
    <x v="12"/>
    <n v="3"/>
    <d v="1899-12-30T00:00:05"/>
    <n v="29.416666666666664"/>
    <n v="8.3333333333333329E-2"/>
    <n v="5"/>
    <d v="1899-12-30T00:02:48"/>
    <n v="988.4"/>
    <n v="2.8"/>
    <n v="168"/>
    <n v="343"/>
    <n v="0.97170000000000001"/>
    <n v="343.01010000000002"/>
  </r>
  <r>
    <n v="1150"/>
    <x v="1149"/>
    <n v="320"/>
    <n v="308"/>
    <x v="4"/>
    <n v="12"/>
    <d v="1899-12-30T00:00:10"/>
    <n v="51.333333333333329"/>
    <n v="0.16666666666666666"/>
    <n v="10"/>
    <d v="1899-12-30T00:02:33"/>
    <n v="785.4"/>
    <n v="2.5499999999999998"/>
    <n v="153"/>
    <n v="274"/>
    <n v="0.88990000000000002"/>
    <n v="274.08920000000001"/>
  </r>
  <r>
    <n v="1151"/>
    <x v="1150"/>
    <n v="351"/>
    <n v="341"/>
    <x v="7"/>
    <n v="10"/>
    <d v="1899-12-30T00:00:11"/>
    <n v="62.516666666666666"/>
    <n v="0.18333333333333332"/>
    <n v="11"/>
    <d v="1899-12-30T00:02:50"/>
    <n v="966.16666666666674"/>
    <n v="2.8333333333333335"/>
    <n v="170"/>
    <n v="294"/>
    <n v="0.86250000000000004"/>
    <n v="294.11250000000001"/>
  </r>
  <r>
    <n v="1152"/>
    <x v="1151"/>
    <n v="85"/>
    <n v="83"/>
    <x v="7"/>
    <n v="2"/>
    <d v="1899-12-30T00:00:13"/>
    <n v="17.983333333333334"/>
    <n v="0.21666666666666667"/>
    <n v="13"/>
    <d v="1899-12-30T00:02:47"/>
    <n v="231.01666666666665"/>
    <n v="2.7833333333333332"/>
    <n v="167"/>
    <n v="71"/>
    <n v="0.85880000000000001"/>
    <n v="71.2804"/>
  </r>
  <r>
    <n v="1153"/>
    <x v="1152"/>
    <n v="44"/>
    <n v="43"/>
    <x v="7"/>
    <n v="1"/>
    <d v="1899-12-30T00:00:09"/>
    <n v="6.45"/>
    <n v="0.15"/>
    <n v="9"/>
    <d v="1899-12-30T00:02:33"/>
    <n v="109.64999999999999"/>
    <n v="2.5499999999999998"/>
    <n v="153"/>
    <n v="36"/>
    <n v="0.84089999999999998"/>
    <n v="36.158699999999996"/>
  </r>
  <r>
    <n v="1154"/>
    <x v="1153"/>
    <n v="388"/>
    <n v="363"/>
    <x v="2"/>
    <n v="25"/>
    <d v="1899-12-30T00:00:19"/>
    <n v="114.94999999999999"/>
    <n v="0.31666666666666665"/>
    <n v="19"/>
    <d v="1899-12-30T00:03:06"/>
    <n v="1125.3"/>
    <n v="3.1"/>
    <n v="186"/>
    <n v="272"/>
    <n v="0.752"/>
    <n v="272.976"/>
  </r>
  <r>
    <n v="1155"/>
    <x v="1154"/>
    <n v="283"/>
    <n v="280"/>
    <x v="5"/>
    <n v="3"/>
    <d v="1899-12-30T00:00:06"/>
    <n v="28"/>
    <n v="0.1"/>
    <n v="6"/>
    <d v="1899-12-30T00:03:05"/>
    <n v="863.33333333333337"/>
    <n v="3.0833333333333335"/>
    <n v="185"/>
    <n v="268"/>
    <n v="0.95730000000000004"/>
    <n v="268.04399999999998"/>
  </r>
  <r>
    <n v="1156"/>
    <x v="1155"/>
    <n v="241"/>
    <n v="238"/>
    <x v="5"/>
    <n v="3"/>
    <d v="1899-12-30T00:00:05"/>
    <n v="19.833333333333332"/>
    <n v="8.3333333333333329E-2"/>
    <n v="5"/>
    <d v="1899-12-30T00:02:55"/>
    <n v="694.16666666666663"/>
    <n v="2.9166666666666665"/>
    <n v="175"/>
    <n v="230"/>
    <n v="0.9667"/>
    <n v="230.0746"/>
  </r>
  <r>
    <n v="1157"/>
    <x v="1156"/>
    <n v="280"/>
    <n v="273"/>
    <x v="7"/>
    <n v="7"/>
    <d v="1899-12-30T00:00:09"/>
    <n v="40.949999999999996"/>
    <n v="0.15"/>
    <n v="9"/>
    <d v="1899-12-30T00:02:46"/>
    <n v="755.3"/>
    <n v="2.7666666666666666"/>
    <n v="166"/>
    <n v="240"/>
    <n v="0.8821"/>
    <n v="240.8133"/>
  </r>
  <r>
    <n v="1158"/>
    <x v="1157"/>
    <n v="294"/>
    <n v="273"/>
    <x v="6"/>
    <n v="21"/>
    <d v="1899-12-30T00:00:26"/>
    <n v="118.3"/>
    <n v="0.43333333333333335"/>
    <n v="26"/>
    <d v="1899-12-30T00:03:16"/>
    <n v="891.8"/>
    <n v="3.2666666666666666"/>
    <n v="196"/>
    <n v="168"/>
    <n v="0.61770000000000003"/>
    <n v="168.63210000000001"/>
  </r>
  <r>
    <n v="1159"/>
    <x v="1158"/>
    <n v="290"/>
    <n v="246"/>
    <x v="16"/>
    <n v="44"/>
    <d v="1899-12-30T00:00:27"/>
    <n v="110.7"/>
    <n v="0.45"/>
    <n v="27"/>
    <d v="1899-12-30T00:03:04"/>
    <n v="754.40000000000009"/>
    <n v="3.0666666666666669"/>
    <n v="184"/>
    <n v="157"/>
    <n v="0.63859999999999995"/>
    <n v="157.09559999999999"/>
  </r>
  <r>
    <n v="1160"/>
    <x v="1159"/>
    <n v="32"/>
    <n v="32"/>
    <x v="3"/>
    <n v="0"/>
    <d v="1899-12-30T00:00:06"/>
    <n v="3.2"/>
    <n v="0.1"/>
    <n v="6"/>
    <d v="1899-12-30T00:02:43"/>
    <n v="86.933333333333337"/>
    <n v="2.7166666666666668"/>
    <n v="163"/>
    <n v="31"/>
    <n v="0.96879999999999999"/>
    <n v="31.0016"/>
  </r>
  <r>
    <n v="1161"/>
    <x v="1160"/>
    <n v="270"/>
    <n v="263"/>
    <x v="7"/>
    <n v="7"/>
    <d v="1899-12-30T00:00:12"/>
    <n v="52.6"/>
    <n v="0.2"/>
    <n v="12"/>
    <d v="1899-12-30T00:02:52"/>
    <n v="753.93333333333339"/>
    <n v="2.8666666666666667"/>
    <n v="172"/>
    <n v="224"/>
    <n v="0.85450000000000004"/>
    <n v="224.73350000000002"/>
  </r>
  <r>
    <n v="1162"/>
    <x v="1161"/>
    <n v="212"/>
    <n v="208"/>
    <x v="5"/>
    <n v="4"/>
    <d v="1899-12-30T00:00:08"/>
    <n v="27.733333333333334"/>
    <n v="0.13333333333333333"/>
    <n v="8"/>
    <d v="1899-12-30T00:02:43"/>
    <n v="565.06666666666672"/>
    <n v="2.7166666666666668"/>
    <n v="163"/>
    <n v="189"/>
    <n v="0.91"/>
    <n v="189.28"/>
  </r>
  <r>
    <n v="1163"/>
    <x v="1162"/>
    <n v="246"/>
    <n v="238"/>
    <x v="4"/>
    <n v="8"/>
    <d v="1899-12-30T00:00:07"/>
    <n v="27.766666666666666"/>
    <n v="0.11666666666666667"/>
    <n v="7"/>
    <d v="1899-12-30T00:02:53"/>
    <n v="686.23333333333335"/>
    <n v="2.8833333333333333"/>
    <n v="173"/>
    <n v="218"/>
    <n v="0.91839999999999999"/>
    <n v="218.57919999999999"/>
  </r>
  <r>
    <n v="1164"/>
    <x v="1163"/>
    <n v="194"/>
    <n v="190"/>
    <x v="7"/>
    <n v="4"/>
    <d v="1899-12-30T00:00:08"/>
    <n v="25.333333333333332"/>
    <n v="0.13333333333333333"/>
    <n v="8"/>
    <d v="1899-12-30T00:02:43"/>
    <n v="516.16666666666674"/>
    <n v="2.7166666666666668"/>
    <n v="163"/>
    <n v="176"/>
    <n v="0.92779999999999996"/>
    <n v="176.28199999999998"/>
  </r>
  <r>
    <n v="1165"/>
    <x v="1164"/>
    <n v="179"/>
    <n v="176"/>
    <x v="5"/>
    <n v="3"/>
    <d v="1899-12-30T00:00:06"/>
    <n v="17.600000000000001"/>
    <n v="0.1"/>
    <n v="6"/>
    <d v="1899-12-30T00:02:44"/>
    <n v="481.06666666666666"/>
    <n v="2.7333333333333334"/>
    <n v="164"/>
    <n v="169"/>
    <n v="0.96050000000000002"/>
    <n v="169.048"/>
  </r>
  <r>
    <n v="1166"/>
    <x v="1165"/>
    <n v="67"/>
    <n v="65"/>
    <x v="7"/>
    <n v="2"/>
    <d v="1899-12-30T00:00:09"/>
    <n v="9.75"/>
    <n v="0.15"/>
    <n v="9"/>
    <d v="1899-12-30T00:02:36"/>
    <n v="169"/>
    <n v="2.6"/>
    <n v="156"/>
    <n v="58"/>
    <n v="0.89549999999999996"/>
    <n v="58.207499999999996"/>
  </r>
  <r>
    <n v="1167"/>
    <x v="1166"/>
    <n v="27"/>
    <n v="27"/>
    <x v="3"/>
    <n v="0"/>
    <d v="1899-12-30T00:00:09"/>
    <n v="4.05"/>
    <n v="0.15"/>
    <n v="9"/>
    <d v="1899-12-30T00:02:27"/>
    <n v="66.150000000000006"/>
    <n v="2.4500000000000002"/>
    <n v="147"/>
    <n v="24"/>
    <n v="0.88890000000000002"/>
    <n v="24.000299999999999"/>
  </r>
  <r>
    <n v="1168"/>
    <x v="1167"/>
    <n v="190"/>
    <n v="183"/>
    <x v="4"/>
    <n v="7"/>
    <d v="1899-12-30T00:00:09"/>
    <n v="27.45"/>
    <n v="0.15"/>
    <n v="9"/>
    <d v="1899-12-30T00:02:38"/>
    <n v="481.9"/>
    <n v="2.6333333333333333"/>
    <n v="158"/>
    <n v="160"/>
    <n v="0.87829999999999997"/>
    <n v="160.72889999999998"/>
  </r>
  <r>
    <n v="1169"/>
    <x v="1168"/>
    <n v="213"/>
    <n v="205"/>
    <x v="4"/>
    <n v="8"/>
    <d v="1899-12-30T00:00:10"/>
    <n v="34.166666666666664"/>
    <n v="0.16666666666666666"/>
    <n v="10"/>
    <d v="1899-12-30T00:02:38"/>
    <n v="539.83333333333337"/>
    <n v="2.6333333333333333"/>
    <n v="158"/>
    <n v="180"/>
    <n v="0.88149999999999995"/>
    <n v="180.70749999999998"/>
  </r>
  <r>
    <n v="1170"/>
    <x v="1169"/>
    <n v="208"/>
    <n v="205"/>
    <x v="5"/>
    <n v="3"/>
    <d v="1899-12-30T00:00:04"/>
    <n v="13.666666666666666"/>
    <n v="6.6666666666666666E-2"/>
    <n v="4"/>
    <d v="1899-12-30T00:02:36"/>
    <n v="533"/>
    <n v="2.6"/>
    <n v="156"/>
    <n v="199"/>
    <n v="0.97089999999999999"/>
    <n v="199.03450000000001"/>
  </r>
  <r>
    <n v="1171"/>
    <x v="1170"/>
    <n v="166"/>
    <n v="165"/>
    <x v="12"/>
    <n v="1"/>
    <d v="1899-12-30T00:00:08"/>
    <n v="22"/>
    <n v="0.13333333333333333"/>
    <n v="8"/>
    <d v="1899-12-30T00:02:41"/>
    <n v="442.75000000000006"/>
    <n v="2.6833333333333336"/>
    <n v="161"/>
    <n v="153"/>
    <n v="0.92769999999999997"/>
    <n v="153.07049999999998"/>
  </r>
  <r>
    <n v="1172"/>
    <x v="1171"/>
    <n v="169"/>
    <n v="161"/>
    <x v="10"/>
    <n v="8"/>
    <d v="1899-12-30T00:00:18"/>
    <n v="48.3"/>
    <n v="0.3"/>
    <n v="18"/>
    <d v="1899-12-30T00:02:52"/>
    <n v="461.53333333333336"/>
    <n v="2.8666666666666667"/>
    <n v="172"/>
    <n v="119"/>
    <n v="0.73960000000000004"/>
    <n v="119.07560000000001"/>
  </r>
  <r>
    <n v="1173"/>
    <x v="1172"/>
    <n v="175"/>
    <n v="167"/>
    <x v="10"/>
    <n v="8"/>
    <d v="1899-12-30T00:00:10"/>
    <n v="27.833333333333332"/>
    <n v="0.16666666666666666"/>
    <n v="10"/>
    <d v="1899-12-30T00:02:29"/>
    <n v="414.7166666666667"/>
    <n v="2.4833333333333334"/>
    <n v="149"/>
    <n v="144"/>
    <n v="0.8629"/>
    <n v="144.10429999999999"/>
  </r>
  <r>
    <n v="1174"/>
    <x v="1173"/>
    <n v="43"/>
    <n v="43"/>
    <x v="3"/>
    <n v="0"/>
    <d v="1899-12-30T00:00:04"/>
    <n v="2.8666666666666667"/>
    <n v="6.6666666666666666E-2"/>
    <n v="4"/>
    <d v="1899-12-30T00:02:42"/>
    <n v="116.10000000000001"/>
    <n v="2.7"/>
    <n v="162"/>
    <n v="43"/>
    <n v="1"/>
    <n v="43"/>
  </r>
  <r>
    <n v="1175"/>
    <x v="1174"/>
    <n v="24"/>
    <n v="24"/>
    <x v="3"/>
    <n v="0"/>
    <d v="1899-12-30T00:00:03"/>
    <n v="1.2000000000000002"/>
    <n v="0.05"/>
    <n v="3"/>
    <d v="1899-12-30T00:02:46"/>
    <n v="66.400000000000006"/>
    <n v="2.7666666666666666"/>
    <n v="166"/>
    <n v="24"/>
    <n v="1"/>
    <n v="24"/>
  </r>
  <r>
    <n v="1176"/>
    <x v="1175"/>
    <n v="26"/>
    <n v="26"/>
    <x v="3"/>
    <n v="0"/>
    <d v="1899-12-30T00:00:05"/>
    <n v="2.1666666666666665"/>
    <n v="8.3333333333333329E-2"/>
    <n v="5"/>
    <d v="1899-12-30T00:02:52"/>
    <n v="74.533333333333331"/>
    <n v="2.8666666666666667"/>
    <n v="172"/>
    <n v="24"/>
    <n v="0.92310000000000003"/>
    <n v="24.000600000000002"/>
  </r>
  <r>
    <n v="1177"/>
    <x v="1176"/>
    <n v="42"/>
    <n v="41"/>
    <x v="7"/>
    <n v="1"/>
    <d v="1899-12-30T00:00:03"/>
    <n v="2.0500000000000003"/>
    <n v="0.05"/>
    <n v="3"/>
    <d v="1899-12-30T00:02:41"/>
    <n v="110.01666666666668"/>
    <n v="2.6833333333333336"/>
    <n v="161"/>
    <n v="41"/>
    <n v="1"/>
    <n v="41"/>
  </r>
  <r>
    <n v="1178"/>
    <x v="1177"/>
    <n v="37"/>
    <n v="36"/>
    <x v="7"/>
    <n v="1"/>
    <d v="1899-12-30T00:00:05"/>
    <n v="3"/>
    <n v="8.3333333333333329E-2"/>
    <n v="5"/>
    <d v="1899-12-30T00:02:24"/>
    <n v="86.399999999999991"/>
    <n v="2.4"/>
    <n v="144"/>
    <n v="34"/>
    <n v="0.94589999999999996"/>
    <n v="34.052399999999999"/>
  </r>
  <r>
    <n v="1179"/>
    <x v="1178"/>
    <n v="60"/>
    <n v="60"/>
    <x v="3"/>
    <n v="0"/>
    <d v="1899-12-30T00:00:05"/>
    <n v="5"/>
    <n v="8.3333333333333329E-2"/>
    <n v="5"/>
    <d v="1899-12-30T00:03:07"/>
    <n v="187"/>
    <n v="3.1166666666666667"/>
    <n v="187"/>
    <n v="58"/>
    <n v="0.9667"/>
    <n v="58.002000000000002"/>
  </r>
  <r>
    <n v="1180"/>
    <x v="1179"/>
    <n v="82"/>
    <n v="81"/>
    <x v="5"/>
    <n v="1"/>
    <d v="1899-12-30T00:00:03"/>
    <n v="4.05"/>
    <n v="0.05"/>
    <n v="3"/>
    <d v="1899-12-30T00:02:24"/>
    <n v="194.4"/>
    <n v="2.4"/>
    <n v="144"/>
    <n v="79"/>
    <n v="0.97560000000000002"/>
    <n v="79.023600000000002"/>
  </r>
  <r>
    <n v="1181"/>
    <x v="1180"/>
    <n v="31"/>
    <n v="31"/>
    <x v="3"/>
    <n v="0"/>
    <d v="1899-12-30T00:00:06"/>
    <n v="3.1"/>
    <n v="0.1"/>
    <n v="6"/>
    <d v="1899-12-30T00:02:20"/>
    <n v="72.333333333333343"/>
    <n v="2.3333333333333335"/>
    <n v="140"/>
    <n v="29"/>
    <n v="0.9355"/>
    <n v="29.000499999999999"/>
  </r>
  <r>
    <n v="1182"/>
    <x v="1181"/>
    <n v="178"/>
    <n v="171"/>
    <x v="4"/>
    <n v="7"/>
    <d v="1899-12-30T00:00:16"/>
    <n v="45.6"/>
    <n v="0.26666666666666666"/>
    <n v="16"/>
    <d v="1899-12-30T00:02:43"/>
    <n v="464.55"/>
    <n v="2.7166666666666668"/>
    <n v="163"/>
    <n v="130"/>
    <n v="0.76139999999999997"/>
    <n v="130.1994"/>
  </r>
  <r>
    <n v="1183"/>
    <x v="1182"/>
    <n v="183"/>
    <n v="175"/>
    <x v="10"/>
    <n v="8"/>
    <d v="1899-12-30T00:00:13"/>
    <n v="37.916666666666671"/>
    <n v="0.21666666666666667"/>
    <n v="13"/>
    <d v="1899-12-30T00:02:27"/>
    <n v="428.75000000000006"/>
    <n v="2.4500000000000002"/>
    <n v="147"/>
    <n v="149"/>
    <n v="0.85560000000000003"/>
    <n v="149.73000000000002"/>
  </r>
  <r>
    <n v="1184"/>
    <x v="1183"/>
    <n v="39"/>
    <n v="37"/>
    <x v="0"/>
    <n v="2"/>
    <d v="1899-12-30T00:00:03"/>
    <n v="1.85"/>
    <n v="0.05"/>
    <n v="3"/>
    <d v="1899-12-30T00:02:53"/>
    <n v="106.68333333333334"/>
    <n v="2.8833333333333333"/>
    <n v="173"/>
    <n v="36"/>
    <n v="0.97370000000000001"/>
    <n v="36.026899999999998"/>
  </r>
  <r>
    <n v="1185"/>
    <x v="1184"/>
    <n v="170"/>
    <n v="167"/>
    <x v="5"/>
    <n v="3"/>
    <d v="1899-12-30T00:00:12"/>
    <n v="33.4"/>
    <n v="0.2"/>
    <n v="12"/>
    <d v="1899-12-30T00:02:24"/>
    <n v="400.8"/>
    <n v="2.4"/>
    <n v="144"/>
    <n v="142"/>
    <n v="0.85289999999999999"/>
    <n v="142.43430000000001"/>
  </r>
  <r>
    <n v="1186"/>
    <x v="1185"/>
    <n v="180"/>
    <n v="168"/>
    <x v="2"/>
    <n v="12"/>
    <d v="1899-12-30T00:00:12"/>
    <n v="33.6"/>
    <n v="0.2"/>
    <n v="12"/>
    <d v="1899-12-30T00:02:46"/>
    <n v="464.8"/>
    <n v="2.7666666666666666"/>
    <n v="166"/>
    <n v="139"/>
    <n v="0.83150000000000002"/>
    <n v="139.69200000000001"/>
  </r>
  <r>
    <n v="1187"/>
    <x v="1186"/>
    <n v="24"/>
    <n v="24"/>
    <x v="3"/>
    <n v="0"/>
    <d v="1899-12-30T00:00:04"/>
    <n v="1.6"/>
    <n v="6.6666666666666666E-2"/>
    <n v="4"/>
    <d v="1899-12-30T00:02:36"/>
    <n v="62.400000000000006"/>
    <n v="2.6"/>
    <n v="156"/>
    <n v="24"/>
    <n v="1"/>
    <n v="24"/>
  </r>
  <r>
    <n v="1188"/>
    <x v="1187"/>
    <n v="7"/>
    <n v="7"/>
    <x v="3"/>
    <n v="0"/>
    <d v="1899-12-30T00:00:33"/>
    <n v="3.8500000000000005"/>
    <n v="0.55000000000000004"/>
    <n v="33"/>
    <d v="1899-12-30T00:02:39"/>
    <n v="18.55"/>
    <n v="2.65"/>
    <n v="159"/>
    <n v="3"/>
    <n v="0.42859999999999998"/>
    <n v="3.0002"/>
  </r>
  <r>
    <n v="1189"/>
    <x v="1188"/>
    <n v="181"/>
    <n v="181"/>
    <x v="3"/>
    <n v="0"/>
    <d v="1899-12-30T00:00:12"/>
    <n v="36.200000000000003"/>
    <n v="0.2"/>
    <n v="12"/>
    <d v="1899-12-30T00:02:47"/>
    <n v="503.7833333333333"/>
    <n v="2.7833333333333332"/>
    <n v="167"/>
    <n v="159"/>
    <n v="0.87849999999999995"/>
    <n v="159.0085"/>
  </r>
  <r>
    <n v="1190"/>
    <x v="1189"/>
    <n v="209"/>
    <n v="206"/>
    <x v="5"/>
    <n v="3"/>
    <d v="1899-12-30T00:00:05"/>
    <n v="17.166666666666664"/>
    <n v="8.3333333333333329E-2"/>
    <n v="5"/>
    <d v="1899-12-30T00:02:42"/>
    <n v="556.20000000000005"/>
    <n v="2.7"/>
    <n v="162"/>
    <n v="196"/>
    <n v="0.95169999999999999"/>
    <n v="196.05019999999999"/>
  </r>
  <r>
    <n v="1191"/>
    <x v="1190"/>
    <n v="180"/>
    <n v="179"/>
    <x v="12"/>
    <n v="1"/>
    <d v="1899-12-30T00:00:04"/>
    <n v="11.933333333333334"/>
    <n v="6.6666666666666666E-2"/>
    <n v="4"/>
    <d v="1899-12-30T00:02:28"/>
    <n v="441.53333333333336"/>
    <n v="2.4666666666666668"/>
    <n v="148"/>
    <n v="174"/>
    <n v="0.97209999999999996"/>
    <n v="174.0059"/>
  </r>
  <r>
    <n v="1192"/>
    <x v="1191"/>
    <n v="221"/>
    <n v="203"/>
    <x v="1"/>
    <n v="18"/>
    <d v="1899-12-30T00:00:12"/>
    <n v="40.6"/>
    <n v="0.2"/>
    <n v="12"/>
    <d v="1899-12-30T00:02:43"/>
    <n v="551.48333333333335"/>
    <n v="2.7166666666666668"/>
    <n v="163"/>
    <n v="177"/>
    <n v="0.87319999999999998"/>
    <n v="177.25960000000001"/>
  </r>
  <r>
    <n v="1193"/>
    <x v="1192"/>
    <n v="254"/>
    <n v="248"/>
    <x v="7"/>
    <n v="6"/>
    <d v="1899-12-30T00:00:10"/>
    <n v="41.333333333333329"/>
    <n v="0.16666666666666666"/>
    <n v="10"/>
    <d v="1899-12-30T00:02:48"/>
    <n v="694.4"/>
    <n v="2.8"/>
    <n v="168"/>
    <n v="225"/>
    <n v="0.90869999999999995"/>
    <n v="225.35759999999999"/>
  </r>
  <r>
    <n v="1194"/>
    <x v="1193"/>
    <n v="627"/>
    <n v="577"/>
    <x v="6"/>
    <n v="50"/>
    <d v="1899-12-30T00:00:41"/>
    <n v="394.28333333333336"/>
    <n v="0.68333333333333335"/>
    <n v="41"/>
    <d v="1899-12-30T00:02:39"/>
    <n v="1529.05"/>
    <n v="2.65"/>
    <n v="159"/>
    <n v="275"/>
    <n v="0.47810000000000002"/>
    <n v="275.86369999999999"/>
  </r>
  <r>
    <n v="1195"/>
    <x v="1194"/>
    <n v="167"/>
    <n v="159"/>
    <x v="10"/>
    <n v="8"/>
    <d v="1899-12-30T00:00:18"/>
    <n v="47.699999999999996"/>
    <n v="0.3"/>
    <n v="18"/>
    <d v="1899-12-30T00:03:10"/>
    <n v="503.5"/>
    <n v="3.1666666666666665"/>
    <n v="190"/>
    <n v="120"/>
    <n v="0.76049999999999995"/>
    <n v="120.9195"/>
  </r>
  <r>
    <n v="1196"/>
    <x v="1195"/>
    <n v="599"/>
    <n v="554"/>
    <x v="6"/>
    <n v="45"/>
    <d v="1899-12-30T00:00:25"/>
    <n v="230.83333333333334"/>
    <n v="0.41666666666666669"/>
    <n v="25"/>
    <d v="1899-12-30T00:02:35"/>
    <n v="1431.1666666666667"/>
    <n v="2.5833333333333335"/>
    <n v="155"/>
    <n v="352"/>
    <n v="0.63560000000000005"/>
    <n v="352.12240000000003"/>
  </r>
  <r>
    <n v="1197"/>
    <x v="1196"/>
    <n v="304"/>
    <n v="300"/>
    <x v="5"/>
    <n v="4"/>
    <d v="1899-12-30T00:00:07"/>
    <n v="35"/>
    <n v="0.11666666666666667"/>
    <n v="7"/>
    <d v="1899-12-30T00:02:35"/>
    <n v="775"/>
    <n v="2.5833333333333335"/>
    <n v="155"/>
    <n v="277"/>
    <n v="0.92410000000000003"/>
    <n v="277.23"/>
  </r>
  <r>
    <n v="1198"/>
    <x v="1197"/>
    <n v="267"/>
    <n v="260"/>
    <x v="7"/>
    <n v="7"/>
    <d v="1899-12-30T00:00:08"/>
    <n v="34.666666666666664"/>
    <n v="0.13333333333333333"/>
    <n v="8"/>
    <d v="1899-12-30T00:02:56"/>
    <n v="762.66666666666674"/>
    <n v="2.9333333333333336"/>
    <n v="176"/>
    <n v="236"/>
    <n v="0.90910000000000002"/>
    <n v="236.36600000000001"/>
  </r>
  <r>
    <n v="1199"/>
    <x v="1198"/>
    <n v="286"/>
    <n v="281"/>
    <x v="5"/>
    <n v="5"/>
    <d v="1899-12-30T00:00:11"/>
    <n v="51.516666666666666"/>
    <n v="0.18333333333333332"/>
    <n v="11"/>
    <d v="1899-12-30T00:02:40"/>
    <n v="749.33333333333326"/>
    <n v="2.6666666666666665"/>
    <n v="160"/>
    <n v="244"/>
    <n v="0.86970000000000003"/>
    <n v="244.38570000000001"/>
  </r>
  <r>
    <n v="1200"/>
    <x v="1199"/>
    <n v="196"/>
    <n v="192"/>
    <x v="7"/>
    <n v="4"/>
    <d v="1899-12-30T00:00:13"/>
    <n v="41.6"/>
    <n v="0.21666666666666667"/>
    <n v="13"/>
    <d v="1899-12-30T00:02:43"/>
    <n v="521.6"/>
    <n v="2.7166666666666668"/>
    <n v="163"/>
    <n v="164"/>
    <n v="0.85640000000000005"/>
    <n v="164.42880000000002"/>
  </r>
  <r>
    <n v="1201"/>
    <x v="1200"/>
    <n v="191"/>
    <n v="189"/>
    <x v="5"/>
    <n v="2"/>
    <d v="1899-12-30T00:00:11"/>
    <n v="34.65"/>
    <n v="0.18333333333333332"/>
    <n v="11"/>
    <d v="1899-12-30T00:03:00"/>
    <n v="567"/>
    <n v="3"/>
    <n v="180"/>
    <n v="167"/>
    <n v="0.88419999999999999"/>
    <n v="167.1138"/>
  </r>
  <r>
    <n v="1202"/>
    <x v="1201"/>
    <n v="60"/>
    <n v="60"/>
    <x v="3"/>
    <n v="0"/>
    <d v="1899-12-30T00:00:06"/>
    <n v="6"/>
    <n v="0.1"/>
    <n v="6"/>
    <d v="1899-12-30T00:01:58"/>
    <n v="118"/>
    <n v="1.9666666666666668"/>
    <n v="118"/>
    <n v="58"/>
    <n v="0.9667"/>
    <n v="58.002000000000002"/>
  </r>
  <r>
    <n v="1203"/>
    <x v="1202"/>
    <n v="215"/>
    <n v="207"/>
    <x v="4"/>
    <n v="8"/>
    <d v="1899-12-30T00:00:10"/>
    <n v="34.5"/>
    <n v="0.16666666666666666"/>
    <n v="10"/>
    <d v="1899-12-30T00:02:40"/>
    <n v="552"/>
    <n v="2.6666666666666665"/>
    <n v="160"/>
    <n v="187"/>
    <n v="0.90429999999999999"/>
    <n v="187.1901"/>
  </r>
  <r>
    <n v="1204"/>
    <x v="1203"/>
    <n v="221"/>
    <n v="213"/>
    <x v="4"/>
    <n v="8"/>
    <d v="1899-12-30T00:00:08"/>
    <n v="28.4"/>
    <n v="0.13333333333333333"/>
    <n v="8"/>
    <d v="1899-12-30T00:02:35"/>
    <n v="550.25"/>
    <n v="2.5833333333333335"/>
    <n v="155"/>
    <n v="192"/>
    <n v="0.90449999999999997"/>
    <n v="192.6585"/>
  </r>
  <r>
    <n v="1205"/>
    <x v="1204"/>
    <n v="201"/>
    <n v="193"/>
    <x v="4"/>
    <n v="8"/>
    <d v="1899-12-30T00:00:03"/>
    <n v="9.65"/>
    <n v="0.05"/>
    <n v="3"/>
    <d v="1899-12-30T00:02:46"/>
    <n v="533.9666666666667"/>
    <n v="2.7666666666666666"/>
    <n v="166"/>
    <n v="190"/>
    <n v="0.98450000000000004"/>
    <n v="190.0085"/>
  </r>
  <r>
    <n v="1206"/>
    <x v="1205"/>
    <n v="205"/>
    <n v="202"/>
    <x v="5"/>
    <n v="3"/>
    <d v="1899-12-30T00:00:05"/>
    <n v="16.833333333333332"/>
    <n v="8.3333333333333329E-2"/>
    <n v="5"/>
    <d v="1899-12-30T00:02:48"/>
    <n v="565.59999999999991"/>
    <n v="2.8"/>
    <n v="168"/>
    <n v="194"/>
    <n v="0.96060000000000001"/>
    <n v="194.0412"/>
  </r>
  <r>
    <n v="1207"/>
    <x v="1206"/>
    <n v="201"/>
    <n v="194"/>
    <x v="4"/>
    <n v="7"/>
    <d v="1899-12-30T00:00:14"/>
    <n v="45.266666666666666"/>
    <n v="0.23333333333333334"/>
    <n v="14"/>
    <d v="1899-12-30T00:02:44"/>
    <n v="530.26666666666665"/>
    <n v="2.7333333333333334"/>
    <n v="164"/>
    <n v="163"/>
    <n v="0.84260000000000002"/>
    <n v="163.46440000000001"/>
  </r>
  <r>
    <n v="1208"/>
    <x v="1207"/>
    <n v="140"/>
    <n v="132"/>
    <x v="0"/>
    <n v="8"/>
    <d v="1899-12-30T00:00:07"/>
    <n v="15.4"/>
    <n v="0.11666666666666667"/>
    <n v="7"/>
    <d v="1899-12-30T00:01:51"/>
    <n v="244.20000000000002"/>
    <n v="1.85"/>
    <n v="111"/>
    <n v="122"/>
    <n v="0.92479999999999996"/>
    <n v="122.0736"/>
  </r>
  <r>
    <n v="1209"/>
    <x v="1208"/>
    <n v="29"/>
    <n v="28"/>
    <x v="4"/>
    <n v="1"/>
    <d v="1899-12-30T00:00:13"/>
    <n v="6.0666666666666664"/>
    <n v="0.21666666666666667"/>
    <n v="13"/>
    <d v="1899-12-30T00:03:09"/>
    <n v="88.2"/>
    <n v="3.15"/>
    <n v="189"/>
    <n v="23"/>
    <n v="0.8276"/>
    <n v="23.172799999999999"/>
  </r>
  <r>
    <n v="1210"/>
    <x v="1209"/>
    <n v="398"/>
    <n v="372"/>
    <x v="2"/>
    <n v="26"/>
    <d v="1899-12-30T00:00:21"/>
    <n v="130.19999999999999"/>
    <n v="0.35"/>
    <n v="21"/>
    <d v="1899-12-30T00:02:51"/>
    <n v="1060.2"/>
    <n v="2.85"/>
    <n v="171"/>
    <n v="269"/>
    <n v="0.72519999999999996"/>
    <n v="269.77439999999996"/>
  </r>
  <r>
    <n v="1211"/>
    <x v="1210"/>
    <n v="255"/>
    <n v="249"/>
    <x v="7"/>
    <n v="6"/>
    <d v="1899-12-30T00:00:15"/>
    <n v="62.25"/>
    <n v="0.25"/>
    <n v="15"/>
    <d v="1899-12-30T00:03:01"/>
    <n v="751.15"/>
    <n v="3.0166666666666666"/>
    <n v="181"/>
    <n v="207"/>
    <n v="0.83330000000000004"/>
    <n v="207.49170000000001"/>
  </r>
  <r>
    <n v="1212"/>
    <x v="1211"/>
    <n v="283"/>
    <n v="278"/>
    <x v="5"/>
    <n v="5"/>
    <d v="1899-12-30T00:00:17"/>
    <n v="78.766666666666666"/>
    <n v="0.28333333333333333"/>
    <n v="17"/>
    <d v="1899-12-30T00:02:38"/>
    <n v="732.06666666666661"/>
    <n v="2.6333333333333333"/>
    <n v="158"/>
    <n v="221"/>
    <n v="0.79569999999999996"/>
    <n v="221.2046"/>
  </r>
  <r>
    <n v="1213"/>
    <x v="1212"/>
    <n v="230"/>
    <n v="222"/>
    <x v="4"/>
    <n v="8"/>
    <d v="1899-12-30T00:00:21"/>
    <n v="77.699999999999989"/>
    <n v="0.35"/>
    <n v="21"/>
    <d v="1899-12-30T00:02:46"/>
    <n v="614.19999999999993"/>
    <n v="2.7666666666666666"/>
    <n v="166"/>
    <n v="160"/>
    <n v="0.72250000000000003"/>
    <n v="160.39500000000001"/>
  </r>
  <r>
    <n v="1214"/>
    <x v="1213"/>
    <n v="185"/>
    <n v="183"/>
    <x v="5"/>
    <n v="2"/>
    <d v="1899-12-30T00:00:10"/>
    <n v="30.5"/>
    <n v="0.16666666666666666"/>
    <n v="10"/>
    <d v="1899-12-30T00:03:15"/>
    <n v="594.75"/>
    <n v="3.25"/>
    <n v="195"/>
    <n v="164"/>
    <n v="0.89729999999999999"/>
    <n v="164.20589999999999"/>
  </r>
  <r>
    <n v="1215"/>
    <x v="1214"/>
    <n v="197"/>
    <n v="194"/>
    <x v="5"/>
    <n v="3"/>
    <d v="1899-12-30T00:00:13"/>
    <n v="42.033333333333331"/>
    <n v="0.21666666666666667"/>
    <n v="13"/>
    <d v="1899-12-30T00:02:49"/>
    <n v="546.43333333333328"/>
    <n v="2.8166666666666664"/>
    <n v="169"/>
    <n v="160"/>
    <n v="0.82650000000000001"/>
    <n v="160.34100000000001"/>
  </r>
  <r>
    <n v="1216"/>
    <x v="1215"/>
    <n v="15"/>
    <n v="14"/>
    <x v="2"/>
    <n v="1"/>
    <d v="1899-12-30T00:00:12"/>
    <n v="2.8000000000000003"/>
    <n v="0.2"/>
    <n v="12"/>
    <d v="1899-12-30T00:03:14"/>
    <n v="45.266666666666666"/>
    <n v="3.2333333333333334"/>
    <n v="194"/>
    <n v="12"/>
    <n v="0.86670000000000003"/>
    <n v="12.133800000000001"/>
  </r>
  <r>
    <n v="1217"/>
    <x v="1216"/>
    <n v="230"/>
    <n v="228"/>
    <x v="12"/>
    <n v="2"/>
    <d v="1899-12-30T00:00:07"/>
    <n v="26.6"/>
    <n v="0.11666666666666667"/>
    <n v="7"/>
    <d v="1899-12-30T00:02:47"/>
    <n v="634.6"/>
    <n v="2.7833333333333332"/>
    <n v="167"/>
    <n v="214"/>
    <n v="0.93889999999999996"/>
    <n v="214.0692"/>
  </r>
  <r>
    <n v="1218"/>
    <x v="1217"/>
    <n v="232"/>
    <n v="224"/>
    <x v="4"/>
    <n v="8"/>
    <d v="1899-12-30T00:00:12"/>
    <n v="44.800000000000004"/>
    <n v="0.2"/>
    <n v="12"/>
    <d v="1899-12-30T00:02:51"/>
    <n v="638.4"/>
    <n v="2.85"/>
    <n v="171"/>
    <n v="193"/>
    <n v="0.86460000000000004"/>
    <n v="193.6704"/>
  </r>
  <r>
    <n v="1219"/>
    <x v="1218"/>
    <n v="237"/>
    <n v="231"/>
    <x v="7"/>
    <n v="6"/>
    <d v="1899-12-30T00:00:11"/>
    <n v="42.349999999999994"/>
    <n v="0.18333333333333332"/>
    <n v="11"/>
    <d v="1899-12-30T00:03:01"/>
    <n v="696.85"/>
    <n v="3.0166666666666666"/>
    <n v="181"/>
    <n v="202"/>
    <n v="0.87709999999999999"/>
    <n v="202.61009999999999"/>
  </r>
  <r>
    <n v="1220"/>
    <x v="1219"/>
    <n v="42"/>
    <n v="39"/>
    <x v="6"/>
    <n v="3"/>
    <d v="1899-12-30T00:00:17"/>
    <n v="11.049999999999999"/>
    <n v="0.28333333333333333"/>
    <n v="17"/>
    <d v="1899-12-30T00:02:51"/>
    <n v="111.15"/>
    <n v="2.85"/>
    <n v="171"/>
    <n v="30"/>
    <n v="0.78569999999999995"/>
    <n v="30.642299999999999"/>
  </r>
  <r>
    <n v="1221"/>
    <x v="1220"/>
    <n v="215"/>
    <n v="211"/>
    <x v="5"/>
    <n v="4"/>
    <d v="1899-12-30T00:00:06"/>
    <n v="21.1"/>
    <n v="0.1"/>
    <n v="6"/>
    <d v="1899-12-30T00:03:06"/>
    <n v="654.1"/>
    <n v="3.1"/>
    <n v="186"/>
    <n v="200"/>
    <n v="0.94810000000000005"/>
    <n v="200.04910000000001"/>
  </r>
  <r>
    <n v="1222"/>
    <x v="1221"/>
    <n v="153"/>
    <n v="152"/>
    <x v="12"/>
    <n v="1"/>
    <d v="1899-12-30T00:00:04"/>
    <n v="10.133333333333333"/>
    <n v="6.6666666666666666E-2"/>
    <n v="4"/>
    <d v="1899-12-30T00:02:35"/>
    <n v="392.66666666666669"/>
    <n v="2.5833333333333335"/>
    <n v="155"/>
    <n v="150"/>
    <n v="0.9869"/>
    <n v="150.00880000000001"/>
  </r>
  <r>
    <n v="1223"/>
    <x v="1222"/>
    <n v="39"/>
    <n v="39"/>
    <x v="3"/>
    <n v="0"/>
    <d v="1899-12-30T00:00:14"/>
    <n v="9.1"/>
    <n v="0.23333333333333334"/>
    <n v="14"/>
    <d v="1899-12-30T00:03:42"/>
    <n v="144.30000000000001"/>
    <n v="3.7"/>
    <n v="222"/>
    <n v="33"/>
    <n v="0.84619999999999995"/>
    <n v="33.001799999999996"/>
  </r>
  <r>
    <n v="1224"/>
    <x v="1223"/>
    <n v="334"/>
    <n v="322"/>
    <x v="4"/>
    <n v="12"/>
    <d v="1899-12-30T00:00:17"/>
    <n v="91.233333333333334"/>
    <n v="0.28333333333333333"/>
    <n v="17"/>
    <d v="1899-12-30T00:02:56"/>
    <n v="944.53333333333342"/>
    <n v="2.9333333333333336"/>
    <n v="176"/>
    <n v="248"/>
    <n v="0.77129999999999999"/>
    <n v="248.3586"/>
  </r>
  <r>
    <n v="1225"/>
    <x v="1224"/>
    <n v="236"/>
    <n v="225"/>
    <x v="10"/>
    <n v="11"/>
    <d v="1899-12-30T00:00:13"/>
    <n v="48.75"/>
    <n v="0.21666666666666667"/>
    <n v="13"/>
    <d v="1899-12-30T00:02:53"/>
    <n v="648.75"/>
    <n v="2.8833333333333333"/>
    <n v="173"/>
    <n v="191"/>
    <n v="0.85089999999999999"/>
    <n v="191.45249999999999"/>
  </r>
  <r>
    <n v="1226"/>
    <x v="1225"/>
    <n v="186"/>
    <n v="182"/>
    <x v="7"/>
    <n v="4"/>
    <d v="1899-12-30T00:00:08"/>
    <n v="24.266666666666666"/>
    <n v="0.13333333333333333"/>
    <n v="8"/>
    <d v="1899-12-30T00:02:38"/>
    <n v="479.26666666666665"/>
    <n v="2.6333333333333333"/>
    <n v="158"/>
    <n v="173"/>
    <n v="0.95109999999999995"/>
    <n v="173.1002"/>
  </r>
  <r>
    <n v="1227"/>
    <x v="1226"/>
    <n v="202"/>
    <n v="197"/>
    <x v="7"/>
    <n v="5"/>
    <d v="1899-12-30T00:00:13"/>
    <n v="42.683333333333337"/>
    <n v="0.21666666666666667"/>
    <n v="13"/>
    <d v="1899-12-30T00:02:33"/>
    <n v="502.34999999999997"/>
    <n v="2.5499999999999998"/>
    <n v="153"/>
    <n v="171"/>
    <n v="0.87"/>
    <n v="171.39"/>
  </r>
  <r>
    <n v="1228"/>
    <x v="1227"/>
    <n v="185"/>
    <n v="182"/>
    <x v="5"/>
    <n v="3"/>
    <d v="1899-12-30T00:00:08"/>
    <n v="24.266666666666666"/>
    <n v="0.13333333333333333"/>
    <n v="8"/>
    <d v="1899-12-30T00:02:49"/>
    <n v="512.63333333333333"/>
    <n v="2.8166666666666664"/>
    <n v="169"/>
    <n v="164"/>
    <n v="0.90269999999999995"/>
    <n v="164.29139999999998"/>
  </r>
  <r>
    <n v="1229"/>
    <x v="1228"/>
    <n v="38"/>
    <n v="38"/>
    <x v="3"/>
    <n v="0"/>
    <d v="1899-12-30T00:00:04"/>
    <n v="2.5333333333333332"/>
    <n v="6.6666666666666666E-2"/>
    <n v="4"/>
    <d v="1899-12-30T00:03:26"/>
    <n v="130.46666666666667"/>
    <n v="3.4333333333333336"/>
    <n v="206"/>
    <n v="37"/>
    <n v="0.97370000000000001"/>
    <n v="37.000599999999999"/>
  </r>
  <r>
    <n v="1230"/>
    <x v="1229"/>
    <n v="25"/>
    <n v="24"/>
    <x v="4"/>
    <n v="1"/>
    <d v="1899-12-30T00:00:03"/>
    <n v="1.2000000000000002"/>
    <n v="0.05"/>
    <n v="3"/>
    <d v="1899-12-30T00:02:44"/>
    <n v="65.599999999999994"/>
    <n v="2.7333333333333334"/>
    <n v="164"/>
    <n v="23"/>
    <n v="0.96"/>
    <n v="23.04"/>
  </r>
  <r>
    <n v="1231"/>
    <x v="1230"/>
    <n v="203"/>
    <n v="195"/>
    <x v="4"/>
    <n v="8"/>
    <d v="1899-12-30T00:00:08"/>
    <n v="26"/>
    <n v="0.13333333333333333"/>
    <n v="8"/>
    <d v="1899-12-30T00:02:38"/>
    <n v="513.5"/>
    <n v="2.6333333333333333"/>
    <n v="158"/>
    <n v="172"/>
    <n v="0.88560000000000005"/>
    <n v="172.69200000000001"/>
  </r>
  <r>
    <n v="1232"/>
    <x v="1231"/>
    <n v="296"/>
    <n v="292"/>
    <x v="5"/>
    <n v="4"/>
    <d v="1899-12-30T00:00:04"/>
    <n v="19.466666666666665"/>
    <n v="6.6666666666666666E-2"/>
    <n v="4"/>
    <d v="1899-12-30T00:02:40"/>
    <n v="778.66666666666663"/>
    <n v="2.6666666666666665"/>
    <n v="160"/>
    <n v="287"/>
    <n v="0.98629999999999995"/>
    <n v="287.99959999999999"/>
  </r>
  <r>
    <n v="1233"/>
    <x v="1232"/>
    <n v="233"/>
    <n v="223"/>
    <x v="10"/>
    <n v="10"/>
    <d v="1899-12-30T00:00:09"/>
    <n v="33.449999999999996"/>
    <n v="0.15"/>
    <n v="9"/>
    <d v="1899-12-30T00:02:47"/>
    <n v="620.68333333333328"/>
    <n v="2.7833333333333332"/>
    <n v="167"/>
    <n v="195"/>
    <n v="0.87829999999999997"/>
    <n v="195.86089999999999"/>
  </r>
  <r>
    <n v="1234"/>
    <x v="1233"/>
    <n v="198"/>
    <n v="194"/>
    <x v="7"/>
    <n v="4"/>
    <d v="1899-12-30T00:00:08"/>
    <n v="25.866666666666667"/>
    <n v="0.13333333333333333"/>
    <n v="8"/>
    <d v="1899-12-30T00:02:42"/>
    <n v="523.80000000000007"/>
    <n v="2.7"/>
    <n v="162"/>
    <n v="178"/>
    <n v="0.91790000000000005"/>
    <n v="178.07260000000002"/>
  </r>
  <r>
    <n v="1235"/>
    <x v="1234"/>
    <n v="181"/>
    <n v="179"/>
    <x v="5"/>
    <n v="2"/>
    <d v="1899-12-30T00:00:04"/>
    <n v="11.933333333333334"/>
    <n v="6.6666666666666666E-2"/>
    <n v="4"/>
    <d v="1899-12-30T00:02:39"/>
    <n v="474.34999999999997"/>
    <n v="2.65"/>
    <n v="159"/>
    <n v="177"/>
    <n v="0.99439999999999995"/>
    <n v="177.99759999999998"/>
  </r>
  <r>
    <n v="1236"/>
    <x v="1235"/>
    <n v="166"/>
    <n v="162"/>
    <x v="7"/>
    <n v="4"/>
    <d v="1899-12-30T00:00:06"/>
    <n v="16.2"/>
    <n v="0.1"/>
    <n v="6"/>
    <d v="1899-12-30T00:02:39"/>
    <n v="429.3"/>
    <n v="2.65"/>
    <n v="159"/>
    <n v="152"/>
    <n v="0.93869999999999998"/>
    <n v="152.0694"/>
  </r>
  <r>
    <n v="1237"/>
    <x v="1236"/>
    <n v="19"/>
    <n v="19"/>
    <x v="3"/>
    <n v="0"/>
    <d v="1899-12-30T00:00:03"/>
    <n v="0.95000000000000007"/>
    <n v="0.05"/>
    <n v="3"/>
    <d v="1899-12-30T00:02:27"/>
    <n v="46.550000000000004"/>
    <n v="2.4500000000000002"/>
    <n v="147"/>
    <n v="19"/>
    <n v="1"/>
    <n v="19"/>
  </r>
  <r>
    <n v="1238"/>
    <x v="1237"/>
    <n v="196"/>
    <n v="181"/>
    <x v="6"/>
    <n v="15"/>
    <d v="1899-12-30T00:00:14"/>
    <n v="42.233333333333334"/>
    <n v="0.23333333333333334"/>
    <n v="14"/>
    <d v="1899-12-30T00:02:37"/>
    <n v="473.61666666666667"/>
    <n v="2.6166666666666667"/>
    <n v="157"/>
    <n v="141"/>
    <n v="0.78129999999999999"/>
    <n v="141.4153"/>
  </r>
  <r>
    <n v="1239"/>
    <x v="1238"/>
    <n v="176"/>
    <n v="172"/>
    <x v="7"/>
    <n v="4"/>
    <d v="1899-12-30T00:00:16"/>
    <n v="45.866666666666667"/>
    <n v="0.26666666666666666"/>
    <n v="16"/>
    <d v="1899-12-30T00:02:30"/>
    <n v="430"/>
    <n v="2.5"/>
    <n v="150"/>
    <n v="136"/>
    <n v="0.79430000000000001"/>
    <n v="136.61959999999999"/>
  </r>
  <r>
    <n v="1240"/>
    <x v="1239"/>
    <n v="221"/>
    <n v="209"/>
    <x v="0"/>
    <n v="12"/>
    <d v="1899-12-30T00:00:12"/>
    <n v="41.800000000000004"/>
    <n v="0.2"/>
    <n v="12"/>
    <d v="1899-12-30T00:02:42"/>
    <n v="564.30000000000007"/>
    <n v="2.7"/>
    <n v="162"/>
    <n v="175"/>
    <n v="0.8387"/>
    <n v="175.28829999999999"/>
  </r>
  <r>
    <n v="1241"/>
    <x v="1240"/>
    <n v="196"/>
    <n v="191"/>
    <x v="7"/>
    <n v="5"/>
    <d v="1899-12-30T00:00:14"/>
    <n v="44.56666666666667"/>
    <n v="0.23333333333333334"/>
    <n v="14"/>
    <d v="1899-12-30T00:02:51"/>
    <n v="544.35"/>
    <n v="2.85"/>
    <n v="171"/>
    <n v="164"/>
    <n v="0.86009999999999998"/>
    <n v="164.2791"/>
  </r>
  <r>
    <n v="1242"/>
    <x v="1241"/>
    <n v="211"/>
    <n v="202"/>
    <x v="10"/>
    <n v="9"/>
    <d v="1899-12-30T00:00:15"/>
    <n v="50.5"/>
    <n v="0.25"/>
    <n v="15"/>
    <d v="1899-12-30T00:02:46"/>
    <n v="558.86666666666667"/>
    <n v="2.7666666666666666"/>
    <n v="166"/>
    <n v="160"/>
    <n v="0.79330000000000001"/>
    <n v="160.2466"/>
  </r>
  <r>
    <n v="1243"/>
    <x v="1242"/>
    <n v="201"/>
    <n v="194"/>
    <x v="4"/>
    <n v="7"/>
    <d v="1899-12-30T00:00:16"/>
    <n v="51.733333333333334"/>
    <n v="0.26666666666666666"/>
    <n v="16"/>
    <d v="1899-12-30T00:02:49"/>
    <n v="546.43333333333328"/>
    <n v="2.8166666666666664"/>
    <n v="169"/>
    <n v="157"/>
    <n v="0.81410000000000005"/>
    <n v="157.93540000000002"/>
  </r>
  <r>
    <n v="1244"/>
    <x v="1243"/>
    <n v="23"/>
    <n v="22"/>
    <x v="10"/>
    <n v="1"/>
    <d v="1899-12-30T00:00:10"/>
    <n v="3.6666666666666665"/>
    <n v="0.16666666666666666"/>
    <n v="10"/>
    <d v="1899-12-30T00:03:02"/>
    <n v="66.733333333333334"/>
    <n v="3.0333333333333332"/>
    <n v="182"/>
    <n v="18"/>
    <n v="0.82609999999999995"/>
    <n v="18.174199999999999"/>
  </r>
  <r>
    <n v="1245"/>
    <x v="1244"/>
    <n v="225"/>
    <n v="210"/>
    <x v="2"/>
    <n v="15"/>
    <d v="1899-12-30T00:00:10"/>
    <n v="35"/>
    <n v="0.16666666666666666"/>
    <n v="10"/>
    <d v="1899-12-30T00:02:37"/>
    <n v="549.5"/>
    <n v="2.6166666666666667"/>
    <n v="157"/>
    <n v="180"/>
    <n v="0.85909999999999997"/>
    <n v="180.411"/>
  </r>
  <r>
    <n v="1246"/>
    <x v="1245"/>
    <n v="202"/>
    <n v="195"/>
    <x v="4"/>
    <n v="7"/>
    <d v="1899-12-30T00:00:11"/>
    <n v="35.75"/>
    <n v="0.18333333333333332"/>
    <n v="11"/>
    <d v="1899-12-30T00:02:47"/>
    <n v="542.75"/>
    <n v="2.7833333333333332"/>
    <n v="167"/>
    <n v="169"/>
    <n v="0.86799999999999999"/>
    <n v="169.26"/>
  </r>
  <r>
    <n v="1247"/>
    <x v="1246"/>
    <n v="191"/>
    <n v="184"/>
    <x v="4"/>
    <n v="7"/>
    <d v="1899-12-30T00:00:07"/>
    <n v="21.466666666666669"/>
    <n v="0.11666666666666667"/>
    <n v="7"/>
    <d v="1899-12-30T00:02:50"/>
    <n v="521.33333333333337"/>
    <n v="2.8333333333333335"/>
    <n v="170"/>
    <n v="170"/>
    <n v="0.92549999999999999"/>
    <n v="170.292"/>
  </r>
  <r>
    <n v="1248"/>
    <x v="1247"/>
    <n v="212"/>
    <n v="209"/>
    <x v="5"/>
    <n v="3"/>
    <d v="1899-12-30T00:00:10"/>
    <n v="34.833333333333329"/>
    <n v="0.16666666666666666"/>
    <n v="10"/>
    <d v="1899-12-30T00:02:51"/>
    <n v="595.65"/>
    <n v="2.85"/>
    <n v="171"/>
    <n v="186"/>
    <n v="0.89100000000000001"/>
    <n v="186.21899999999999"/>
  </r>
  <r>
    <n v="1249"/>
    <x v="1248"/>
    <n v="210"/>
    <n v="203"/>
    <x v="4"/>
    <n v="7"/>
    <d v="1899-12-30T00:00:12"/>
    <n v="40.6"/>
    <n v="0.2"/>
    <n v="12"/>
    <d v="1899-12-30T00:03:22"/>
    <n v="683.43333333333339"/>
    <n v="3.3666666666666667"/>
    <n v="202"/>
    <n v="173"/>
    <n v="0.85240000000000005"/>
    <n v="173.03720000000001"/>
  </r>
  <r>
    <n v="1250"/>
    <x v="1249"/>
    <n v="167"/>
    <n v="159"/>
    <x v="10"/>
    <n v="8"/>
    <d v="1899-12-30T00:00:16"/>
    <n v="42.4"/>
    <n v="0.26666666666666666"/>
    <n v="16"/>
    <d v="1899-12-30T00:03:16"/>
    <n v="519.4"/>
    <n v="3.2666666666666666"/>
    <n v="196"/>
    <n v="132"/>
    <n v="0.83030000000000004"/>
    <n v="132.01770000000002"/>
  </r>
  <r>
    <n v="1251"/>
    <x v="1250"/>
    <n v="12"/>
    <n v="11"/>
    <x v="1"/>
    <n v="1"/>
    <d v="1899-12-30T00:00:03"/>
    <n v="0.55000000000000004"/>
    <n v="0.05"/>
    <n v="3"/>
    <d v="1899-12-30T00:02:12"/>
    <n v="24.200000000000003"/>
    <n v="2.2000000000000002"/>
    <n v="132"/>
    <n v="10"/>
    <n v="0.91669999999999996"/>
    <n v="10.0837"/>
  </r>
  <r>
    <m/>
    <x v="1251"/>
    <m/>
    <m/>
    <x v="5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39D60-CACF-4CDE-8984-DF0E16E0465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CH8:CM106" firstHeaderRow="1" firstDataRow="2" firstDataCol="1" rowPageCount="2" colPageCount="1"/>
  <pivotFields count="23">
    <pivotField showAll="0"/>
    <pivotField axis="axisRow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dataField="1" showAll="0"/>
    <pivotField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h="1" sd="0" x="0"/>
        <item h="1" sd="0" x="1"/>
        <item h="1" sd="0" x="2"/>
        <item sd="0" x="3"/>
        <item sd="0" x="4"/>
        <item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1">
    <field x="1"/>
  </rowFields>
  <rowItems count="97"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 t="grand">
      <x/>
    </i>
  </rowItems>
  <colFields count="1">
    <field x="17"/>
  </colFields>
  <colItems count="5">
    <i>
      <x v="3"/>
    </i>
    <i>
      <x v="4"/>
    </i>
    <i>
      <x v="5"/>
    </i>
    <i>
      <x v="6"/>
    </i>
    <i t="grand">
      <x/>
    </i>
  </colItems>
  <pageFields count="2">
    <pageField fld="19" item="4" hier="-1"/>
    <pageField fld="18" hier="-1"/>
  </pageFields>
  <dataFields count="1">
    <dataField name="Sum of Incoming Calls" fld="2" baseField="0" baseItem="0"/>
  </dataField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26">
              <x v="824"/>
              <x v="825"/>
              <x v="826"/>
              <x v="827"/>
              <x v="828"/>
              <x v="829"/>
              <x v="830"/>
              <x v="831"/>
              <x v="832"/>
              <x v="833"/>
              <x v="834"/>
              <x v="835"/>
              <x v="836"/>
              <x v="837"/>
              <x v="838"/>
              <x v="839"/>
              <x v="840"/>
              <x v="841"/>
              <x v="842"/>
              <x v="843"/>
              <x v="844"/>
              <x v="845"/>
              <x v="846"/>
              <x v="847"/>
              <x v="848"/>
              <x v="849"/>
            </reference>
            <reference field="17" count="1" selected="0">
              <x v="4"/>
            </reference>
          </references>
        </pivotArea>
      </pivotAreas>
    </conditionalFormat>
  </conditionalFormats>
  <chartFormats count="2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9273A-E0F7-49DC-8032-CF6A0DFC102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E32:AR39" firstHeaderRow="1" firstDataRow="3" firstDataCol="1" rowPageCount="1" colPageCount="1"/>
  <pivotFields count="23">
    <pivotField showAll="0"/>
    <pivotField axis="axisCol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showAll="0"/>
    <pivotField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Fields count="2">
    <field x="17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8" hier="-1"/>
  </pageFields>
  <dataFields count="1">
    <dataField name="Sum of % Abandoned Calls" fld="20" baseField="15" baseItem="4" numFmtId="166"/>
  </dataFields>
  <chartFormats count="12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E218F-88C4-47F3-9B9D-BA387EC96C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2:N39" firstHeaderRow="1" firstDataRow="3" firstDataCol="1" rowPageCount="1" colPageCount="1"/>
  <pivotFields count="23">
    <pivotField showAll="0"/>
    <pivotField axis="axisCol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dataField="1" showAll="0"/>
    <pivotField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Fields count="2">
    <field x="17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8" hier="-1"/>
  </pageFields>
  <dataFields count="1">
    <dataField name="Sum of Incoming Calls" fld="2" baseField="17" baseItem="2" numFmtId="3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5FB9C-A888-4482-954B-30AD7210EC9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P32:AC39" firstHeaderRow="1" firstDataRow="3" firstDataCol="1" rowPageCount="1" colPageCount="1"/>
  <pivotFields count="23">
    <pivotField showAll="0"/>
    <pivotField axis="axisCol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showAll="0"/>
    <pivotField dataField="1"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Fields count="2">
    <field x="17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8" hier="-1"/>
  </pageFields>
  <dataFields count="1">
    <dataField name="Sum of Answered Calls" fld="3" baseField="17" baseItem="2" numFmtId="3"/>
  </dataFields>
  <chartFormats count="4"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57670-C776-4F55-967E-840CBE6D8E4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P52:U66" firstHeaderRow="1" firstDataRow="2" firstDataCol="1" rowPageCount="1" colPageCount="1"/>
  <pivotFields count="23">
    <pivotField showAll="0"/>
    <pivotField axis="axisRow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showAll="0"/>
    <pivotField dataField="1"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2"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9"/>
  </colFields>
  <colItems count="5">
    <i>
      <x v="1"/>
    </i>
    <i>
      <x v="2"/>
    </i>
    <i>
      <x v="3"/>
    </i>
    <i>
      <x v="4"/>
    </i>
    <i t="grand">
      <x/>
    </i>
  </colItems>
  <pageFields count="1">
    <pageField fld="18" hier="-1"/>
  </pageFields>
  <dataFields count="1">
    <dataField name="Sum of Answered Calls" fld="3" baseField="15" baseItem="8" numFmtId="3"/>
  </dataFields>
  <chartFormats count="8"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2BC07-BA7E-498E-BCBB-5691415184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52:F66" firstHeaderRow="1" firstDataRow="2" firstDataCol="1" rowPageCount="1" colPageCount="1"/>
  <pivotFields count="23">
    <pivotField showAll="0"/>
    <pivotField axis="axisRow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dataField="1" showAll="0"/>
    <pivotField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2"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9"/>
  </colFields>
  <colItems count="5">
    <i>
      <x v="1"/>
    </i>
    <i>
      <x v="2"/>
    </i>
    <i>
      <x v="3"/>
    </i>
    <i>
      <x v="4"/>
    </i>
    <i t="grand">
      <x/>
    </i>
  </colItems>
  <pageFields count="1">
    <pageField fld="18" hier="-1"/>
  </pageFields>
  <dataFields count="1">
    <dataField name="Sum of Incoming Calls" fld="2" baseField="0" baseItem="0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B26E0-5F8C-4DBD-B8CA-9F12F0FE208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E52:AJ66" firstHeaderRow="1" firstDataRow="2" firstDataCol="1" rowPageCount="1" colPageCount="1"/>
  <pivotFields count="23">
    <pivotField showAll="0"/>
    <pivotField axis="axisRow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showAll="0"/>
    <pivotField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2"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9"/>
  </colFields>
  <colItems count="5">
    <i>
      <x v="1"/>
    </i>
    <i>
      <x v="2"/>
    </i>
    <i>
      <x v="3"/>
    </i>
    <i>
      <x v="4"/>
    </i>
    <i t="grand">
      <x/>
    </i>
  </colItems>
  <pageFields count="1">
    <pageField fld="18" hier="-1"/>
  </pageFields>
  <dataFields count="1">
    <dataField name="Sum of % Abandoned Calls" fld="20" baseField="15" baseItem="4" numFmtId="166"/>
  </dataFields>
  <chartFormats count="8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5315D-F353-4211-975F-565B31FCE54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3">
  <location ref="AX31:AY40" firstHeaderRow="2" firstDataRow="2" firstDataCol="1" rowPageCount="5" colPageCount="1"/>
  <pivotFields count="23">
    <pivotField compact="0" outline="0" showAll="0"/>
    <pivotField axis="axisPage" compact="0" outline="0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compact="0" outline="0" showAll="0"/>
    <pivotField dataField="1" compact="0" outline="0" showAll="0"/>
    <pivotField axis="axisPage" compact="0" outline="0" showAll="0" sortType="ascending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axis="axisRow" compact="0" outline="0" showAll="0" defaultSubtotal="0">
      <items count="884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n="50%" x="12"/>
        <item x="595"/>
        <item n="51%-59%"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n="60%-69%"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n="70-79%"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n="80%-89%"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n="90%-98%"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n="99%"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</items>
    </pivotField>
  </pivotFields>
  <rowFields count="1">
    <field x="22"/>
  </rowFields>
  <rowItems count="8">
    <i>
      <x v="14"/>
    </i>
    <i>
      <x v="16"/>
    </i>
    <i>
      <x v="33"/>
    </i>
    <i>
      <x v="50"/>
    </i>
    <i>
      <x v="82"/>
    </i>
    <i>
      <x v="256"/>
    </i>
    <i>
      <x v="851"/>
    </i>
    <i t="grand">
      <x/>
    </i>
  </rowItems>
  <colItems count="1">
    <i/>
  </colItems>
  <pageFields count="5">
    <pageField fld="19" item="3" hier="-1"/>
    <pageField fld="18" item="1" hier="-1"/>
    <pageField fld="17" hier="-1"/>
    <pageField fld="1" hier="-1"/>
    <pageField fld="4" hier="-1"/>
  </pageFields>
  <dataFields count="1">
    <dataField name="Sum of Answered Calls" fld="3" baseField="0" baseItem="0"/>
  </dataFields>
  <chartFormats count="71"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4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0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9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71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4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55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48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29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98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78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11"/>
          </reference>
        </references>
      </pivotArea>
    </chartFormat>
    <chartFormat chart="24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22"/>
          </reference>
        </references>
      </pivotArea>
    </chartFormat>
    <chartFormat chart="24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8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9"/>
          </reference>
        </references>
      </pivotArea>
    </chartFormat>
    <chartFormat chart="24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74"/>
          </reference>
        </references>
      </pivotArea>
    </chartFormat>
    <chartFormat chart="24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7"/>
          </reference>
        </references>
      </pivotArea>
    </chartFormat>
    <chartFormat chart="24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24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1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7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7"/>
          </reference>
        </references>
      </pivotArea>
    </chartFormat>
    <chartFormat chart="24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1"/>
          </reference>
        </references>
      </pivotArea>
    </chartFormat>
    <chartFormat chart="24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2"/>
          </reference>
        </references>
      </pivotArea>
    </chartFormat>
    <chartFormat chart="24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4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24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4"/>
          </reference>
        </references>
      </pivotArea>
    </chartFormat>
    <chartFormat chart="24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4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4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24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9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4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0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9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71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4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55"/>
          </reference>
        </references>
      </pivotArea>
    </chartFormat>
    <chartFormat chart="2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48"/>
          </reference>
        </references>
      </pivotArea>
    </chartFormat>
    <chartFormat chart="2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29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98"/>
          </reference>
        </references>
      </pivotArea>
    </chartFormat>
    <chartFormat chart="27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78"/>
          </reference>
        </references>
      </pivotArea>
    </chartFormat>
    <chartFormat chart="27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11"/>
          </reference>
        </references>
      </pivotArea>
    </chartFormat>
    <chartFormat chart="27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22"/>
          </reference>
        </references>
      </pivotArea>
    </chartFormat>
    <chartFormat chart="27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8"/>
          </reference>
        </references>
      </pivotArea>
    </chartFormat>
    <chartFormat chart="27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9"/>
          </reference>
        </references>
      </pivotArea>
    </chartFormat>
    <chartFormat chart="27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74"/>
          </reference>
        </references>
      </pivotArea>
    </chartFormat>
    <chartFormat chart="27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7"/>
          </reference>
        </references>
      </pivotArea>
    </chartFormat>
    <chartFormat chart="27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27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1"/>
          </reference>
        </references>
      </pivotArea>
    </chartFormat>
    <chartFormat chart="27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7"/>
          </reference>
        </references>
      </pivotArea>
    </chartFormat>
    <chartFormat chart="27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7"/>
          </reference>
        </references>
      </pivotArea>
    </chartFormat>
    <chartFormat chart="27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1"/>
          </reference>
        </references>
      </pivotArea>
    </chartFormat>
    <chartFormat chart="27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2"/>
          </reference>
        </references>
      </pivotArea>
    </chartFormat>
    <chartFormat chart="27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7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27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4"/>
          </reference>
        </references>
      </pivotArea>
    </chartFormat>
    <chartFormat chart="27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7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7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27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9"/>
          </reference>
        </references>
      </pivotArea>
    </chartFormat>
    <chartFormat chart="27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56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851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14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16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33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5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8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5EE01-95E6-4C5A-822C-779FDBA4EB9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53:F67" firstHeaderRow="1" firstDataRow="2" firstDataCol="1" rowPageCount="1" colPageCount="1"/>
  <pivotFields count="23">
    <pivotField showAll="0"/>
    <pivotField axis="axisRow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showAll="0"/>
    <pivotField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2"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9"/>
  </colFields>
  <colItems count="5">
    <i>
      <x v="1"/>
    </i>
    <i>
      <x v="2"/>
    </i>
    <i>
      <x v="3"/>
    </i>
    <i>
      <x v="4"/>
    </i>
    <i t="grand">
      <x/>
    </i>
  </colItems>
  <pageFields count="1">
    <pageField fld="18" hier="-1"/>
  </pageFields>
  <dataFields count="1">
    <dataField name="Sum of Answer Speed (AVG) Seconds" fld="21" baseField="16" baseItem="4" numFmtId="1"/>
  </dataFields>
  <chartFormats count="8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22020-0541-444C-950A-C59BF1F0602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3:N40" firstHeaderRow="1" firstDataRow="3" firstDataCol="1" rowPageCount="1" colPageCount="1"/>
  <pivotFields count="23">
    <pivotField showAll="0"/>
    <pivotField axis="axisCol" showAll="0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t="default"/>
      </items>
    </pivotField>
    <pivotField showAll="0"/>
    <pivotField showAll="0"/>
    <pivotField showAll="0">
      <items count="908">
        <item x="31"/>
        <item m="1" x="543"/>
        <item x="30"/>
        <item m="1" x="542"/>
        <item x="29"/>
        <item x="32"/>
        <item m="1" x="544"/>
        <item x="43"/>
        <item m="1" x="655"/>
        <item x="26"/>
        <item m="1" x="653"/>
        <item m="1" x="536"/>
        <item x="41"/>
        <item m="1" x="648"/>
        <item x="36"/>
        <item m="1" x="623"/>
        <item x="37"/>
        <item m="1" x="624"/>
        <item m="1" x="650"/>
        <item x="48"/>
        <item m="1" x="711"/>
        <item x="27"/>
        <item m="1" x="651"/>
        <item m="1" x="625"/>
        <item m="1" x="537"/>
        <item x="38"/>
        <item m="1" x="627"/>
        <item m="1" x="654"/>
        <item m="1" x="649"/>
        <item x="42"/>
        <item m="1" x="652"/>
        <item x="49"/>
        <item m="1" x="712"/>
        <item x="46"/>
        <item m="1" x="688"/>
        <item x="39"/>
        <item m="1" x="647"/>
        <item m="1" x="629"/>
        <item m="1" x="631"/>
        <item m="1" x="663"/>
        <item x="28"/>
        <item m="1" x="538"/>
        <item x="17"/>
        <item m="1" x="612"/>
        <item m="1" x="241"/>
        <item x="33"/>
        <item m="1" x="545"/>
        <item m="1" x="630"/>
        <item x="45"/>
        <item m="1" x="667"/>
        <item m="1" x="715"/>
        <item m="1" x="739"/>
        <item x="47"/>
        <item m="1" x="710"/>
        <item x="35"/>
        <item m="1" x="584"/>
        <item x="15"/>
        <item m="1" x="662"/>
        <item m="1" x="238"/>
        <item x="40"/>
        <item m="1" x="689"/>
        <item m="1" x="658"/>
        <item m="1" x="636"/>
        <item m="1" x="661"/>
        <item x="25"/>
        <item m="1" x="619"/>
        <item m="1" x="535"/>
        <item m="1" x="475"/>
        <item x="44"/>
        <item m="1" x="660"/>
        <item m="1" x="678"/>
        <item x="22"/>
        <item m="1" x="804"/>
        <item m="1" x="805"/>
        <item m="1" x="778"/>
        <item m="1" x="628"/>
        <item m="1" x="616"/>
        <item m="1" x="384"/>
        <item m="1" x="622"/>
        <item x="23"/>
        <item m="1" x="406"/>
        <item m="1" x="769"/>
        <item x="24"/>
        <item m="1" x="478"/>
        <item m="1" x="683"/>
        <item m="1" x="440"/>
        <item m="1" x="669"/>
        <item m="1" x="426"/>
        <item m="1" x="621"/>
        <item m="1" x="632"/>
        <item x="34"/>
        <item m="1" x="782"/>
        <item m="1" x="656"/>
        <item m="1" x="709"/>
        <item m="1" x="609"/>
        <item m="1" x="798"/>
        <item m="1" x="704"/>
        <item m="1" x="565"/>
        <item x="14"/>
        <item m="1" x="452"/>
        <item m="1" x="774"/>
        <item m="1" x="237"/>
        <item m="1" x="749"/>
        <item m="1" x="687"/>
        <item m="1" x="666"/>
        <item m="1" x="348"/>
        <item m="1" x="474"/>
        <item m="1" x="239"/>
        <item m="1" x="541"/>
        <item m="1" x="701"/>
        <item x="21"/>
        <item m="1" x="421"/>
        <item m="1" x="766"/>
        <item m="1" x="342"/>
        <item m="1" x="714"/>
        <item m="1" x="425"/>
        <item m="1" x="345"/>
        <item x="19"/>
        <item m="1" x="783"/>
        <item m="1" x="414"/>
        <item m="1" x="444"/>
        <item m="1" x="539"/>
        <item m="1" x="589"/>
        <item m="1" x="422"/>
        <item m="1" x="618"/>
        <item m="1" x="702"/>
        <item m="1" x="547"/>
        <item m="1" x="431"/>
        <item m="1" x="311"/>
        <item x="16"/>
        <item m="1" x="449"/>
        <item m="1" x="312"/>
        <item m="1" x="596"/>
        <item m="1" x="635"/>
        <item m="1" x="472"/>
        <item m="1" x="674"/>
        <item m="1" x="240"/>
        <item m="1" x="759"/>
        <item m="1" x="657"/>
        <item m="1" x="597"/>
        <item m="1" x="793"/>
        <item m="1" x="744"/>
        <item m="1" x="400"/>
        <item m="1" x="550"/>
        <item m="1" x="832"/>
        <item m="1" x="357"/>
        <item m="1" x="719"/>
        <item m="1" x="862"/>
        <item m="1" x="328"/>
        <item m="1" x="665"/>
        <item m="1" x="713"/>
        <item x="18"/>
        <item m="1" x="641"/>
        <item m="1" x="718"/>
        <item m="1" x="418"/>
        <item m="1" x="617"/>
        <item m="1" x="753"/>
        <item m="1" x="659"/>
        <item m="1" x="331"/>
        <item m="1" x="562"/>
        <item m="1" x="284"/>
        <item m="1" x="752"/>
        <item m="1" x="305"/>
        <item m="1" x="330"/>
        <item m="1" x="549"/>
        <item m="1" x="326"/>
        <item m="1" x="280"/>
        <item m="1" x="768"/>
        <item m="1" x="605"/>
        <item x="11"/>
        <item m="1" x="637"/>
        <item m="1" x="297"/>
        <item m="1" x="780"/>
        <item m="1" x="691"/>
        <item m="1" x="593"/>
        <item m="1" x="670"/>
        <item m="1" x="717"/>
        <item m="1" x="767"/>
        <item m="1" x="598"/>
        <item m="1" x="680"/>
        <item m="1" x="388"/>
        <item m="1" x="83"/>
        <item m="1" x="476"/>
        <item m="1" x="599"/>
        <item m="1" x="639"/>
        <item m="1" x="548"/>
        <item m="1" x="603"/>
        <item x="20"/>
        <item m="1" x="799"/>
        <item m="1" x="686"/>
        <item m="1" x="376"/>
        <item m="1" x="633"/>
        <item m="1" x="668"/>
        <item m="1" x="566"/>
        <item m="1" x="746"/>
        <item m="1" x="724"/>
        <item m="1" x="747"/>
        <item m="1" x="451"/>
        <item m="1" x="445"/>
        <item m="1" x="322"/>
        <item m="1" x="546"/>
        <item m="1" x="620"/>
        <item m="1" x="643"/>
        <item m="1" x="708"/>
        <item m="1" x="764"/>
        <item m="1" x="579"/>
        <item m="1" x="437"/>
        <item m="1" x="607"/>
        <item x="8"/>
        <item m="1" x="428"/>
        <item m="1" x="615"/>
        <item m="1" x="393"/>
        <item m="1" x="271"/>
        <item m="1" x="771"/>
        <item m="1" x="671"/>
        <item m="1" x="385"/>
        <item m="1" x="786"/>
        <item m="1" x="762"/>
        <item m="1" x="518"/>
        <item m="1" x="564"/>
        <item m="1" x="745"/>
        <item m="1" x="396"/>
        <item m="1" x="228"/>
        <item m="1" x="696"/>
        <item m="1" x="553"/>
        <item m="1" x="227"/>
        <item m="1" x="748"/>
        <item m="1" x="480"/>
        <item m="1" x="375"/>
        <item m="1" x="738"/>
        <item m="1" x="505"/>
        <item m="1" x="693"/>
        <item m="1" x="602"/>
        <item m="1" x="300"/>
        <item m="1" x="614"/>
        <item m="1" x="646"/>
        <item m="1" x="67"/>
        <item x="13"/>
        <item m="1" x="477"/>
        <item m="1" x="338"/>
        <item m="1" x="324"/>
        <item m="1" x="485"/>
        <item m="1" x="725"/>
        <item m="1" x="606"/>
        <item m="1" x="441"/>
        <item m="1" x="734"/>
        <item m="1" x="809"/>
        <item m="1" x="432"/>
        <item m="1" x="381"/>
        <item m="1" x="450"/>
        <item m="1" x="770"/>
        <item m="1" x="390"/>
        <item m="1" x="575"/>
        <item m="1" x="102"/>
        <item m="1" x="765"/>
        <item m="1" x="387"/>
        <item m="1" x="161"/>
        <item m="1" x="645"/>
        <item m="1" x="595"/>
        <item m="1" x="314"/>
        <item m="1" x="835"/>
        <item m="1" x="516"/>
        <item m="1" x="332"/>
        <item m="1" x="777"/>
        <item m="1" x="540"/>
        <item m="1" x="358"/>
        <item m="1" x="488"/>
        <item m="1" x="574"/>
        <item m="1" x="356"/>
        <item m="1" x="433"/>
        <item m="1" x="517"/>
        <item x="9"/>
        <item m="1" x="664"/>
        <item m="1" x="772"/>
        <item m="1" x="361"/>
        <item m="1" x="416"/>
        <item m="1" x="716"/>
        <item m="1" x="728"/>
        <item m="1" x="684"/>
        <item m="1" x="325"/>
        <item m="1" x="681"/>
        <item m="1" x="792"/>
        <item m="1" x="359"/>
        <item m="1" x="71"/>
        <item m="1" x="417"/>
        <item m="1" x="327"/>
        <item m="1" x="806"/>
        <item m="1" x="578"/>
        <item m="1" x="557"/>
        <item m="1" x="727"/>
        <item m="1" x="720"/>
        <item m="1" x="610"/>
        <item m="1" x="613"/>
        <item m="1" x="323"/>
        <item m="1" x="706"/>
        <item m="1" x="288"/>
        <item m="1" x="403"/>
        <item m="1" x="108"/>
        <item m="1" x="761"/>
        <item m="1" x="398"/>
        <item m="1" x="611"/>
        <item m="1" x="401"/>
        <item m="1" x="427"/>
        <item m="1" x="503"/>
        <item x="1"/>
        <item m="1" x="785"/>
        <item m="1" x="640"/>
        <item m="1" x="675"/>
        <item m="1" x="481"/>
        <item m="1" x="721"/>
        <item m="1" x="412"/>
        <item m="1" x="334"/>
        <item m="1" x="682"/>
        <item m="1" x="582"/>
        <item m="1" x="438"/>
        <item m="1" x="405"/>
        <item m="1" x="819"/>
        <item m="1" x="732"/>
        <item m="1" x="391"/>
        <item m="1" x="57"/>
        <item m="1" x="337"/>
        <item m="1" x="213"/>
        <item m="1" x="604"/>
        <item m="1" x="626"/>
        <item m="1" x="76"/>
        <item m="1" x="341"/>
        <item m="1" x="352"/>
        <item m="1" x="453"/>
        <item m="1" x="296"/>
        <item m="1" x="644"/>
        <item m="1" x="800"/>
        <item m="1" x="504"/>
        <item m="1" x="234"/>
        <item m="1" x="52"/>
        <item m="1" x="705"/>
        <item m="1" x="226"/>
        <item m="1" x="462"/>
        <item m="1" x="299"/>
        <item m="1" x="262"/>
        <item m="1" x="791"/>
        <item m="1" x="347"/>
        <item m="1" x="245"/>
        <item m="1" x="196"/>
        <item m="1" x="773"/>
        <item m="1" x="677"/>
        <item m="1" x="750"/>
        <item m="1" x="874"/>
        <item m="1" x="74"/>
        <item m="1" x="436"/>
        <item m="1" x="692"/>
        <item m="1" x="443"/>
        <item m="1" x="551"/>
        <item m="1" x="672"/>
        <item m="1" x="754"/>
        <item m="1" x="740"/>
        <item x="6"/>
        <item m="1" x="875"/>
        <item m="1" x="563"/>
        <item m="1" x="473"/>
        <item m="1" x="797"/>
        <item m="1" x="329"/>
        <item m="1" x="735"/>
        <item m="1" x="552"/>
        <item m="1" x="634"/>
        <item m="1" x="567"/>
        <item m="1" x="454"/>
        <item m="1" x="466"/>
        <item m="1" x="790"/>
        <item m="1" x="788"/>
        <item m="1" x="291"/>
        <item m="1" x="703"/>
        <item m="1" x="741"/>
        <item m="1" x="902"/>
        <item m="1" x="756"/>
        <item m="1" x="461"/>
        <item m="1" x="315"/>
        <item m="1" x="354"/>
        <item m="1" x="321"/>
        <item m="1" x="377"/>
        <item m="1" x="447"/>
        <item m="1" x="876"/>
        <item m="1" x="576"/>
        <item m="1" x="808"/>
        <item m="1" x="755"/>
        <item m="1" x="70"/>
        <item m="1" x="730"/>
        <item m="1" x="62"/>
        <item m="1" x="343"/>
        <item m="1" x="521"/>
        <item m="1" x="556"/>
        <item m="1" x="355"/>
        <item m="1" x="273"/>
        <item m="1" x="216"/>
        <item m="1" x="600"/>
        <item m="1" x="290"/>
        <item m="1" x="522"/>
        <item m="1" x="174"/>
        <item m="1" x="583"/>
        <item m="1" x="446"/>
        <item m="1" x="779"/>
        <item m="1" x="844"/>
        <item m="1" x="399"/>
        <item m="1" x="577"/>
        <item m="1" x="256"/>
        <item m="1" x="513"/>
        <item m="1" x="154"/>
        <item m="1" x="316"/>
        <item m="1" x="601"/>
        <item m="1" x="586"/>
        <item m="1" x="554"/>
        <item m="1" x="173"/>
        <item x="2"/>
        <item m="1" x="533"/>
        <item m="1" x="220"/>
        <item m="1" x="68"/>
        <item m="1" x="775"/>
        <item m="1" x="217"/>
        <item m="1" x="787"/>
        <item m="1" x="569"/>
        <item m="1" x="559"/>
        <item m="1" x="180"/>
        <item m="1" x="690"/>
        <item m="1" x="757"/>
        <item m="1" x="420"/>
        <item m="1" x="407"/>
        <item m="1" x="313"/>
        <item m="1" x="760"/>
        <item m="1" x="365"/>
        <item m="1" x="294"/>
        <item m="1" x="468"/>
        <item m="1" x="243"/>
        <item m="1" x="269"/>
        <item m="1" x="64"/>
        <item m="1" x="199"/>
        <item m="1" x="395"/>
        <item m="1" x="293"/>
        <item m="1" x="404"/>
        <item m="1" x="456"/>
        <item m="1" x="98"/>
        <item m="1" x="380"/>
        <item m="1" x="673"/>
        <item m="1" x="125"/>
        <item m="1" x="442"/>
        <item m="1" x="736"/>
        <item m="1" x="885"/>
        <item m="1" x="568"/>
        <item m="1" x="571"/>
        <item m="1" x="560"/>
        <item m="1" x="53"/>
        <item m="1" x="859"/>
        <item m="1" x="572"/>
        <item m="1" x="386"/>
        <item m="1" x="813"/>
        <item m="1" x="340"/>
        <item m="1" x="252"/>
        <item m="1" x="248"/>
        <item m="1" x="339"/>
        <item m="1" x="776"/>
        <item m="1" x="389"/>
        <item m="1" x="831"/>
        <item m="1" x="309"/>
        <item m="1" x="527"/>
        <item m="1" x="378"/>
        <item m="1" x="846"/>
        <item m="1" x="370"/>
        <item m="1" x="58"/>
        <item m="1" x="65"/>
        <item m="1" x="842"/>
        <item m="1" x="795"/>
        <item m="1" x="364"/>
        <item m="1" x="585"/>
        <item m="1" x="310"/>
        <item m="1" x="494"/>
        <item m="1" x="211"/>
        <item m="1" x="642"/>
        <item m="1" x="232"/>
        <item m="1" x="707"/>
        <item m="1" x="455"/>
        <item x="0"/>
        <item m="1" x="850"/>
        <item m="1" x="51"/>
        <item m="1" x="457"/>
        <item m="1" x="573"/>
        <item m="1" x="367"/>
        <item m="1" x="303"/>
        <item m="1" x="608"/>
        <item m="1" x="801"/>
        <item m="1" x="397"/>
        <item m="1" x="815"/>
        <item m="1" x="344"/>
        <item m="1" x="408"/>
        <item m="1" x="784"/>
        <item m="1" x="230"/>
        <item m="1" x="197"/>
        <item m="1" x="884"/>
        <item m="1" x="382"/>
        <item m="1" x="439"/>
        <item m="1" x="803"/>
        <item m="1" x="185"/>
        <item m="1" x="591"/>
        <item m="1" x="448"/>
        <item m="1" x="470"/>
        <item m="1" x="210"/>
        <item m="1" x="514"/>
        <item m="1" x="292"/>
        <item m="1" x="594"/>
        <item m="1" x="794"/>
        <item m="1" x="353"/>
        <item m="1" x="685"/>
        <item m="1" x="75"/>
        <item m="1" x="592"/>
        <item m="1" x="159"/>
        <item m="1" x="588"/>
        <item m="1" x="467"/>
        <item m="1" x="190"/>
        <item m="1" x="225"/>
        <item m="1" x="195"/>
        <item m="1" x="903"/>
        <item m="1" x="802"/>
        <item m="1" x="742"/>
        <item m="1" x="371"/>
        <item m="1" x="698"/>
        <item m="1" x="763"/>
        <item m="1" x="383"/>
        <item m="1" x="255"/>
        <item m="1" x="257"/>
        <item m="1" x="209"/>
        <item m="1" x="368"/>
        <item m="1" x="302"/>
        <item m="1" x="113"/>
        <item m="1" x="733"/>
        <item m="1" x="208"/>
        <item m="1" x="229"/>
        <item m="1" x="520"/>
        <item m="1" x="570"/>
        <item m="1" x="175"/>
        <item m="1" x="247"/>
        <item m="1" x="81"/>
        <item m="1" x="374"/>
        <item m="1" x="723"/>
        <item m="1" x="268"/>
        <item m="1" x="86"/>
        <item m="1" x="202"/>
        <item m="1" x="249"/>
        <item m="1" x="149"/>
        <item m="1" x="192"/>
        <item m="1" x="157"/>
        <item m="1" x="308"/>
        <item x="10"/>
        <item m="1" x="694"/>
        <item m="1" x="188"/>
        <item m="1" x="848"/>
        <item m="1" x="207"/>
        <item m="1" x="215"/>
        <item m="1" x="509"/>
        <item m="1" x="203"/>
        <item m="1" x="430"/>
        <item m="1" x="531"/>
        <item m="1" x="336"/>
        <item m="1" x="409"/>
        <item m="1" x="423"/>
        <item m="1" x="218"/>
        <item m="1" x="587"/>
        <item m="1" x="676"/>
        <item m="1" x="118"/>
        <item m="1" x="212"/>
        <item m="1" x="695"/>
        <item m="1" x="429"/>
        <item m="1" x="580"/>
        <item m="1" x="895"/>
        <item m="1" x="101"/>
        <item m="1" x="306"/>
        <item m="1" x="834"/>
        <item m="1" x="349"/>
        <item m="1" x="120"/>
        <item m="1" x="868"/>
        <item m="1" x="392"/>
        <item m="1" x="362"/>
        <item m="1" x="165"/>
        <item m="1" x="507"/>
        <item m="1" x="251"/>
        <item m="1" x="822"/>
        <item m="1" x="379"/>
        <item m="1" x="638"/>
        <item m="1" x="818"/>
        <item m="1" x="758"/>
        <item m="1" x="287"/>
        <item m="1" x="115"/>
        <item m="1" x="830"/>
        <item m="1" x="270"/>
        <item m="1" x="679"/>
        <item m="1" x="555"/>
        <item m="1" x="73"/>
        <item m="1" x="871"/>
        <item m="1" x="298"/>
        <item m="1" x="419"/>
        <item m="1" x="285"/>
        <item m="1" x="743"/>
        <item m="1" x="366"/>
        <item m="1" x="193"/>
        <item m="1" x="224"/>
        <item m="1" x="900"/>
        <item m="1" x="117"/>
        <item m="1" x="233"/>
        <item m="1" x="214"/>
        <item m="1" x="905"/>
        <item m="1" x="722"/>
        <item m="1" x="121"/>
        <item m="1" x="272"/>
        <item m="1" x="824"/>
        <item m="1" x="807"/>
        <item m="1" x="198"/>
        <item m="1" x="812"/>
        <item m="1" x="529"/>
        <item m="1" x="254"/>
        <item m="1" x="510"/>
        <item m="1" x="139"/>
        <item m="1" x="289"/>
        <item m="1" x="320"/>
        <item m="1" x="590"/>
        <item m="1" x="236"/>
        <item m="1" x="260"/>
        <item m="1" x="110"/>
        <item m="1" x="231"/>
        <item m="1" x="258"/>
        <item m="1" x="277"/>
        <item m="1" x="274"/>
        <item m="1" x="525"/>
        <item m="1" x="250"/>
        <item x="4"/>
        <item m="1" x="151"/>
        <item m="1" x="235"/>
        <item m="1" x="506"/>
        <item m="1" x="898"/>
        <item m="1" x="259"/>
        <item m="1" x="870"/>
        <item m="1" x="80"/>
        <item m="1" x="317"/>
        <item m="1" x="61"/>
        <item m="1" x="60"/>
        <item m="1" x="581"/>
        <item m="1" x="222"/>
        <item m="1" x="223"/>
        <item m="1" x="278"/>
        <item m="1" x="200"/>
        <item m="1" x="817"/>
        <item m="1" x="471"/>
        <item m="1" x="267"/>
        <item m="1" x="729"/>
        <item m="1" x="489"/>
        <item m="1" x="319"/>
        <item m="1" x="56"/>
        <item m="1" x="726"/>
        <item m="1" x="204"/>
        <item m="1" x="363"/>
        <item m="1" x="350"/>
        <item m="1" x="178"/>
        <item m="1" x="561"/>
        <item m="1" x="881"/>
        <item m="1" x="168"/>
        <item m="1" x="145"/>
        <item m="1" x="499"/>
        <item m="1" x="77"/>
        <item m="1" x="435"/>
        <item m="1" x="524"/>
        <item m="1" x="69"/>
        <item m="1" x="851"/>
        <item m="1" x="498"/>
        <item m="1" x="882"/>
        <item m="1" x="558"/>
        <item m="1" x="109"/>
        <item m="1" x="731"/>
        <item m="1" x="360"/>
        <item m="1" x="894"/>
        <item m="1" x="699"/>
        <item m="1" x="372"/>
        <item m="1" x="700"/>
        <item m="1" x="751"/>
        <item m="1" x="85"/>
        <item m="1" x="246"/>
        <item m="1" x="79"/>
        <item m="1" x="821"/>
        <item m="1" x="301"/>
        <item m="1" x="54"/>
        <item m="1" x="883"/>
        <item m="1" x="887"/>
        <item m="1" x="263"/>
        <item m="1" x="781"/>
        <item m="1" x="820"/>
        <item m="1" x="283"/>
        <item m="1" x="737"/>
        <item m="1" x="515"/>
        <item m="1" x="276"/>
        <item m="1" x="501"/>
        <item m="1" x="465"/>
        <item m="1" x="63"/>
        <item m="1" x="836"/>
        <item m="1" x="490"/>
        <item m="1" x="155"/>
        <item m="1" x="841"/>
        <item m="1" x="864"/>
        <item m="1" x="459"/>
        <item m="1" x="100"/>
        <item m="1" x="189"/>
        <item m="1" x="335"/>
        <item m="1" x="281"/>
        <item m="1" x="95"/>
        <item m="1" x="55"/>
        <item m="1" x="853"/>
        <item m="1" x="532"/>
        <item m="1" x="837"/>
        <item m="1" x="828"/>
        <item m="1" x="131"/>
        <item m="1" x="789"/>
        <item m="1" x="91"/>
        <item m="1" x="469"/>
        <item m="1" x="814"/>
        <item m="1" x="413"/>
        <item m="1" x="483"/>
        <item m="1" x="119"/>
        <item m="1" x="458"/>
        <item m="1" x="826"/>
        <item x="7"/>
        <item m="1" x="865"/>
        <item m="1" x="519"/>
        <item m="1" x="463"/>
        <item m="1" x="253"/>
        <item m="1" x="852"/>
        <item m="1" x="464"/>
        <item m="1" x="128"/>
        <item m="1" x="479"/>
        <item m="1" x="415"/>
        <item m="1" x="858"/>
        <item m="1" x="825"/>
        <item m="1" x="144"/>
        <item m="1" x="183"/>
        <item m="1" x="264"/>
        <item m="1" x="491"/>
        <item m="1" x="123"/>
        <item m="1" x="143"/>
        <item m="1" x="511"/>
        <item m="1" x="140"/>
        <item m="1" x="534"/>
        <item m="1" x="508"/>
        <item m="1" x="869"/>
        <item m="1" x="162"/>
        <item m="1" x="492"/>
        <item m="1" x="160"/>
        <item m="1" x="878"/>
        <item m="1" x="346"/>
        <item m="1" x="206"/>
        <item m="1" x="863"/>
        <item m="1" x="179"/>
        <item m="1" x="142"/>
        <item m="1" x="904"/>
        <item m="1" x="891"/>
        <item m="1" x="205"/>
        <item m="1" x="847"/>
        <item m="1" x="82"/>
        <item m="1" x="896"/>
        <item m="1" x="182"/>
        <item m="1" x="304"/>
        <item m="1" x="221"/>
        <item m="1" x="351"/>
        <item m="1" x="114"/>
        <item m="1" x="132"/>
        <item m="1" x="133"/>
        <item m="1" x="116"/>
        <item m="1" x="88"/>
        <item m="1" x="186"/>
        <item m="1" x="147"/>
        <item m="1" x="512"/>
        <item m="1" x="138"/>
        <item m="1" x="373"/>
        <item m="1" x="282"/>
        <item m="1" x="810"/>
        <item m="1" x="104"/>
        <item m="1" x="244"/>
        <item m="1" x="833"/>
        <item m="1" x="181"/>
        <item m="1" x="460"/>
        <item m="1" x="170"/>
        <item m="1" x="333"/>
        <item m="1" x="66"/>
        <item m="1" x="194"/>
        <item m="1" x="156"/>
        <item m="1" x="93"/>
        <item m="1" x="855"/>
        <item m="1" x="528"/>
        <item m="1" x="78"/>
        <item m="1" x="265"/>
        <item m="1" x="164"/>
        <item m="1" x="523"/>
        <item m="1" x="84"/>
        <item m="1" x="122"/>
        <item m="1" x="410"/>
        <item m="1" x="318"/>
        <item m="1" x="901"/>
        <item x="5"/>
        <item m="1" x="129"/>
        <item m="1" x="130"/>
        <item m="1" x="275"/>
        <item m="1" x="126"/>
        <item m="1" x="854"/>
        <item m="1" x="242"/>
        <item m="1" x="124"/>
        <item m="1" x="856"/>
        <item m="1" x="892"/>
        <item m="1" x="201"/>
        <item m="1" x="219"/>
        <item m="1" x="135"/>
        <item m="1" x="286"/>
        <item m="1" x="886"/>
        <item m="1" x="487"/>
        <item m="1" x="879"/>
        <item m="1" x="72"/>
        <item m="1" x="840"/>
        <item m="1" x="106"/>
        <item m="1" x="816"/>
        <item m="1" x="411"/>
        <item m="1" x="136"/>
        <item m="1" x="295"/>
        <item m="1" x="97"/>
        <item m="1" x="697"/>
        <item m="1" x="394"/>
        <item m="1" x="897"/>
        <item m="1" x="96"/>
        <item m="1" x="502"/>
        <item m="1" x="849"/>
        <item m="1" x="261"/>
        <item m="1" x="889"/>
        <item m="1" x="369"/>
        <item m="1" x="103"/>
        <item m="1" x="158"/>
        <item m="1" x="141"/>
        <item m="1" x="796"/>
        <item m="1" x="866"/>
        <item m="1" x="872"/>
        <item m="1" x="402"/>
        <item m="1" x="906"/>
        <item m="1" x="424"/>
        <item m="1" x="94"/>
        <item m="1" x="166"/>
        <item m="1" x="827"/>
        <item m="1" x="497"/>
        <item m="1" x="111"/>
        <item m="1" x="899"/>
        <item m="1" x="176"/>
        <item m="1" x="877"/>
        <item m="1" x="829"/>
        <item m="1" x="279"/>
        <item m="1" x="146"/>
        <item m="1" x="134"/>
        <item m="1" x="861"/>
        <item m="1" x="172"/>
        <item m="1" x="482"/>
        <item m="1" x="167"/>
        <item m="1" x="99"/>
        <item m="1" x="59"/>
        <item m="1" x="153"/>
        <item m="1" x="191"/>
        <item m="1" x="171"/>
        <item m="1" x="150"/>
        <item m="1" x="169"/>
        <item m="1" x="845"/>
        <item m="1" x="307"/>
        <item m="1" x="163"/>
        <item m="1" x="888"/>
        <item m="1" x="89"/>
        <item m="1" x="860"/>
        <item m="1" x="434"/>
        <item m="1" x="880"/>
        <item m="1" x="843"/>
        <item m="1" x="266"/>
        <item x="12"/>
        <item m="1" x="495"/>
        <item m="1" x="177"/>
        <item m="1" x="137"/>
        <item m="1" x="105"/>
        <item m="1" x="890"/>
        <item m="1" x="857"/>
        <item m="1" x="87"/>
        <item m="1" x="500"/>
        <item m="1" x="90"/>
        <item m="1" x="152"/>
        <item m="1" x="184"/>
        <item m="1" x="823"/>
        <item m="1" x="493"/>
        <item m="1" x="496"/>
        <item m="1" x="187"/>
        <item m="1" x="811"/>
        <item m="1" x="893"/>
        <item m="1" x="839"/>
        <item m="1" x="112"/>
        <item m="1" x="484"/>
        <item m="1" x="92"/>
        <item m="1" x="867"/>
        <item m="1" x="530"/>
        <item m="1" x="486"/>
        <item m="1" x="838"/>
        <item m="1" x="873"/>
        <item m="1" x="526"/>
        <item m="1" x="127"/>
        <item m="1" x="107"/>
        <item m="1" x="148"/>
        <item x="3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showAll="0">
      <items count="885">
        <item x="10"/>
        <item x="515"/>
        <item x="9"/>
        <item x="514"/>
        <item x="8"/>
        <item x="11"/>
        <item x="516"/>
        <item x="15"/>
        <item x="627"/>
        <item x="6"/>
        <item x="625"/>
        <item x="508"/>
        <item x="13"/>
        <item x="620"/>
        <item x="12"/>
        <item x="595"/>
        <item x="883"/>
        <item x="596"/>
        <item x="622"/>
        <item x="20"/>
        <item x="683"/>
        <item x="623"/>
        <item x="597"/>
        <item x="509"/>
        <item x="599"/>
        <item x="626"/>
        <item x="621"/>
        <item x="14"/>
        <item x="624"/>
        <item x="21"/>
        <item x="684"/>
        <item x="18"/>
        <item x="660"/>
        <item x="882"/>
        <item x="619"/>
        <item x="601"/>
        <item x="603"/>
        <item x="635"/>
        <item x="7"/>
        <item x="510"/>
        <item x="584"/>
        <item x="213"/>
        <item x="517"/>
        <item x="602"/>
        <item x="17"/>
        <item x="639"/>
        <item x="687"/>
        <item x="711"/>
        <item x="19"/>
        <item x="682"/>
        <item x="881"/>
        <item x="556"/>
        <item x="3"/>
        <item x="634"/>
        <item x="210"/>
        <item x="661"/>
        <item x="630"/>
        <item x="608"/>
        <item x="633"/>
        <item x="591"/>
        <item x="507"/>
        <item x="447"/>
        <item x="16"/>
        <item x="632"/>
        <item x="650"/>
        <item x="776"/>
        <item x="777"/>
        <item x="750"/>
        <item x="600"/>
        <item x="588"/>
        <item x="356"/>
        <item x="594"/>
        <item x="5"/>
        <item x="378"/>
        <item x="741"/>
        <item x="450"/>
        <item x="655"/>
        <item x="412"/>
        <item x="641"/>
        <item x="398"/>
        <item x="593"/>
        <item x="604"/>
        <item x="880"/>
        <item x="754"/>
        <item x="628"/>
        <item x="681"/>
        <item x="581"/>
        <item x="770"/>
        <item x="676"/>
        <item x="537"/>
        <item x="2"/>
        <item x="424"/>
        <item x="746"/>
        <item x="209"/>
        <item x="721"/>
        <item x="659"/>
        <item x="638"/>
        <item x="320"/>
        <item x="446"/>
        <item x="211"/>
        <item x="513"/>
        <item x="673"/>
        <item x="4"/>
        <item x="393"/>
        <item x="738"/>
        <item x="314"/>
        <item x="686"/>
        <item x="397"/>
        <item x="317"/>
        <item x="755"/>
        <item x="386"/>
        <item x="416"/>
        <item x="511"/>
        <item x="561"/>
        <item x="394"/>
        <item x="590"/>
        <item x="674"/>
        <item x="519"/>
        <item x="403"/>
        <item x="283"/>
        <item x="421"/>
        <item x="284"/>
        <item x="568"/>
        <item x="607"/>
        <item x="444"/>
        <item x="646"/>
        <item x="212"/>
        <item x="731"/>
        <item x="629"/>
        <item x="569"/>
        <item x="765"/>
        <item x="716"/>
        <item x="372"/>
        <item x="522"/>
        <item x="804"/>
        <item x="329"/>
        <item x="691"/>
        <item x="834"/>
        <item x="300"/>
        <item x="637"/>
        <item x="685"/>
        <item x="613"/>
        <item x="690"/>
        <item x="390"/>
        <item x="589"/>
        <item x="725"/>
        <item x="631"/>
        <item x="303"/>
        <item x="534"/>
        <item x="256"/>
        <item x="724"/>
        <item x="277"/>
        <item x="302"/>
        <item x="521"/>
        <item x="298"/>
        <item x="252"/>
        <item x="740"/>
        <item x="577"/>
        <item x="609"/>
        <item x="269"/>
        <item x="752"/>
        <item x="663"/>
        <item x="565"/>
        <item x="642"/>
        <item x="689"/>
        <item x="739"/>
        <item x="570"/>
        <item x="652"/>
        <item x="360"/>
        <item x="55"/>
        <item x="448"/>
        <item x="571"/>
        <item x="611"/>
        <item x="520"/>
        <item x="575"/>
        <item x="771"/>
        <item x="658"/>
        <item x="348"/>
        <item x="605"/>
        <item x="640"/>
        <item x="538"/>
        <item x="718"/>
        <item x="696"/>
        <item x="719"/>
        <item x="423"/>
        <item x="417"/>
        <item x="294"/>
        <item x="518"/>
        <item x="592"/>
        <item x="615"/>
        <item x="680"/>
        <item x="736"/>
        <item x="551"/>
        <item x="409"/>
        <item x="579"/>
        <item x="400"/>
        <item x="587"/>
        <item x="365"/>
        <item x="243"/>
        <item x="743"/>
        <item x="643"/>
        <item x="357"/>
        <item x="758"/>
        <item x="734"/>
        <item x="490"/>
        <item x="536"/>
        <item x="717"/>
        <item x="368"/>
        <item x="200"/>
        <item x="668"/>
        <item x="525"/>
        <item x="199"/>
        <item x="720"/>
        <item x="452"/>
        <item x="347"/>
        <item x="710"/>
        <item x="477"/>
        <item x="665"/>
        <item x="574"/>
        <item x="272"/>
        <item x="586"/>
        <item x="618"/>
        <item x="39"/>
        <item x="449"/>
        <item x="310"/>
        <item x="296"/>
        <item x="457"/>
        <item x="697"/>
        <item x="578"/>
        <item x="413"/>
        <item x="706"/>
        <item x="781"/>
        <item x="404"/>
        <item x="353"/>
        <item x="422"/>
        <item x="742"/>
        <item x="362"/>
        <item x="547"/>
        <item x="74"/>
        <item x="737"/>
        <item x="359"/>
        <item x="133"/>
        <item x="617"/>
        <item x="567"/>
        <item x="286"/>
        <item x="807"/>
        <item x="488"/>
        <item x="304"/>
        <item x="749"/>
        <item x="512"/>
        <item x="330"/>
        <item x="460"/>
        <item x="546"/>
        <item x="328"/>
        <item x="405"/>
        <item x="489"/>
        <item x="879"/>
        <item x="636"/>
        <item x="744"/>
        <item x="333"/>
        <item x="388"/>
        <item x="688"/>
        <item x="700"/>
        <item x="656"/>
        <item x="297"/>
        <item x="653"/>
        <item x="764"/>
        <item x="331"/>
        <item x="43"/>
        <item x="389"/>
        <item x="299"/>
        <item x="778"/>
        <item x="550"/>
        <item x="529"/>
        <item x="699"/>
        <item x="692"/>
        <item x="582"/>
        <item x="585"/>
        <item x="295"/>
        <item x="678"/>
        <item x="260"/>
        <item x="375"/>
        <item x="80"/>
        <item x="733"/>
        <item x="370"/>
        <item x="583"/>
        <item x="373"/>
        <item x="399"/>
        <item x="475"/>
        <item x="757"/>
        <item x="612"/>
        <item x="647"/>
        <item x="453"/>
        <item x="693"/>
        <item x="384"/>
        <item x="306"/>
        <item x="654"/>
        <item x="554"/>
        <item x="410"/>
        <item x="377"/>
        <item x="791"/>
        <item x="704"/>
        <item x="363"/>
        <item x="29"/>
        <item x="309"/>
        <item x="185"/>
        <item x="576"/>
        <item x="598"/>
        <item x="48"/>
        <item x="313"/>
        <item x="324"/>
        <item x="425"/>
        <item x="268"/>
        <item x="616"/>
        <item x="772"/>
        <item x="476"/>
        <item x="206"/>
        <item x="24"/>
        <item x="677"/>
        <item x="198"/>
        <item x="434"/>
        <item x="271"/>
        <item x="234"/>
        <item x="763"/>
        <item x="319"/>
        <item x="217"/>
        <item x="168"/>
        <item x="745"/>
        <item x="649"/>
        <item x="722"/>
        <item x="846"/>
        <item x="46"/>
        <item x="408"/>
        <item x="664"/>
        <item x="415"/>
        <item x="523"/>
        <item x="644"/>
        <item x="726"/>
        <item x="712"/>
        <item x="847"/>
        <item x="535"/>
        <item x="445"/>
        <item x="769"/>
        <item x="301"/>
        <item x="707"/>
        <item x="524"/>
        <item x="606"/>
        <item x="539"/>
        <item x="426"/>
        <item x="438"/>
        <item x="762"/>
        <item x="760"/>
        <item x="263"/>
        <item x="675"/>
        <item x="713"/>
        <item x="874"/>
        <item x="728"/>
        <item x="433"/>
        <item x="287"/>
        <item x="326"/>
        <item x="293"/>
        <item x="349"/>
        <item x="419"/>
        <item x="848"/>
        <item x="548"/>
        <item x="780"/>
        <item x="727"/>
        <item x="42"/>
        <item x="702"/>
        <item x="34"/>
        <item x="315"/>
        <item x="493"/>
        <item x="528"/>
        <item x="327"/>
        <item x="245"/>
        <item x="188"/>
        <item x="572"/>
        <item x="262"/>
        <item x="494"/>
        <item x="146"/>
        <item x="555"/>
        <item x="418"/>
        <item x="751"/>
        <item x="816"/>
        <item x="371"/>
        <item x="549"/>
        <item x="228"/>
        <item x="485"/>
        <item x="126"/>
        <item x="288"/>
        <item x="573"/>
        <item x="558"/>
        <item x="526"/>
        <item x="145"/>
        <item x="505"/>
        <item x="192"/>
        <item x="40"/>
        <item x="747"/>
        <item x="189"/>
        <item x="759"/>
        <item x="541"/>
        <item x="531"/>
        <item x="152"/>
        <item x="662"/>
        <item x="729"/>
        <item x="392"/>
        <item x="379"/>
        <item x="285"/>
        <item x="732"/>
        <item x="337"/>
        <item x="266"/>
        <item x="440"/>
        <item x="215"/>
        <item x="241"/>
        <item x="36"/>
        <item x="171"/>
        <item x="367"/>
        <item x="265"/>
        <item x="376"/>
        <item x="428"/>
        <item x="70"/>
        <item x="352"/>
        <item x="645"/>
        <item x="97"/>
        <item x="414"/>
        <item x="708"/>
        <item x="857"/>
        <item x="540"/>
        <item x="543"/>
        <item x="532"/>
        <item x="25"/>
        <item x="831"/>
        <item x="544"/>
        <item x="358"/>
        <item x="785"/>
        <item x="312"/>
        <item x="224"/>
        <item x="220"/>
        <item x="311"/>
        <item x="748"/>
        <item x="361"/>
        <item x="803"/>
        <item x="281"/>
        <item x="499"/>
        <item x="350"/>
        <item x="818"/>
        <item x="342"/>
        <item x="30"/>
        <item x="37"/>
        <item x="814"/>
        <item x="767"/>
        <item x="336"/>
        <item x="557"/>
        <item x="282"/>
        <item x="466"/>
        <item x="183"/>
        <item x="614"/>
        <item x="204"/>
        <item x="679"/>
        <item x="427"/>
        <item x="822"/>
        <item x="23"/>
        <item x="429"/>
        <item x="545"/>
        <item x="339"/>
        <item x="275"/>
        <item x="580"/>
        <item x="773"/>
        <item x="369"/>
        <item x="787"/>
        <item x="316"/>
        <item x="380"/>
        <item x="756"/>
        <item x="202"/>
        <item x="169"/>
        <item x="856"/>
        <item x="354"/>
        <item x="411"/>
        <item x="775"/>
        <item x="157"/>
        <item x="563"/>
        <item x="420"/>
        <item x="442"/>
        <item x="182"/>
        <item x="486"/>
        <item x="264"/>
        <item x="566"/>
        <item x="766"/>
        <item x="325"/>
        <item x="657"/>
        <item x="47"/>
        <item x="564"/>
        <item x="131"/>
        <item x="560"/>
        <item x="439"/>
        <item x="162"/>
        <item x="197"/>
        <item x="167"/>
        <item x="875"/>
        <item x="774"/>
        <item x="714"/>
        <item x="343"/>
        <item x="670"/>
        <item x="735"/>
        <item x="355"/>
        <item x="227"/>
        <item x="229"/>
        <item x="181"/>
        <item x="340"/>
        <item x="274"/>
        <item x="85"/>
        <item x="705"/>
        <item x="180"/>
        <item x="201"/>
        <item x="492"/>
        <item x="542"/>
        <item x="147"/>
        <item x="219"/>
        <item x="53"/>
        <item x="346"/>
        <item x="695"/>
        <item x="240"/>
        <item x="58"/>
        <item x="174"/>
        <item x="221"/>
        <item x="121"/>
        <item x="164"/>
        <item x="129"/>
        <item x="280"/>
        <item x="666"/>
        <item x="160"/>
        <item x="820"/>
        <item x="179"/>
        <item x="187"/>
        <item x="481"/>
        <item x="175"/>
        <item x="402"/>
        <item x="503"/>
        <item x="308"/>
        <item x="381"/>
        <item x="395"/>
        <item x="190"/>
        <item x="559"/>
        <item x="648"/>
        <item x="90"/>
        <item x="184"/>
        <item x="667"/>
        <item x="401"/>
        <item x="552"/>
        <item x="867"/>
        <item x="73"/>
        <item x="278"/>
        <item x="806"/>
        <item x="321"/>
        <item x="92"/>
        <item x="840"/>
        <item x="364"/>
        <item x="334"/>
        <item x="137"/>
        <item x="479"/>
        <item x="223"/>
        <item x="794"/>
        <item x="351"/>
        <item x="610"/>
        <item x="790"/>
        <item x="730"/>
        <item x="259"/>
        <item x="87"/>
        <item x="802"/>
        <item x="242"/>
        <item x="651"/>
        <item x="527"/>
        <item x="45"/>
        <item x="843"/>
        <item x="270"/>
        <item x="391"/>
        <item x="257"/>
        <item x="715"/>
        <item x="338"/>
        <item x="165"/>
        <item x="196"/>
        <item x="872"/>
        <item x="89"/>
        <item x="205"/>
        <item x="186"/>
        <item x="877"/>
        <item x="694"/>
        <item x="93"/>
        <item x="244"/>
        <item x="796"/>
        <item x="779"/>
        <item x="170"/>
        <item x="784"/>
        <item x="501"/>
        <item x="226"/>
        <item x="482"/>
        <item x="111"/>
        <item x="261"/>
        <item x="292"/>
        <item x="562"/>
        <item x="208"/>
        <item x="232"/>
        <item x="82"/>
        <item x="203"/>
        <item x="230"/>
        <item x="249"/>
        <item x="246"/>
        <item x="497"/>
        <item x="222"/>
        <item x="123"/>
        <item x="207"/>
        <item x="478"/>
        <item x="870"/>
        <item x="231"/>
        <item x="842"/>
        <item x="52"/>
        <item x="289"/>
        <item x="33"/>
        <item x="32"/>
        <item x="553"/>
        <item x="194"/>
        <item x="195"/>
        <item x="250"/>
        <item x="172"/>
        <item x="789"/>
        <item x="443"/>
        <item x="239"/>
        <item x="701"/>
        <item x="461"/>
        <item x="291"/>
        <item x="28"/>
        <item x="698"/>
        <item x="176"/>
        <item x="335"/>
        <item x="322"/>
        <item x="150"/>
        <item x="533"/>
        <item x="853"/>
        <item x="140"/>
        <item x="117"/>
        <item x="471"/>
        <item x="49"/>
        <item x="407"/>
        <item x="496"/>
        <item x="41"/>
        <item x="823"/>
        <item x="470"/>
        <item x="854"/>
        <item x="530"/>
        <item x="81"/>
        <item x="703"/>
        <item x="332"/>
        <item x="866"/>
        <item x="671"/>
        <item x="344"/>
        <item x="672"/>
        <item x="723"/>
        <item x="57"/>
        <item x="218"/>
        <item x="51"/>
        <item x="793"/>
        <item x="273"/>
        <item x="26"/>
        <item x="855"/>
        <item x="859"/>
        <item x="235"/>
        <item x="753"/>
        <item x="792"/>
        <item x="255"/>
        <item x="709"/>
        <item x="487"/>
        <item x="248"/>
        <item x="473"/>
        <item x="437"/>
        <item x="35"/>
        <item x="808"/>
        <item x="462"/>
        <item x="127"/>
        <item x="813"/>
        <item x="836"/>
        <item x="431"/>
        <item x="72"/>
        <item x="161"/>
        <item x="307"/>
        <item x="253"/>
        <item x="67"/>
        <item x="27"/>
        <item x="825"/>
        <item x="504"/>
        <item x="809"/>
        <item x="800"/>
        <item x="103"/>
        <item x="761"/>
        <item x="63"/>
        <item x="441"/>
        <item x="786"/>
        <item x="385"/>
        <item x="455"/>
        <item x="91"/>
        <item x="430"/>
        <item x="798"/>
        <item x="837"/>
        <item x="491"/>
        <item x="435"/>
        <item x="225"/>
        <item x="824"/>
        <item x="436"/>
        <item x="100"/>
        <item x="451"/>
        <item x="387"/>
        <item x="830"/>
        <item x="797"/>
        <item x="116"/>
        <item x="155"/>
        <item x="236"/>
        <item x="463"/>
        <item x="95"/>
        <item x="115"/>
        <item x="483"/>
        <item x="112"/>
        <item x="506"/>
        <item x="480"/>
        <item x="841"/>
        <item x="134"/>
        <item x="464"/>
        <item x="132"/>
        <item x="850"/>
        <item x="318"/>
        <item x="178"/>
        <item x="835"/>
        <item x="151"/>
        <item x="114"/>
        <item x="876"/>
        <item x="863"/>
        <item x="177"/>
        <item x="819"/>
        <item x="54"/>
        <item x="868"/>
        <item x="154"/>
        <item x="276"/>
        <item x="193"/>
        <item x="323"/>
        <item x="86"/>
        <item x="104"/>
        <item x="105"/>
        <item x="88"/>
        <item x="60"/>
        <item x="158"/>
        <item x="119"/>
        <item x="484"/>
        <item x="110"/>
        <item x="345"/>
        <item x="254"/>
        <item x="782"/>
        <item x="76"/>
        <item x="216"/>
        <item x="805"/>
        <item x="153"/>
        <item x="432"/>
        <item x="142"/>
        <item x="305"/>
        <item x="38"/>
        <item x="166"/>
        <item x="128"/>
        <item x="65"/>
        <item x="827"/>
        <item x="500"/>
        <item x="50"/>
        <item x="237"/>
        <item x="136"/>
        <item x="495"/>
        <item x="56"/>
        <item x="94"/>
        <item x="382"/>
        <item x="290"/>
        <item x="873"/>
        <item x="101"/>
        <item x="102"/>
        <item x="247"/>
        <item x="98"/>
        <item x="826"/>
        <item x="214"/>
        <item x="96"/>
        <item x="828"/>
        <item x="864"/>
        <item x="173"/>
        <item x="191"/>
        <item x="107"/>
        <item x="258"/>
        <item x="858"/>
        <item x="459"/>
        <item x="851"/>
        <item x="44"/>
        <item x="812"/>
        <item x="78"/>
        <item x="788"/>
        <item x="383"/>
        <item x="108"/>
        <item x="267"/>
        <item x="69"/>
        <item x="669"/>
        <item x="366"/>
        <item x="869"/>
        <item x="68"/>
        <item x="474"/>
        <item x="821"/>
        <item x="233"/>
        <item x="861"/>
        <item x="341"/>
        <item x="75"/>
        <item x="130"/>
        <item x="113"/>
        <item x="768"/>
        <item x="838"/>
        <item x="844"/>
        <item x="374"/>
        <item x="878"/>
        <item x="396"/>
        <item x="66"/>
        <item x="138"/>
        <item x="799"/>
        <item x="469"/>
        <item x="83"/>
        <item x="871"/>
        <item x="148"/>
        <item x="849"/>
        <item x="801"/>
        <item x="251"/>
        <item x="118"/>
        <item x="106"/>
        <item x="833"/>
        <item x="144"/>
        <item x="454"/>
        <item x="139"/>
        <item x="71"/>
        <item x="31"/>
        <item x="125"/>
        <item x="163"/>
        <item x="143"/>
        <item x="122"/>
        <item x="141"/>
        <item x="817"/>
        <item x="279"/>
        <item x="135"/>
        <item x="860"/>
        <item x="61"/>
        <item x="832"/>
        <item x="406"/>
        <item x="852"/>
        <item x="815"/>
        <item x="238"/>
        <item x="1"/>
        <item x="467"/>
        <item x="149"/>
        <item x="109"/>
        <item x="77"/>
        <item x="862"/>
        <item x="829"/>
        <item x="59"/>
        <item x="472"/>
        <item x="62"/>
        <item x="124"/>
        <item x="156"/>
        <item x="795"/>
        <item x="465"/>
        <item x="468"/>
        <item x="159"/>
        <item x="783"/>
        <item x="865"/>
        <item x="811"/>
        <item x="84"/>
        <item x="456"/>
        <item x="64"/>
        <item x="839"/>
        <item x="502"/>
        <item x="458"/>
        <item x="810"/>
        <item x="845"/>
        <item x="498"/>
        <item x="99"/>
        <item x="79"/>
        <item x="120"/>
        <item x="0"/>
        <item x="22"/>
        <item t="default"/>
      </items>
    </pivotField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Fields count="2">
    <field x="17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8" hier="-1"/>
  </pageFields>
  <dataFields count="1">
    <dataField name="Sum of Answer Speed (AVG) Seconds" fld="21" baseField="16" baseItem="4" numFmtId="1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BF00-FD46-473D-9577-7B0356E420B7}">
  <dimension ref="A5:CM106"/>
  <sheetViews>
    <sheetView zoomScale="70" zoomScaleNormal="70" workbookViewId="0">
      <selection activeCell="BI1" sqref="BI1:BP1048576"/>
    </sheetView>
  </sheetViews>
  <sheetFormatPr defaultRowHeight="14.5" x14ac:dyDescent="0.35"/>
  <cols>
    <col min="1" max="1" width="19.6328125" bestFit="1" customWidth="1"/>
    <col min="2" max="2" width="16.453125" bestFit="1" customWidth="1"/>
    <col min="3" max="3" width="5.81640625" bestFit="1" customWidth="1"/>
    <col min="4" max="4" width="6.81640625" bestFit="1" customWidth="1"/>
    <col min="5" max="5" width="5.81640625" bestFit="1" customWidth="1"/>
    <col min="6" max="6" width="10.36328125" bestFit="1" customWidth="1"/>
    <col min="7" max="13" width="6.36328125" bestFit="1" customWidth="1"/>
    <col min="14" max="14" width="10.36328125" bestFit="1" customWidth="1"/>
    <col min="15" max="15" width="1.7265625" customWidth="1"/>
    <col min="16" max="16" width="20" bestFit="1" customWidth="1"/>
    <col min="17" max="17" width="16.453125" bestFit="1" customWidth="1"/>
    <col min="18" max="20" width="6.36328125" bestFit="1" customWidth="1"/>
    <col min="21" max="21" width="10.36328125" bestFit="1" customWidth="1"/>
    <col min="22" max="28" width="6.36328125" bestFit="1" customWidth="1"/>
    <col min="29" max="29" width="10.36328125" bestFit="1" customWidth="1"/>
    <col min="30" max="30" width="1.6328125" customWidth="1"/>
    <col min="31" max="31" width="23.36328125" bestFit="1" customWidth="1"/>
    <col min="32" max="32" width="16.453125" bestFit="1" customWidth="1"/>
    <col min="33" max="34" width="5.90625" bestFit="1" customWidth="1"/>
    <col min="35" max="35" width="7.08984375" bestFit="1" customWidth="1"/>
    <col min="36" max="36" width="10.36328125" bestFit="1" customWidth="1"/>
    <col min="37" max="37" width="5.90625" bestFit="1" customWidth="1"/>
    <col min="38" max="43" width="6.90625" bestFit="1" customWidth="1"/>
    <col min="44" max="45" width="1.6328125" customWidth="1"/>
    <col min="46" max="46" width="5.81640625" bestFit="1" customWidth="1"/>
    <col min="47" max="47" width="4.36328125" bestFit="1" customWidth="1"/>
    <col min="48" max="49" width="4.81640625" bestFit="1" customWidth="1"/>
    <col min="50" max="50" width="20" bestFit="1" customWidth="1"/>
    <col min="51" max="51" width="7.7265625" bestFit="1" customWidth="1"/>
    <col min="52" max="52" width="4.81640625" bestFit="1" customWidth="1"/>
    <col min="53" max="54" width="4.36328125" bestFit="1" customWidth="1"/>
    <col min="55" max="55" width="4.81640625" bestFit="1" customWidth="1"/>
    <col min="56" max="57" width="4.36328125" bestFit="1" customWidth="1"/>
    <col min="58" max="59" width="4.81640625" bestFit="1" customWidth="1"/>
    <col min="60" max="60" width="4.36328125" bestFit="1" customWidth="1"/>
    <col min="61" max="68" width="9.81640625" customWidth="1"/>
    <col min="82" max="84" width="1.6328125" customWidth="1"/>
    <col min="85" max="85" width="17.453125" style="16" bestFit="1" customWidth="1"/>
    <col min="86" max="86" width="19.6328125" bestFit="1" customWidth="1"/>
    <col min="87" max="87" width="16.453125" bestFit="1" customWidth="1"/>
    <col min="88" max="89" width="4.81640625" bestFit="1" customWidth="1"/>
    <col min="90" max="90" width="3.81640625" bestFit="1" customWidth="1"/>
    <col min="91" max="91" width="10.36328125" bestFit="1" customWidth="1"/>
    <col min="92" max="95" width="8.26953125" bestFit="1" customWidth="1"/>
    <col min="96" max="117" width="9.26953125" bestFit="1" customWidth="1"/>
    <col min="118" max="126" width="8.26953125" bestFit="1" customWidth="1"/>
    <col min="127" max="147" width="9.26953125" bestFit="1" customWidth="1"/>
    <col min="148" max="156" width="8.26953125" bestFit="1" customWidth="1"/>
    <col min="157" max="178" width="9.26953125" bestFit="1" customWidth="1"/>
    <col min="179" max="179" width="10.36328125" bestFit="1" customWidth="1"/>
    <col min="180" max="187" width="8.26953125" bestFit="1" customWidth="1"/>
    <col min="188" max="209" width="9.26953125" bestFit="1" customWidth="1"/>
    <col min="210" max="218" width="8.26953125" bestFit="1" customWidth="1"/>
    <col min="219" max="239" width="9.26953125" bestFit="1" customWidth="1"/>
    <col min="240" max="248" width="8.26953125" bestFit="1" customWidth="1"/>
    <col min="249" max="270" width="9.26953125" bestFit="1" customWidth="1"/>
    <col min="271" max="279" width="8.26953125" bestFit="1" customWidth="1"/>
    <col min="280" max="301" width="9.26953125" bestFit="1" customWidth="1"/>
    <col min="302" max="310" width="8.26953125" bestFit="1" customWidth="1"/>
    <col min="311" max="331" width="9.26953125" bestFit="1" customWidth="1"/>
    <col min="332" max="340" width="8.26953125" bestFit="1" customWidth="1"/>
    <col min="341" max="362" width="9.26953125" bestFit="1" customWidth="1"/>
    <col min="363" max="371" width="8.26953125" bestFit="1" customWidth="1"/>
    <col min="372" max="393" width="9.26953125" bestFit="1" customWidth="1"/>
    <col min="394" max="402" width="8.26953125" bestFit="1" customWidth="1"/>
    <col min="403" max="423" width="9.26953125" bestFit="1" customWidth="1"/>
    <col min="424" max="432" width="8.26953125" bestFit="1" customWidth="1"/>
    <col min="433" max="454" width="9.26953125" bestFit="1" customWidth="1"/>
    <col min="455" max="455" width="10.36328125" bestFit="1" customWidth="1"/>
    <col min="456" max="460" width="8.26953125" bestFit="1" customWidth="1"/>
    <col min="461" max="482" width="9.26953125" bestFit="1" customWidth="1"/>
    <col min="483" max="491" width="8.26953125" bestFit="1" customWidth="1"/>
    <col min="492" max="510" width="9.26953125" bestFit="1" customWidth="1"/>
    <col min="511" max="519" width="8.26953125" bestFit="1" customWidth="1"/>
    <col min="520" max="541" width="9.26953125" bestFit="1" customWidth="1"/>
    <col min="542" max="550" width="8.26953125" bestFit="1" customWidth="1"/>
    <col min="551" max="571" width="9.26953125" bestFit="1" customWidth="1"/>
    <col min="572" max="580" width="8.26953125" bestFit="1" customWidth="1"/>
    <col min="581" max="602" width="9.26953125" bestFit="1" customWidth="1"/>
    <col min="603" max="611" width="8.26953125" bestFit="1" customWidth="1"/>
    <col min="612" max="632" width="9.26953125" bestFit="1" customWidth="1"/>
    <col min="633" max="641" width="8.26953125" bestFit="1" customWidth="1"/>
    <col min="642" max="663" width="9.26953125" bestFit="1" customWidth="1"/>
    <col min="664" max="672" width="8.26953125" bestFit="1" customWidth="1"/>
    <col min="673" max="694" width="9.26953125" bestFit="1" customWidth="1"/>
    <col min="695" max="703" width="8.26953125" bestFit="1" customWidth="1"/>
    <col min="704" max="733" width="9.26953125" bestFit="1" customWidth="1"/>
    <col min="734" max="755" width="10.26953125" bestFit="1" customWidth="1"/>
    <col min="756" max="764" width="9.26953125" bestFit="1" customWidth="1"/>
    <col min="765" max="785" width="10.26953125" bestFit="1" customWidth="1"/>
    <col min="786" max="794" width="9.26953125" bestFit="1" customWidth="1"/>
    <col min="795" max="816" width="10.26953125" bestFit="1" customWidth="1"/>
    <col min="817" max="825" width="8.26953125" bestFit="1" customWidth="1"/>
    <col min="826" max="847" width="9.26953125" bestFit="1" customWidth="1"/>
    <col min="848" max="856" width="8.26953125" bestFit="1" customWidth="1"/>
    <col min="857" max="875" width="9.26953125" bestFit="1" customWidth="1"/>
    <col min="876" max="884" width="8.26953125" bestFit="1" customWidth="1"/>
    <col min="885" max="906" width="9.26953125" bestFit="1" customWidth="1"/>
    <col min="907" max="915" width="8.26953125" bestFit="1" customWidth="1"/>
    <col min="916" max="936" width="9.26953125" bestFit="1" customWidth="1"/>
    <col min="937" max="945" width="8.26953125" bestFit="1" customWidth="1"/>
    <col min="946" max="967" width="9.26953125" bestFit="1" customWidth="1"/>
    <col min="968" max="976" width="8.26953125" bestFit="1" customWidth="1"/>
    <col min="977" max="997" width="9.26953125" bestFit="1" customWidth="1"/>
    <col min="998" max="1006" width="8.26953125" bestFit="1" customWidth="1"/>
    <col min="1007" max="1028" width="9.26953125" bestFit="1" customWidth="1"/>
    <col min="1029" max="1037" width="8.26953125" bestFit="1" customWidth="1"/>
    <col min="1038" max="1059" width="9.26953125" bestFit="1" customWidth="1"/>
    <col min="1060" max="1068" width="8.26953125" bestFit="1" customWidth="1"/>
    <col min="1069" max="1098" width="9.26953125" bestFit="1" customWidth="1"/>
    <col min="1099" max="1120" width="10.26953125" bestFit="1" customWidth="1"/>
    <col min="1121" max="1129" width="9.26953125" bestFit="1" customWidth="1"/>
    <col min="1130" max="1150" width="10.26953125" bestFit="1" customWidth="1"/>
    <col min="1151" max="1159" width="9.26953125" bestFit="1" customWidth="1"/>
    <col min="1160" max="1181" width="10.26953125" bestFit="1" customWidth="1"/>
    <col min="1182" max="1190" width="8.26953125" bestFit="1" customWidth="1"/>
    <col min="1191" max="1212" width="9.26953125" bestFit="1" customWidth="1"/>
    <col min="1213" max="1221" width="8.26953125" bestFit="1" customWidth="1"/>
    <col min="1222" max="1241" width="9.26953125" bestFit="1" customWidth="1"/>
    <col min="1242" max="1250" width="8.26953125" bestFit="1" customWidth="1"/>
    <col min="1251" max="1272" width="9.26953125" bestFit="1" customWidth="1"/>
    <col min="1273" max="1281" width="8.26953125" bestFit="1" customWidth="1"/>
    <col min="1282" max="1302" width="9.26953125" bestFit="1" customWidth="1"/>
    <col min="1303" max="1311" width="8.26953125" bestFit="1" customWidth="1"/>
    <col min="1312" max="1333" width="9.26953125" bestFit="1" customWidth="1"/>
    <col min="1334" max="1337" width="8.26953125" bestFit="1" customWidth="1"/>
    <col min="1338" max="1338" width="10.36328125" bestFit="1" customWidth="1"/>
  </cols>
  <sheetData>
    <row r="5" spans="31:91" x14ac:dyDescent="0.35">
      <c r="CH5" s="7" t="s">
        <v>21</v>
      </c>
      <c r="CI5" t="s">
        <v>19</v>
      </c>
    </row>
    <row r="6" spans="31:91" x14ac:dyDescent="0.35">
      <c r="CH6" s="7" t="s">
        <v>35</v>
      </c>
      <c r="CI6" t="s">
        <v>22</v>
      </c>
    </row>
    <row r="8" spans="31:91" x14ac:dyDescent="0.35">
      <c r="CH8" s="7" t="s">
        <v>36</v>
      </c>
      <c r="CI8" s="7" t="s">
        <v>38</v>
      </c>
    </row>
    <row r="9" spans="31:91" x14ac:dyDescent="0.35">
      <c r="CG9" s="16" t="s">
        <v>58</v>
      </c>
      <c r="CH9" s="7" t="s">
        <v>14</v>
      </c>
      <c r="CI9" t="s">
        <v>25</v>
      </c>
      <c r="CJ9" t="s">
        <v>26</v>
      </c>
      <c r="CK9" t="s">
        <v>27</v>
      </c>
      <c r="CL9" t="s">
        <v>28</v>
      </c>
      <c r="CM9" t="s">
        <v>15</v>
      </c>
    </row>
    <row r="10" spans="31:91" x14ac:dyDescent="0.35">
      <c r="CH10" s="15">
        <v>45352</v>
      </c>
      <c r="CI10">
        <v>241</v>
      </c>
      <c r="CM10">
        <v>241</v>
      </c>
    </row>
    <row r="11" spans="31:91" x14ac:dyDescent="0.35">
      <c r="CH11" s="15">
        <v>45353</v>
      </c>
      <c r="CI11">
        <v>280</v>
      </c>
      <c r="CM11">
        <v>280</v>
      </c>
    </row>
    <row r="12" spans="31:91" x14ac:dyDescent="0.35">
      <c r="CH12" s="15">
        <v>45354</v>
      </c>
      <c r="CI12">
        <v>294</v>
      </c>
      <c r="CM12">
        <v>294</v>
      </c>
    </row>
    <row r="13" spans="31:91" x14ac:dyDescent="0.35">
      <c r="CH13" s="15">
        <v>45355</v>
      </c>
      <c r="CI13">
        <v>290</v>
      </c>
      <c r="CM13">
        <v>290</v>
      </c>
    </row>
    <row r="14" spans="31:91" x14ac:dyDescent="0.35">
      <c r="AE14" s="8"/>
      <c r="AF14" s="10"/>
      <c r="AG14" s="10"/>
      <c r="AH14" s="10"/>
      <c r="AI14" s="10"/>
      <c r="AJ14" s="10"/>
      <c r="AK14" s="10"/>
      <c r="CH14" s="15">
        <v>45356</v>
      </c>
      <c r="CI14">
        <v>32</v>
      </c>
      <c r="CM14">
        <v>32</v>
      </c>
    </row>
    <row r="15" spans="31:91" x14ac:dyDescent="0.35">
      <c r="CH15" s="15">
        <v>45357</v>
      </c>
      <c r="CI15">
        <v>270</v>
      </c>
      <c r="CM15">
        <v>270</v>
      </c>
    </row>
    <row r="16" spans="31:91" x14ac:dyDescent="0.35">
      <c r="CG16" s="16">
        <f>AVERAGE(CI10:CI16)</f>
        <v>231.28571428571428</v>
      </c>
      <c r="CH16" s="15">
        <v>45358</v>
      </c>
      <c r="CI16">
        <v>212</v>
      </c>
      <c r="CM16">
        <v>212</v>
      </c>
    </row>
    <row r="17" spans="1:91" x14ac:dyDescent="0.35">
      <c r="CG17" s="16">
        <f t="shared" ref="CG17:CG46" si="0">AVERAGE(CI11:CI17)</f>
        <v>232</v>
      </c>
      <c r="CH17" s="15">
        <v>45359</v>
      </c>
      <c r="CI17">
        <v>246</v>
      </c>
      <c r="CM17">
        <v>246</v>
      </c>
    </row>
    <row r="18" spans="1:91" x14ac:dyDescent="0.35">
      <c r="CG18" s="16">
        <f t="shared" si="0"/>
        <v>219.71428571428572</v>
      </c>
      <c r="CH18" s="15">
        <v>45360</v>
      </c>
      <c r="CI18">
        <v>194</v>
      </c>
      <c r="CM18">
        <v>194</v>
      </c>
    </row>
    <row r="19" spans="1:91" x14ac:dyDescent="0.35">
      <c r="CG19" s="16">
        <f t="shared" si="0"/>
        <v>203.28571428571428</v>
      </c>
      <c r="CH19" s="15">
        <v>45361</v>
      </c>
      <c r="CI19">
        <v>179</v>
      </c>
      <c r="CM19">
        <v>179</v>
      </c>
    </row>
    <row r="20" spans="1:91" x14ac:dyDescent="0.35">
      <c r="CG20" s="16">
        <f t="shared" si="0"/>
        <v>171.42857142857142</v>
      </c>
      <c r="CH20" s="15">
        <v>45362</v>
      </c>
      <c r="CI20">
        <v>67</v>
      </c>
      <c r="CM20">
        <v>67</v>
      </c>
    </row>
    <row r="21" spans="1:91" x14ac:dyDescent="0.35">
      <c r="CG21" s="16">
        <f t="shared" si="0"/>
        <v>170.71428571428572</v>
      </c>
      <c r="CH21" s="15">
        <v>45363</v>
      </c>
      <c r="CI21">
        <v>27</v>
      </c>
      <c r="CM21">
        <v>27</v>
      </c>
    </row>
    <row r="22" spans="1:91" x14ac:dyDescent="0.35">
      <c r="CG22" s="16">
        <f t="shared" si="0"/>
        <v>159.28571428571428</v>
      </c>
      <c r="CH22" s="15">
        <v>45364</v>
      </c>
      <c r="CI22">
        <v>190</v>
      </c>
      <c r="CM22">
        <v>190</v>
      </c>
    </row>
    <row r="23" spans="1:91" x14ac:dyDescent="0.35">
      <c r="CG23" s="16">
        <f t="shared" si="0"/>
        <v>159.42857142857142</v>
      </c>
      <c r="CH23" s="15">
        <v>45365</v>
      </c>
      <c r="CI23">
        <v>213</v>
      </c>
      <c r="CM23">
        <v>213</v>
      </c>
    </row>
    <row r="24" spans="1:91" x14ac:dyDescent="0.35">
      <c r="CG24" s="16">
        <f t="shared" si="0"/>
        <v>154</v>
      </c>
      <c r="CH24" s="15">
        <v>45366</v>
      </c>
      <c r="CI24">
        <v>208</v>
      </c>
      <c r="CM24">
        <v>208</v>
      </c>
    </row>
    <row r="25" spans="1:91" x14ac:dyDescent="0.35">
      <c r="AX25" s="7" t="s">
        <v>21</v>
      </c>
      <c r="AY25" t="s">
        <v>18</v>
      </c>
      <c r="CG25" s="16">
        <f t="shared" si="0"/>
        <v>150</v>
      </c>
      <c r="CH25" s="15">
        <v>45367</v>
      </c>
      <c r="CI25">
        <v>166</v>
      </c>
      <c r="CM25">
        <v>166</v>
      </c>
    </row>
    <row r="26" spans="1:91" x14ac:dyDescent="0.35">
      <c r="AX26" s="7" t="s">
        <v>35</v>
      </c>
      <c r="AY26" t="s">
        <v>20</v>
      </c>
      <c r="CG26" s="16">
        <f t="shared" si="0"/>
        <v>148.57142857142858</v>
      </c>
      <c r="CH26" s="15">
        <v>45368</v>
      </c>
      <c r="CI26">
        <v>169</v>
      </c>
      <c r="CM26">
        <v>169</v>
      </c>
    </row>
    <row r="27" spans="1:91" x14ac:dyDescent="0.35">
      <c r="Q27" t="s">
        <v>22</v>
      </c>
      <c r="AF27" t="s">
        <v>22</v>
      </c>
      <c r="AX27" s="7" t="s">
        <v>43</v>
      </c>
      <c r="AY27" t="s">
        <v>22</v>
      </c>
      <c r="CG27" s="16">
        <f t="shared" si="0"/>
        <v>164</v>
      </c>
      <c r="CH27" s="15">
        <v>45369</v>
      </c>
      <c r="CI27">
        <v>175</v>
      </c>
      <c r="CM27">
        <v>175</v>
      </c>
    </row>
    <row r="28" spans="1:91" x14ac:dyDescent="0.35">
      <c r="AX28" s="7" t="s">
        <v>11</v>
      </c>
      <c r="AY28" t="s">
        <v>22</v>
      </c>
      <c r="CG28" s="16">
        <f t="shared" si="0"/>
        <v>166.28571428571428</v>
      </c>
      <c r="CH28" s="15">
        <v>45370</v>
      </c>
      <c r="CI28">
        <v>43</v>
      </c>
      <c r="CM28">
        <v>43</v>
      </c>
    </row>
    <row r="29" spans="1:91" x14ac:dyDescent="0.35">
      <c r="AX29" s="7" t="s">
        <v>44</v>
      </c>
      <c r="AY29" t="s">
        <v>22</v>
      </c>
      <c r="CG29" s="16">
        <f t="shared" si="0"/>
        <v>142.57142857142858</v>
      </c>
      <c r="CH29" s="15">
        <v>45371</v>
      </c>
      <c r="CI29">
        <v>24</v>
      </c>
      <c r="CM29">
        <v>24</v>
      </c>
    </row>
    <row r="30" spans="1:91" x14ac:dyDescent="0.35">
      <c r="A30" s="7" t="s">
        <v>35</v>
      </c>
      <c r="B30" t="s">
        <v>22</v>
      </c>
      <c r="P30" s="7" t="s">
        <v>35</v>
      </c>
      <c r="Q30" t="s">
        <v>22</v>
      </c>
      <c r="AE30" s="7" t="s">
        <v>35</v>
      </c>
      <c r="AF30" t="s">
        <v>22</v>
      </c>
      <c r="CG30" s="16">
        <f t="shared" si="0"/>
        <v>115.85714285714286</v>
      </c>
      <c r="CH30" s="15">
        <v>45372</v>
      </c>
      <c r="CI30">
        <v>26</v>
      </c>
      <c r="CM30">
        <v>26</v>
      </c>
    </row>
    <row r="31" spans="1:91" x14ac:dyDescent="0.35">
      <c r="AX31" s="7" t="s">
        <v>37</v>
      </c>
      <c r="CG31" s="16">
        <f t="shared" si="0"/>
        <v>92.142857142857139</v>
      </c>
      <c r="CH31" s="15">
        <v>45373</v>
      </c>
      <c r="CI31">
        <v>42</v>
      </c>
      <c r="CM31">
        <v>42</v>
      </c>
    </row>
    <row r="32" spans="1:91" x14ac:dyDescent="0.35">
      <c r="A32" s="7" t="s">
        <v>36</v>
      </c>
      <c r="B32" s="7" t="s">
        <v>38</v>
      </c>
      <c r="P32" s="7" t="s">
        <v>37</v>
      </c>
      <c r="Q32" s="7" t="s">
        <v>38</v>
      </c>
      <c r="AE32" s="7" t="s">
        <v>39</v>
      </c>
      <c r="AF32" s="7" t="s">
        <v>38</v>
      </c>
      <c r="AX32" s="7" t="s">
        <v>46</v>
      </c>
      <c r="AY32" t="s">
        <v>45</v>
      </c>
      <c r="CG32" s="16">
        <f t="shared" si="0"/>
        <v>73.714285714285708</v>
      </c>
      <c r="CH32" s="15">
        <v>45374</v>
      </c>
      <c r="CI32">
        <v>37</v>
      </c>
      <c r="CM32">
        <v>37</v>
      </c>
    </row>
    <row r="33" spans="1:91" x14ac:dyDescent="0.35"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 t="s">
        <v>32</v>
      </c>
      <c r="L33" t="s">
        <v>33</v>
      </c>
      <c r="M33" t="s">
        <v>34</v>
      </c>
      <c r="N33" t="s">
        <v>15</v>
      </c>
      <c r="Q33" t="s">
        <v>23</v>
      </c>
      <c r="R33" t="s">
        <v>24</v>
      </c>
      <c r="S33" t="s">
        <v>25</v>
      </c>
      <c r="T33" t="s">
        <v>26</v>
      </c>
      <c r="U33" t="s">
        <v>27</v>
      </c>
      <c r="V33" t="s">
        <v>28</v>
      </c>
      <c r="W33" t="s">
        <v>29</v>
      </c>
      <c r="X33" t="s">
        <v>30</v>
      </c>
      <c r="Y33" t="s">
        <v>31</v>
      </c>
      <c r="Z33" t="s">
        <v>32</v>
      </c>
      <c r="AA33" t="s">
        <v>33</v>
      </c>
      <c r="AB33" t="s">
        <v>34</v>
      </c>
      <c r="AC33" t="s">
        <v>15</v>
      </c>
      <c r="AF33" t="s">
        <v>23</v>
      </c>
      <c r="AG33" t="s">
        <v>24</v>
      </c>
      <c r="AH33" t="s">
        <v>25</v>
      </c>
      <c r="AI33" t="s">
        <v>26</v>
      </c>
      <c r="AJ33" t="s">
        <v>27</v>
      </c>
      <c r="AK33" t="s">
        <v>28</v>
      </c>
      <c r="AL33" t="s">
        <v>29</v>
      </c>
      <c r="AM33" t="s">
        <v>30</v>
      </c>
      <c r="AN33" t="s">
        <v>31</v>
      </c>
      <c r="AO33" t="s">
        <v>32</v>
      </c>
      <c r="AP33" t="s">
        <v>33</v>
      </c>
      <c r="AQ33" t="s">
        <v>34</v>
      </c>
      <c r="AR33" t="s">
        <v>15</v>
      </c>
      <c r="AX33" t="s">
        <v>53</v>
      </c>
      <c r="AY33">
        <v>729</v>
      </c>
      <c r="CG33" s="16">
        <f t="shared" si="0"/>
        <v>58.142857142857146</v>
      </c>
      <c r="CH33" s="15">
        <v>45375</v>
      </c>
      <c r="CI33">
        <v>60</v>
      </c>
      <c r="CM33">
        <v>60</v>
      </c>
    </row>
    <row r="34" spans="1:91" x14ac:dyDescent="0.35">
      <c r="A34" s="7" t="s">
        <v>14</v>
      </c>
      <c r="P34" s="7" t="s">
        <v>14</v>
      </c>
      <c r="AE34" s="7" t="s">
        <v>14</v>
      </c>
      <c r="AX34" t="s">
        <v>52</v>
      </c>
      <c r="AY34">
        <v>945</v>
      </c>
      <c r="CG34" s="16">
        <f t="shared" si="0"/>
        <v>44.857142857142854</v>
      </c>
      <c r="CH34" s="15">
        <v>45376</v>
      </c>
      <c r="CI34">
        <v>82</v>
      </c>
      <c r="CM34">
        <v>82</v>
      </c>
    </row>
    <row r="35" spans="1:91" x14ac:dyDescent="0.35">
      <c r="A35" s="8" t="s">
        <v>16</v>
      </c>
      <c r="B35" s="9">
        <v>5805</v>
      </c>
      <c r="C35" s="9">
        <v>5372</v>
      </c>
      <c r="D35" s="9">
        <v>4418</v>
      </c>
      <c r="E35" s="9">
        <v>4785</v>
      </c>
      <c r="F35" s="9">
        <v>5379</v>
      </c>
      <c r="G35" s="9">
        <v>3570</v>
      </c>
      <c r="H35" s="9">
        <v>5801</v>
      </c>
      <c r="I35" s="9">
        <v>5889</v>
      </c>
      <c r="J35" s="9">
        <v>4894</v>
      </c>
      <c r="K35" s="9">
        <v>6459</v>
      </c>
      <c r="L35" s="9">
        <v>4788</v>
      </c>
      <c r="M35" s="9">
        <v>6634</v>
      </c>
      <c r="N35" s="9">
        <v>63794</v>
      </c>
      <c r="P35" s="8" t="s">
        <v>16</v>
      </c>
      <c r="Q35" s="9">
        <v>5468</v>
      </c>
      <c r="R35" s="9">
        <v>5222</v>
      </c>
      <c r="S35" s="9">
        <v>4291</v>
      </c>
      <c r="T35" s="9">
        <v>4680</v>
      </c>
      <c r="U35" s="9">
        <v>5244</v>
      </c>
      <c r="V35" s="9">
        <v>3439</v>
      </c>
      <c r="W35" s="9">
        <v>5522</v>
      </c>
      <c r="X35" s="9">
        <v>5424</v>
      </c>
      <c r="Y35" s="9">
        <v>4667</v>
      </c>
      <c r="Z35" s="9">
        <v>6101</v>
      </c>
      <c r="AA35" s="9">
        <v>4470</v>
      </c>
      <c r="AB35" s="9">
        <v>6116</v>
      </c>
      <c r="AC35" s="9">
        <v>60644</v>
      </c>
      <c r="AE35" s="8" t="s">
        <v>16</v>
      </c>
      <c r="AF35" s="10">
        <v>5.805340223944875E-2</v>
      </c>
      <c r="AG35" s="10">
        <v>2.7922561429635145E-2</v>
      </c>
      <c r="AH35" s="10">
        <v>2.8746038931643278E-2</v>
      </c>
      <c r="AI35" s="10">
        <v>2.1943573667711599E-2</v>
      </c>
      <c r="AJ35" s="10">
        <v>2.509760178471835E-2</v>
      </c>
      <c r="AK35" s="10">
        <v>3.6694677871148461E-2</v>
      </c>
      <c r="AL35" s="10">
        <v>4.8095156007584898E-2</v>
      </c>
      <c r="AM35" s="10">
        <v>7.8960774325012736E-2</v>
      </c>
      <c r="AN35" s="10">
        <v>4.6383326522272172E-2</v>
      </c>
      <c r="AO35" s="10">
        <v>5.5426536615575166E-2</v>
      </c>
      <c r="AP35" s="10">
        <v>6.6416040100250623E-2</v>
      </c>
      <c r="AQ35" s="10">
        <v>7.8082604763340363E-2</v>
      </c>
      <c r="AR35" s="10">
        <v>4.9377684421732453E-2</v>
      </c>
      <c r="AX35" t="s">
        <v>51</v>
      </c>
      <c r="AY35">
        <v>1200</v>
      </c>
      <c r="CG35" s="16">
        <f t="shared" si="0"/>
        <v>43.142857142857146</v>
      </c>
      <c r="CH35" s="15">
        <v>45377</v>
      </c>
      <c r="CI35">
        <v>31</v>
      </c>
      <c r="CM35">
        <v>31</v>
      </c>
    </row>
    <row r="36" spans="1:91" x14ac:dyDescent="0.35">
      <c r="A36" s="8" t="s">
        <v>17</v>
      </c>
      <c r="B36" s="9">
        <v>5001</v>
      </c>
      <c r="C36" s="9">
        <v>3567</v>
      </c>
      <c r="D36" s="9">
        <v>3277</v>
      </c>
      <c r="E36" s="9">
        <v>3146</v>
      </c>
      <c r="F36" s="9">
        <v>3419</v>
      </c>
      <c r="G36" s="9">
        <v>4346</v>
      </c>
      <c r="H36" s="9">
        <v>4454</v>
      </c>
      <c r="I36" s="9">
        <v>3641</v>
      </c>
      <c r="J36" s="9">
        <v>3614</v>
      </c>
      <c r="K36" s="9">
        <v>4225</v>
      </c>
      <c r="L36" s="9">
        <v>6240</v>
      </c>
      <c r="M36" s="9">
        <v>6327</v>
      </c>
      <c r="N36" s="9">
        <v>51257</v>
      </c>
      <c r="P36" s="8" t="s">
        <v>17</v>
      </c>
      <c r="Q36" s="9">
        <v>4586</v>
      </c>
      <c r="R36" s="9">
        <v>3317</v>
      </c>
      <c r="S36" s="9">
        <v>3041</v>
      </c>
      <c r="T36" s="9">
        <v>2969</v>
      </c>
      <c r="U36" s="9">
        <v>3137</v>
      </c>
      <c r="V36" s="9">
        <v>3965</v>
      </c>
      <c r="W36" s="9">
        <v>4061</v>
      </c>
      <c r="X36" s="9">
        <v>3512</v>
      </c>
      <c r="Y36" s="9">
        <v>3465</v>
      </c>
      <c r="Z36" s="9">
        <v>4031</v>
      </c>
      <c r="AA36" s="9">
        <v>4203</v>
      </c>
      <c r="AB36" s="9">
        <v>5777</v>
      </c>
      <c r="AC36" s="9">
        <v>46064</v>
      </c>
      <c r="AE36" s="8" t="s">
        <v>17</v>
      </c>
      <c r="AF36" s="10">
        <v>8.2983403319336138E-2</v>
      </c>
      <c r="AG36" s="10">
        <v>7.0086907765629383E-2</v>
      </c>
      <c r="AH36" s="10">
        <v>7.2017088800732376E-2</v>
      </c>
      <c r="AI36" s="10">
        <v>5.6261919898283531E-2</v>
      </c>
      <c r="AJ36" s="10">
        <v>8.2480257385200345E-2</v>
      </c>
      <c r="AK36" s="10">
        <v>8.7666820064427053E-2</v>
      </c>
      <c r="AL36" s="10">
        <v>8.8235294117647065E-2</v>
      </c>
      <c r="AM36" s="10">
        <v>3.542982697061247E-2</v>
      </c>
      <c r="AN36" s="10">
        <v>4.1228555617044825E-2</v>
      </c>
      <c r="AO36" s="10">
        <v>4.5917159763313613E-2</v>
      </c>
      <c r="AP36" s="10">
        <v>0.3264423076923077</v>
      </c>
      <c r="AQ36" s="10">
        <v>8.6929034297455354E-2</v>
      </c>
      <c r="AR36" s="10">
        <v>0.1013129913962971</v>
      </c>
      <c r="AX36" t="s">
        <v>50</v>
      </c>
      <c r="AY36">
        <v>2227</v>
      </c>
      <c r="CG36" s="16">
        <f t="shared" si="0"/>
        <v>65.142857142857139</v>
      </c>
      <c r="CH36" s="15">
        <v>45378</v>
      </c>
      <c r="CI36">
        <v>178</v>
      </c>
      <c r="CM36">
        <v>178</v>
      </c>
    </row>
    <row r="37" spans="1:91" x14ac:dyDescent="0.35">
      <c r="A37" s="8" t="s">
        <v>18</v>
      </c>
      <c r="B37" s="9">
        <v>4887</v>
      </c>
      <c r="C37" s="9">
        <v>8692</v>
      </c>
      <c r="D37" s="9">
        <v>11052</v>
      </c>
      <c r="E37" s="9">
        <v>17976</v>
      </c>
      <c r="F37" s="9">
        <v>9417</v>
      </c>
      <c r="G37" s="9">
        <v>9922</v>
      </c>
      <c r="H37" s="9">
        <v>9973</v>
      </c>
      <c r="I37" s="9">
        <v>5866</v>
      </c>
      <c r="J37" s="9">
        <v>4969</v>
      </c>
      <c r="K37" s="9">
        <v>5106</v>
      </c>
      <c r="L37" s="9">
        <v>4683</v>
      </c>
      <c r="M37" s="9">
        <v>7981</v>
      </c>
      <c r="N37" s="9">
        <v>100524</v>
      </c>
      <c r="P37" s="8" t="s">
        <v>18</v>
      </c>
      <c r="Q37" s="9">
        <v>4542</v>
      </c>
      <c r="R37" s="9">
        <v>7609</v>
      </c>
      <c r="S37" s="9">
        <v>7960</v>
      </c>
      <c r="T37" s="9">
        <v>12164</v>
      </c>
      <c r="U37" s="9">
        <v>8028</v>
      </c>
      <c r="V37" s="9">
        <v>8430</v>
      </c>
      <c r="W37" s="9">
        <v>8008</v>
      </c>
      <c r="X37" s="9">
        <v>5136</v>
      </c>
      <c r="Y37" s="9">
        <v>4525</v>
      </c>
      <c r="Z37" s="9">
        <v>4544</v>
      </c>
      <c r="AA37" s="9">
        <v>4398</v>
      </c>
      <c r="AB37" s="9">
        <v>7563</v>
      </c>
      <c r="AC37" s="9">
        <v>82907</v>
      </c>
      <c r="AE37" s="8" t="s">
        <v>18</v>
      </c>
      <c r="AF37" s="10">
        <v>7.0595457335788828E-2</v>
      </c>
      <c r="AG37" s="10">
        <v>0.12459733087896917</v>
      </c>
      <c r="AH37" s="10">
        <v>0.27976836771625047</v>
      </c>
      <c r="AI37" s="10">
        <v>0.32331998219848684</v>
      </c>
      <c r="AJ37" s="10">
        <v>0.1474992035680153</v>
      </c>
      <c r="AK37" s="10">
        <v>0.15037290868776457</v>
      </c>
      <c r="AL37" s="10">
        <v>0.19703198636318059</v>
      </c>
      <c r="AM37" s="10">
        <v>0.12444595976815548</v>
      </c>
      <c r="AN37" s="10">
        <v>8.935399476755887E-2</v>
      </c>
      <c r="AO37" s="10">
        <v>0.11006658832745789</v>
      </c>
      <c r="AP37" s="10">
        <v>6.0858424087123636E-2</v>
      </c>
      <c r="AQ37" s="10">
        <v>5.2374389174288938E-2</v>
      </c>
      <c r="AR37" s="10">
        <v>0.17525168119056145</v>
      </c>
      <c r="AX37" t="s">
        <v>49</v>
      </c>
      <c r="AY37">
        <v>7078</v>
      </c>
      <c r="CG37" s="16">
        <f t="shared" si="0"/>
        <v>87.571428571428569</v>
      </c>
      <c r="CH37" s="15">
        <v>45379</v>
      </c>
      <c r="CI37">
        <v>183</v>
      </c>
      <c r="CM37">
        <v>183</v>
      </c>
    </row>
    <row r="38" spans="1:91" x14ac:dyDescent="0.35">
      <c r="A38" s="8" t="s">
        <v>19</v>
      </c>
      <c r="B38" s="9">
        <v>7617</v>
      </c>
      <c r="C38" s="9">
        <v>7992</v>
      </c>
      <c r="D38" s="9">
        <v>4548</v>
      </c>
      <c r="E38" s="9">
        <v>6548</v>
      </c>
      <c r="F38" s="9">
        <v>5492</v>
      </c>
      <c r="G38" s="9">
        <v>601</v>
      </c>
      <c r="H38" s="9"/>
      <c r="I38" s="9"/>
      <c r="J38" s="9"/>
      <c r="K38" s="9"/>
      <c r="L38" s="9"/>
      <c r="M38" s="9"/>
      <c r="N38" s="9">
        <v>32798</v>
      </c>
      <c r="P38" s="8" t="s">
        <v>19</v>
      </c>
      <c r="Q38" s="9">
        <v>7308</v>
      </c>
      <c r="R38" s="9">
        <v>7735</v>
      </c>
      <c r="S38" s="9">
        <v>4375</v>
      </c>
      <c r="T38" s="9">
        <v>6301</v>
      </c>
      <c r="U38" s="9">
        <v>5318</v>
      </c>
      <c r="V38" s="9">
        <v>582</v>
      </c>
      <c r="W38" s="9"/>
      <c r="X38" s="9"/>
      <c r="Y38" s="9"/>
      <c r="Z38" s="9"/>
      <c r="AA38" s="9"/>
      <c r="AB38" s="9"/>
      <c r="AC38" s="9">
        <v>31619</v>
      </c>
      <c r="AE38" s="8" t="s">
        <v>19</v>
      </c>
      <c r="AF38" s="10">
        <v>4.0567152422213468E-2</v>
      </c>
      <c r="AG38" s="10">
        <v>3.2157157157157154E-2</v>
      </c>
      <c r="AH38" s="10">
        <v>3.8038698328935798E-2</v>
      </c>
      <c r="AI38" s="10">
        <v>3.7721441661576052E-2</v>
      </c>
      <c r="AJ38" s="10">
        <v>3.1682447195921337E-2</v>
      </c>
      <c r="AK38" s="10">
        <v>3.1613976705490848E-2</v>
      </c>
      <c r="AL38" s="10" t="e">
        <v>#DIV/0!</v>
      </c>
      <c r="AM38" s="10" t="e">
        <v>#DIV/0!</v>
      </c>
      <c r="AN38" s="10" t="e">
        <v>#DIV/0!</v>
      </c>
      <c r="AO38" s="10" t="e">
        <v>#DIV/0!</v>
      </c>
      <c r="AP38" s="10" t="e">
        <v>#DIV/0!</v>
      </c>
      <c r="AQ38" s="10" t="e">
        <v>#DIV/0!</v>
      </c>
      <c r="AR38" s="10">
        <v>3.5947313860601258E-2</v>
      </c>
      <c r="AX38" t="s">
        <v>47</v>
      </c>
      <c r="AY38">
        <v>7802</v>
      </c>
      <c r="CG38" s="16">
        <f t="shared" si="0"/>
        <v>87.142857142857139</v>
      </c>
      <c r="CH38" s="15">
        <v>45380</v>
      </c>
      <c r="CI38">
        <v>39</v>
      </c>
      <c r="CM38">
        <v>39</v>
      </c>
    </row>
    <row r="39" spans="1:91" x14ac:dyDescent="0.35">
      <c r="A39" s="8" t="s">
        <v>15</v>
      </c>
      <c r="B39" s="9">
        <v>23310</v>
      </c>
      <c r="C39" s="9">
        <v>25623</v>
      </c>
      <c r="D39" s="9">
        <v>23295</v>
      </c>
      <c r="E39" s="9">
        <v>32455</v>
      </c>
      <c r="F39" s="9">
        <v>23707</v>
      </c>
      <c r="G39" s="9">
        <v>18439</v>
      </c>
      <c r="H39" s="9">
        <v>20228</v>
      </c>
      <c r="I39" s="9">
        <v>15396</v>
      </c>
      <c r="J39" s="9">
        <v>13477</v>
      </c>
      <c r="K39" s="9">
        <v>15790</v>
      </c>
      <c r="L39" s="9">
        <v>15711</v>
      </c>
      <c r="M39" s="9">
        <v>20942</v>
      </c>
      <c r="N39" s="9">
        <v>248373</v>
      </c>
      <c r="P39" s="8" t="s">
        <v>15</v>
      </c>
      <c r="Q39" s="9">
        <v>21904</v>
      </c>
      <c r="R39" s="9">
        <v>23883</v>
      </c>
      <c r="S39" s="9">
        <v>19667</v>
      </c>
      <c r="T39" s="9">
        <v>26114</v>
      </c>
      <c r="U39" s="9">
        <v>21727</v>
      </c>
      <c r="V39" s="9">
        <v>16416</v>
      </c>
      <c r="W39" s="9">
        <v>17591</v>
      </c>
      <c r="X39" s="9">
        <v>14072</v>
      </c>
      <c r="Y39" s="9">
        <v>12657</v>
      </c>
      <c r="Z39" s="9">
        <v>14676</v>
      </c>
      <c r="AA39" s="9">
        <v>13071</v>
      </c>
      <c r="AB39" s="9">
        <v>19456</v>
      </c>
      <c r="AC39" s="9">
        <v>221234</v>
      </c>
      <c r="AE39" s="8" t="s">
        <v>15</v>
      </c>
      <c r="AF39" s="10">
        <v>6.0317460317460318E-2</v>
      </c>
      <c r="AG39" s="10">
        <v>6.7907739140615847E-2</v>
      </c>
      <c r="AH39" s="10">
        <v>0.15574157544537454</v>
      </c>
      <c r="AI39" s="10">
        <v>0.19537821599137267</v>
      </c>
      <c r="AJ39" s="10">
        <v>8.3519635550681232E-2</v>
      </c>
      <c r="AK39" s="10">
        <v>0.10971310808612181</v>
      </c>
      <c r="AL39" s="10">
        <v>0.13036385208621712</v>
      </c>
      <c r="AM39" s="10">
        <v>8.5996362691608208E-2</v>
      </c>
      <c r="AN39" s="10">
        <v>6.0844401573050384E-2</v>
      </c>
      <c r="AO39" s="10">
        <v>7.0550981633945534E-2</v>
      </c>
      <c r="AP39" s="10">
        <v>0.16803513461905673</v>
      </c>
      <c r="AQ39" s="10">
        <v>7.0957883678731737E-2</v>
      </c>
      <c r="AR39" s="10">
        <v>0.10926711035418504</v>
      </c>
      <c r="AX39" t="s">
        <v>48</v>
      </c>
      <c r="AY39">
        <v>130</v>
      </c>
      <c r="CG39" s="16">
        <f t="shared" si="0"/>
        <v>106.14285714285714</v>
      </c>
      <c r="CH39" s="15">
        <v>45381</v>
      </c>
      <c r="CI39">
        <v>170</v>
      </c>
      <c r="CM39">
        <v>170</v>
      </c>
    </row>
    <row r="40" spans="1:91" x14ac:dyDescent="0.35">
      <c r="AX40" t="s">
        <v>15</v>
      </c>
      <c r="AY40">
        <v>20111</v>
      </c>
      <c r="CG40" s="16">
        <f t="shared" si="0"/>
        <v>123.28571428571429</v>
      </c>
      <c r="CH40" s="15">
        <v>45382</v>
      </c>
      <c r="CI40">
        <v>180</v>
      </c>
      <c r="CM40">
        <v>180</v>
      </c>
    </row>
    <row r="41" spans="1:91" x14ac:dyDescent="0.35">
      <c r="CG41" s="16">
        <f t="shared" si="0"/>
        <v>130.16666666666666</v>
      </c>
      <c r="CH41" s="15">
        <v>45383</v>
      </c>
      <c r="CJ41">
        <v>24</v>
      </c>
      <c r="CM41">
        <v>24</v>
      </c>
    </row>
    <row r="42" spans="1:91" x14ac:dyDescent="0.35">
      <c r="CG42" s="16">
        <f t="shared" si="0"/>
        <v>150</v>
      </c>
      <c r="CH42" s="15">
        <v>45384</v>
      </c>
      <c r="CJ42">
        <v>7</v>
      </c>
      <c r="CM42">
        <v>7</v>
      </c>
    </row>
    <row r="43" spans="1:91" x14ac:dyDescent="0.35">
      <c r="CG43" s="16">
        <f t="shared" si="0"/>
        <v>143</v>
      </c>
      <c r="CH43" s="15">
        <v>45385</v>
      </c>
      <c r="CJ43">
        <v>181</v>
      </c>
      <c r="CM43">
        <v>181</v>
      </c>
    </row>
    <row r="44" spans="1:91" x14ac:dyDescent="0.35">
      <c r="CG44" s="16">
        <f t="shared" si="0"/>
        <v>129.66666666666666</v>
      </c>
      <c r="CH44" s="15">
        <v>45386</v>
      </c>
      <c r="CJ44">
        <v>209</v>
      </c>
      <c r="CM44">
        <v>209</v>
      </c>
    </row>
    <row r="45" spans="1:91" x14ac:dyDescent="0.35">
      <c r="CG45" s="16">
        <f t="shared" si="0"/>
        <v>175</v>
      </c>
      <c r="CH45" s="15">
        <v>45387</v>
      </c>
      <c r="CJ45">
        <v>180</v>
      </c>
      <c r="CM45">
        <v>180</v>
      </c>
    </row>
    <row r="46" spans="1:91" x14ac:dyDescent="0.35">
      <c r="CG46" s="16">
        <f t="shared" si="0"/>
        <v>180</v>
      </c>
      <c r="CH46" s="15">
        <v>45388</v>
      </c>
      <c r="CJ46">
        <v>221</v>
      </c>
      <c r="CM46">
        <v>221</v>
      </c>
    </row>
    <row r="47" spans="1:91" x14ac:dyDescent="0.35">
      <c r="CG47" s="16">
        <f>AVERAGE(CJ41:CJ47)</f>
        <v>153.71428571428572</v>
      </c>
      <c r="CH47" s="15">
        <v>45389</v>
      </c>
      <c r="CJ47">
        <v>254</v>
      </c>
      <c r="CM47">
        <v>254</v>
      </c>
    </row>
    <row r="48" spans="1:91" x14ac:dyDescent="0.35">
      <c r="CG48" s="16">
        <f t="shared" ref="CG48:CG76" si="1">AVERAGE(CJ42:CJ48)</f>
        <v>239.85714285714286</v>
      </c>
      <c r="CH48" s="15">
        <v>45390</v>
      </c>
      <c r="CJ48">
        <v>627</v>
      </c>
      <c r="CM48">
        <v>627</v>
      </c>
    </row>
    <row r="49" spans="1:91" x14ac:dyDescent="0.35">
      <c r="CG49" s="16">
        <f t="shared" si="1"/>
        <v>262.71428571428572</v>
      </c>
      <c r="CH49" s="15">
        <v>45391</v>
      </c>
      <c r="CJ49">
        <v>167</v>
      </c>
      <c r="CM49">
        <v>167</v>
      </c>
    </row>
    <row r="50" spans="1:91" x14ac:dyDescent="0.35">
      <c r="A50" s="7" t="s">
        <v>35</v>
      </c>
      <c r="B50" t="s">
        <v>22</v>
      </c>
      <c r="P50" s="7" t="s">
        <v>35</v>
      </c>
      <c r="Q50" t="s">
        <v>22</v>
      </c>
      <c r="AE50" s="7" t="s">
        <v>35</v>
      </c>
      <c r="AF50" t="s">
        <v>22</v>
      </c>
      <c r="CG50" s="16">
        <f t="shared" si="1"/>
        <v>322.42857142857144</v>
      </c>
      <c r="CH50" s="15">
        <v>45392</v>
      </c>
      <c r="CJ50">
        <v>599</v>
      </c>
      <c r="CM50">
        <v>599</v>
      </c>
    </row>
    <row r="51" spans="1:91" x14ac:dyDescent="0.35">
      <c r="CG51" s="16">
        <f t="shared" si="1"/>
        <v>336</v>
      </c>
      <c r="CH51" s="15">
        <v>45393</v>
      </c>
      <c r="CJ51">
        <v>304</v>
      </c>
      <c r="CM51">
        <v>304</v>
      </c>
    </row>
    <row r="52" spans="1:91" x14ac:dyDescent="0.35">
      <c r="A52" s="7" t="s">
        <v>36</v>
      </c>
      <c r="B52" s="7" t="s">
        <v>38</v>
      </c>
      <c r="P52" s="7" t="s">
        <v>37</v>
      </c>
      <c r="Q52" s="7" t="s">
        <v>38</v>
      </c>
      <c r="AE52" s="7" t="s">
        <v>39</v>
      </c>
      <c r="AF52" s="7" t="s">
        <v>38</v>
      </c>
      <c r="CG52" s="16">
        <f t="shared" si="1"/>
        <v>348.42857142857144</v>
      </c>
      <c r="CH52" s="15">
        <v>45394</v>
      </c>
      <c r="CJ52">
        <v>267</v>
      </c>
      <c r="CM52">
        <v>267</v>
      </c>
    </row>
    <row r="53" spans="1:91" x14ac:dyDescent="0.35">
      <c r="A53" s="7" t="s">
        <v>14</v>
      </c>
      <c r="B53" t="s">
        <v>16</v>
      </c>
      <c r="C53" t="s">
        <v>17</v>
      </c>
      <c r="D53" t="s">
        <v>18</v>
      </c>
      <c r="E53" t="s">
        <v>19</v>
      </c>
      <c r="F53" t="s">
        <v>15</v>
      </c>
      <c r="P53" s="7" t="s">
        <v>14</v>
      </c>
      <c r="Q53" t="s">
        <v>16</v>
      </c>
      <c r="R53" t="s">
        <v>17</v>
      </c>
      <c r="S53" t="s">
        <v>18</v>
      </c>
      <c r="T53" t="s">
        <v>19</v>
      </c>
      <c r="U53" t="s">
        <v>15</v>
      </c>
      <c r="AE53" s="7" t="s">
        <v>14</v>
      </c>
      <c r="AF53" t="s">
        <v>16</v>
      </c>
      <c r="AG53" t="s">
        <v>17</v>
      </c>
      <c r="AH53" t="s">
        <v>18</v>
      </c>
      <c r="AI53" t="s">
        <v>19</v>
      </c>
      <c r="AJ53" t="s">
        <v>15</v>
      </c>
      <c r="CG53" s="16">
        <f t="shared" si="1"/>
        <v>357.71428571428572</v>
      </c>
      <c r="CH53" s="15">
        <v>45395</v>
      </c>
      <c r="CJ53">
        <v>286</v>
      </c>
      <c r="CM53">
        <v>286</v>
      </c>
    </row>
    <row r="54" spans="1:91" x14ac:dyDescent="0.35">
      <c r="A54" s="8" t="s">
        <v>23</v>
      </c>
      <c r="B54">
        <v>5805</v>
      </c>
      <c r="C54">
        <v>5001</v>
      </c>
      <c r="D54">
        <v>4887</v>
      </c>
      <c r="E54">
        <v>7617</v>
      </c>
      <c r="F54">
        <v>23310</v>
      </c>
      <c r="P54" s="8" t="s">
        <v>23</v>
      </c>
      <c r="Q54" s="9">
        <v>5468</v>
      </c>
      <c r="R54" s="9">
        <v>4586</v>
      </c>
      <c r="S54" s="9">
        <v>4542</v>
      </c>
      <c r="T54" s="9">
        <v>7308</v>
      </c>
      <c r="U54" s="9">
        <v>21904</v>
      </c>
      <c r="AE54" s="8" t="s">
        <v>23</v>
      </c>
      <c r="AF54" s="10">
        <v>5.805340223944875E-2</v>
      </c>
      <c r="AG54" s="10">
        <v>8.2983403319336138E-2</v>
      </c>
      <c r="AH54" s="10">
        <v>7.0595457335788828E-2</v>
      </c>
      <c r="AI54" s="10">
        <v>4.0567152422213468E-2</v>
      </c>
      <c r="AJ54" s="10">
        <v>6.0317460317460318E-2</v>
      </c>
      <c r="CG54" s="16">
        <f t="shared" si="1"/>
        <v>349.42857142857144</v>
      </c>
      <c r="CH54" s="15">
        <v>45396</v>
      </c>
      <c r="CJ54">
        <v>196</v>
      </c>
      <c r="CM54">
        <v>196</v>
      </c>
    </row>
    <row r="55" spans="1:91" x14ac:dyDescent="0.35">
      <c r="A55" s="8" t="s">
        <v>24</v>
      </c>
      <c r="B55">
        <v>5372</v>
      </c>
      <c r="C55">
        <v>3567</v>
      </c>
      <c r="D55">
        <v>8692</v>
      </c>
      <c r="E55">
        <v>7992</v>
      </c>
      <c r="F55">
        <v>25623</v>
      </c>
      <c r="P55" s="8" t="s">
        <v>24</v>
      </c>
      <c r="Q55" s="9">
        <v>5222</v>
      </c>
      <c r="R55" s="9">
        <v>3317</v>
      </c>
      <c r="S55" s="9">
        <v>7609</v>
      </c>
      <c r="T55" s="9">
        <v>7735</v>
      </c>
      <c r="U55" s="9">
        <v>23883</v>
      </c>
      <c r="AE55" s="8" t="s">
        <v>24</v>
      </c>
      <c r="AF55" s="10">
        <v>2.7922561429635145E-2</v>
      </c>
      <c r="AG55" s="10">
        <v>7.0086907765629383E-2</v>
      </c>
      <c r="AH55" s="10">
        <v>0.12459733087896917</v>
      </c>
      <c r="AI55" s="10">
        <v>3.2157157157157154E-2</v>
      </c>
      <c r="AJ55" s="10">
        <v>6.7907739140615847E-2</v>
      </c>
      <c r="CG55" s="16">
        <f t="shared" si="1"/>
        <v>287.14285714285717</v>
      </c>
      <c r="CH55" s="15">
        <v>45397</v>
      </c>
      <c r="CJ55">
        <v>191</v>
      </c>
      <c r="CM55">
        <v>191</v>
      </c>
    </row>
    <row r="56" spans="1:91" x14ac:dyDescent="0.35">
      <c r="A56" s="8" t="s">
        <v>25</v>
      </c>
      <c r="B56">
        <v>4418</v>
      </c>
      <c r="C56">
        <v>3277</v>
      </c>
      <c r="D56">
        <v>11052</v>
      </c>
      <c r="E56">
        <v>4548</v>
      </c>
      <c r="F56">
        <v>23295</v>
      </c>
      <c r="P56" s="8" t="s">
        <v>25</v>
      </c>
      <c r="Q56" s="9">
        <v>4291</v>
      </c>
      <c r="R56" s="9">
        <v>3041</v>
      </c>
      <c r="S56" s="9">
        <v>7960</v>
      </c>
      <c r="T56" s="9">
        <v>4375</v>
      </c>
      <c r="U56" s="9">
        <v>19667</v>
      </c>
      <c r="AE56" s="8" t="s">
        <v>25</v>
      </c>
      <c r="AF56" s="10">
        <v>2.8746038931643278E-2</v>
      </c>
      <c r="AG56" s="10">
        <v>7.2017088800732376E-2</v>
      </c>
      <c r="AH56" s="10">
        <v>0.27976836771625047</v>
      </c>
      <c r="AI56" s="10">
        <v>3.8038698328935798E-2</v>
      </c>
      <c r="AJ56" s="10">
        <v>0.15574157544537454</v>
      </c>
      <c r="CA56" s="15">
        <v>45032</v>
      </c>
      <c r="CB56">
        <v>712</v>
      </c>
      <c r="CC56">
        <v>712</v>
      </c>
      <c r="CG56" s="16">
        <f t="shared" si="1"/>
        <v>271.85714285714283</v>
      </c>
      <c r="CH56" s="15">
        <v>45398</v>
      </c>
      <c r="CJ56">
        <v>60</v>
      </c>
      <c r="CM56">
        <v>60</v>
      </c>
    </row>
    <row r="57" spans="1:91" x14ac:dyDescent="0.35">
      <c r="A57" s="8" t="s">
        <v>26</v>
      </c>
      <c r="B57">
        <v>4785</v>
      </c>
      <c r="C57">
        <v>3146</v>
      </c>
      <c r="D57">
        <v>17976</v>
      </c>
      <c r="E57">
        <v>6548</v>
      </c>
      <c r="F57">
        <v>32455</v>
      </c>
      <c r="P57" s="8" t="s">
        <v>26</v>
      </c>
      <c r="Q57" s="9">
        <v>4680</v>
      </c>
      <c r="R57" s="9">
        <v>2969</v>
      </c>
      <c r="S57" s="9">
        <v>12164</v>
      </c>
      <c r="T57" s="9">
        <v>6301</v>
      </c>
      <c r="U57" s="9">
        <v>26114</v>
      </c>
      <c r="AE57" s="8" t="s">
        <v>26</v>
      </c>
      <c r="AF57" s="10">
        <v>2.1943573667711599E-2</v>
      </c>
      <c r="AG57" s="10">
        <v>5.6261919898283531E-2</v>
      </c>
      <c r="AH57" s="10">
        <v>0.32331998219848684</v>
      </c>
      <c r="AI57" s="10">
        <v>3.7721441661576052E-2</v>
      </c>
      <c r="AJ57" s="10">
        <v>0.19537821599137267</v>
      </c>
      <c r="BZ57">
        <v>1057</v>
      </c>
      <c r="CA57" s="15">
        <v>45033</v>
      </c>
      <c r="CB57">
        <v>1057</v>
      </c>
      <c r="CC57">
        <v>1057</v>
      </c>
      <c r="CG57" s="16">
        <f t="shared" si="1"/>
        <v>217</v>
      </c>
      <c r="CH57" s="15">
        <v>45399</v>
      </c>
      <c r="CJ57">
        <v>215</v>
      </c>
      <c r="CM57">
        <v>215</v>
      </c>
    </row>
    <row r="58" spans="1:91" x14ac:dyDescent="0.35">
      <c r="A58" s="8" t="s">
        <v>27</v>
      </c>
      <c r="B58">
        <v>5379</v>
      </c>
      <c r="C58">
        <v>3419</v>
      </c>
      <c r="D58">
        <v>9417</v>
      </c>
      <c r="E58">
        <v>5492</v>
      </c>
      <c r="F58">
        <v>23707</v>
      </c>
      <c r="P58" s="8" t="s">
        <v>27</v>
      </c>
      <c r="Q58" s="9">
        <v>5244</v>
      </c>
      <c r="R58" s="9">
        <v>3137</v>
      </c>
      <c r="S58" s="9">
        <v>8028</v>
      </c>
      <c r="T58" s="9">
        <v>5318</v>
      </c>
      <c r="U58" s="9">
        <v>21727</v>
      </c>
      <c r="AE58" s="8" t="s">
        <v>27</v>
      </c>
      <c r="AF58" s="10">
        <v>2.509760178471835E-2</v>
      </c>
      <c r="AG58" s="10">
        <v>8.2480257385200345E-2</v>
      </c>
      <c r="AH58" s="10">
        <v>0.1474992035680153</v>
      </c>
      <c r="AI58" s="10">
        <v>3.1682447195921337E-2</v>
      </c>
      <c r="AJ58" s="10">
        <v>8.3519635550681232E-2</v>
      </c>
      <c r="CA58" s="15">
        <v>45034</v>
      </c>
      <c r="CB58">
        <v>620</v>
      </c>
      <c r="CC58">
        <v>620</v>
      </c>
      <c r="CG58" s="16">
        <f t="shared" si="1"/>
        <v>205.14285714285714</v>
      </c>
      <c r="CH58" s="15">
        <v>45400</v>
      </c>
      <c r="CJ58">
        <v>221</v>
      </c>
      <c r="CM58">
        <v>221</v>
      </c>
    </row>
    <row r="59" spans="1:91" x14ac:dyDescent="0.35">
      <c r="A59" s="8" t="s">
        <v>28</v>
      </c>
      <c r="B59">
        <v>3570</v>
      </c>
      <c r="C59">
        <v>4346</v>
      </c>
      <c r="D59">
        <v>9922</v>
      </c>
      <c r="E59">
        <v>601</v>
      </c>
      <c r="F59">
        <v>18439</v>
      </c>
      <c r="P59" s="8" t="s">
        <v>28</v>
      </c>
      <c r="Q59" s="9">
        <v>3439</v>
      </c>
      <c r="R59" s="9">
        <v>3965</v>
      </c>
      <c r="S59" s="9">
        <v>8430</v>
      </c>
      <c r="T59" s="9">
        <v>582</v>
      </c>
      <c r="U59" s="9">
        <v>16416</v>
      </c>
      <c r="AE59" s="8" t="s">
        <v>28</v>
      </c>
      <c r="AF59" s="10">
        <v>3.6694677871148461E-2</v>
      </c>
      <c r="AG59" s="10">
        <v>8.7666820064427053E-2</v>
      </c>
      <c r="AH59" s="10">
        <v>0.15037290868776457</v>
      </c>
      <c r="AI59" s="10">
        <v>3.1613976705490848E-2</v>
      </c>
      <c r="AJ59" s="10">
        <v>0.10971310808612181</v>
      </c>
      <c r="BZ59">
        <v>1575</v>
      </c>
      <c r="CA59" s="15">
        <v>45035</v>
      </c>
      <c r="CB59">
        <v>1575</v>
      </c>
      <c r="CC59">
        <v>1575</v>
      </c>
      <c r="CG59" s="16">
        <f t="shared" si="1"/>
        <v>195.71428571428572</v>
      </c>
      <c r="CH59" s="15">
        <v>45401</v>
      </c>
      <c r="CJ59">
        <v>201</v>
      </c>
      <c r="CM59">
        <v>201</v>
      </c>
    </row>
    <row r="60" spans="1:91" x14ac:dyDescent="0.35">
      <c r="A60" s="8" t="s">
        <v>29</v>
      </c>
      <c r="B60">
        <v>5801</v>
      </c>
      <c r="C60">
        <v>4454</v>
      </c>
      <c r="D60">
        <v>9973</v>
      </c>
      <c r="F60">
        <v>20228</v>
      </c>
      <c r="P60" s="8" t="s">
        <v>29</v>
      </c>
      <c r="Q60" s="9">
        <v>5522</v>
      </c>
      <c r="R60" s="9">
        <v>4061</v>
      </c>
      <c r="S60" s="9">
        <v>8008</v>
      </c>
      <c r="T60" s="9"/>
      <c r="U60" s="9">
        <v>17591</v>
      </c>
      <c r="AE60" s="8" t="s">
        <v>29</v>
      </c>
      <c r="AF60" s="10">
        <v>4.8095156007584898E-2</v>
      </c>
      <c r="AG60" s="10">
        <v>8.8235294117647065E-2</v>
      </c>
      <c r="AH60" s="10">
        <v>0.19703198636318059</v>
      </c>
      <c r="AI60" s="10" t="e">
        <v>#DIV/0!</v>
      </c>
      <c r="AJ60" s="10">
        <v>0.13036385208621712</v>
      </c>
      <c r="BZ60">
        <v>1349</v>
      </c>
      <c r="CA60" s="15">
        <v>45036</v>
      </c>
      <c r="CB60">
        <v>1349</v>
      </c>
      <c r="CC60">
        <v>1349</v>
      </c>
      <c r="CG60" s="16">
        <f t="shared" si="1"/>
        <v>184.14285714285714</v>
      </c>
      <c r="CH60" s="15">
        <v>45402</v>
      </c>
      <c r="CJ60">
        <v>205</v>
      </c>
      <c r="CM60">
        <v>205</v>
      </c>
    </row>
    <row r="61" spans="1:91" x14ac:dyDescent="0.35">
      <c r="A61" s="8" t="s">
        <v>30</v>
      </c>
      <c r="B61">
        <v>5889</v>
      </c>
      <c r="C61">
        <v>3641</v>
      </c>
      <c r="D61">
        <v>5866</v>
      </c>
      <c r="F61">
        <v>15396</v>
      </c>
      <c r="P61" s="8" t="s">
        <v>30</v>
      </c>
      <c r="Q61" s="9">
        <v>5424</v>
      </c>
      <c r="R61" s="9">
        <v>3512</v>
      </c>
      <c r="S61" s="9">
        <v>5136</v>
      </c>
      <c r="T61" s="9"/>
      <c r="U61" s="9">
        <v>14072</v>
      </c>
      <c r="AE61" s="8" t="s">
        <v>30</v>
      </c>
      <c r="AF61" s="10">
        <v>7.8960774325012736E-2</v>
      </c>
      <c r="AG61" s="10">
        <v>3.542982697061247E-2</v>
      </c>
      <c r="AH61" s="10">
        <v>0.12444595976815548</v>
      </c>
      <c r="AI61" s="10" t="e">
        <v>#DIV/0!</v>
      </c>
      <c r="AJ61" s="10">
        <v>8.5996362691608208E-2</v>
      </c>
      <c r="CA61" s="15">
        <v>45037</v>
      </c>
      <c r="CB61">
        <v>999</v>
      </c>
      <c r="CC61">
        <v>999</v>
      </c>
      <c r="CG61" s="16">
        <f t="shared" si="1"/>
        <v>184.85714285714286</v>
      </c>
      <c r="CH61" s="15">
        <v>45403</v>
      </c>
      <c r="CJ61">
        <v>201</v>
      </c>
      <c r="CM61">
        <v>201</v>
      </c>
    </row>
    <row r="62" spans="1:91" x14ac:dyDescent="0.35">
      <c r="A62" s="8" t="s">
        <v>31</v>
      </c>
      <c r="B62">
        <v>4894</v>
      </c>
      <c r="C62">
        <v>3614</v>
      </c>
      <c r="D62">
        <v>4969</v>
      </c>
      <c r="F62">
        <v>13477</v>
      </c>
      <c r="P62" s="8" t="s">
        <v>31</v>
      </c>
      <c r="Q62" s="9">
        <v>4667</v>
      </c>
      <c r="R62" s="9">
        <v>3465</v>
      </c>
      <c r="S62" s="9">
        <v>4525</v>
      </c>
      <c r="T62" s="9"/>
      <c r="U62" s="9">
        <v>12657</v>
      </c>
      <c r="AE62" s="8" t="s">
        <v>31</v>
      </c>
      <c r="AF62" s="10">
        <v>4.6383326522272172E-2</v>
      </c>
      <c r="AG62" s="10">
        <v>4.1228555617044825E-2</v>
      </c>
      <c r="AH62" s="10">
        <v>8.935399476755887E-2</v>
      </c>
      <c r="AI62" s="10" t="e">
        <v>#DIV/0!</v>
      </c>
      <c r="AJ62" s="10">
        <v>6.0844401573050384E-2</v>
      </c>
      <c r="CA62" s="15">
        <v>45038</v>
      </c>
      <c r="CB62">
        <v>968</v>
      </c>
      <c r="CC62">
        <v>968</v>
      </c>
      <c r="CG62" s="16">
        <f t="shared" si="1"/>
        <v>177.57142857142858</v>
      </c>
      <c r="CH62" s="15">
        <v>45404</v>
      </c>
      <c r="CJ62">
        <v>140</v>
      </c>
      <c r="CM62">
        <v>140</v>
      </c>
    </row>
    <row r="63" spans="1:91" x14ac:dyDescent="0.35">
      <c r="A63" s="8" t="s">
        <v>32</v>
      </c>
      <c r="B63">
        <v>6459</v>
      </c>
      <c r="C63">
        <v>4225</v>
      </c>
      <c r="D63">
        <v>5106</v>
      </c>
      <c r="F63">
        <v>15790</v>
      </c>
      <c r="P63" s="8" t="s">
        <v>32</v>
      </c>
      <c r="Q63" s="9">
        <v>6101</v>
      </c>
      <c r="R63" s="9">
        <v>4031</v>
      </c>
      <c r="S63" s="9">
        <v>4544</v>
      </c>
      <c r="T63" s="9"/>
      <c r="U63" s="9">
        <v>14676</v>
      </c>
      <c r="AE63" s="8" t="s">
        <v>32</v>
      </c>
      <c r="AF63" s="10">
        <v>5.5426536615575166E-2</v>
      </c>
      <c r="AG63" s="10">
        <v>4.5917159763313613E-2</v>
      </c>
      <c r="AH63" s="10">
        <v>0.11006658832745789</v>
      </c>
      <c r="AI63" s="10" t="e">
        <v>#DIV/0!</v>
      </c>
      <c r="AJ63" s="10">
        <v>7.0550981633945534E-2</v>
      </c>
      <c r="BZ63">
        <v>1066</v>
      </c>
      <c r="CA63" s="15">
        <v>45039</v>
      </c>
      <c r="CB63">
        <v>1066</v>
      </c>
      <c r="CC63">
        <v>1066</v>
      </c>
      <c r="CG63" s="16">
        <f t="shared" si="1"/>
        <v>173.14285714285714</v>
      </c>
      <c r="CH63" s="15">
        <v>45405</v>
      </c>
      <c r="CJ63">
        <v>29</v>
      </c>
      <c r="CM63">
        <v>29</v>
      </c>
    </row>
    <row r="64" spans="1:91" x14ac:dyDescent="0.35">
      <c r="A64" s="8" t="s">
        <v>33</v>
      </c>
      <c r="B64">
        <v>4788</v>
      </c>
      <c r="C64">
        <v>6240</v>
      </c>
      <c r="D64">
        <v>4683</v>
      </c>
      <c r="F64">
        <v>15711</v>
      </c>
      <c r="P64" s="8" t="s">
        <v>33</v>
      </c>
      <c r="Q64" s="9">
        <v>4470</v>
      </c>
      <c r="R64" s="9">
        <v>4203</v>
      </c>
      <c r="S64" s="9">
        <v>4398</v>
      </c>
      <c r="T64" s="9"/>
      <c r="U64" s="9">
        <v>13071</v>
      </c>
      <c r="AE64" s="8" t="s">
        <v>33</v>
      </c>
      <c r="AF64" s="10">
        <v>6.6416040100250623E-2</v>
      </c>
      <c r="AG64" s="10">
        <v>0.3264423076923077</v>
      </c>
      <c r="AH64" s="10">
        <v>6.0858424087123636E-2</v>
      </c>
      <c r="AI64" s="10" t="e">
        <v>#DIV/0!</v>
      </c>
      <c r="AJ64" s="10">
        <v>0.16803513461905673</v>
      </c>
      <c r="CA64" s="15">
        <v>45040</v>
      </c>
      <c r="CB64">
        <v>788</v>
      </c>
      <c r="CC64">
        <v>788</v>
      </c>
      <c r="CG64" s="16">
        <f t="shared" si="1"/>
        <v>199.28571428571428</v>
      </c>
      <c r="CH64" s="15">
        <v>45406</v>
      </c>
      <c r="CJ64">
        <v>398</v>
      </c>
      <c r="CM64">
        <v>398</v>
      </c>
    </row>
    <row r="65" spans="1:91" x14ac:dyDescent="0.35">
      <c r="A65" s="8" t="s">
        <v>34</v>
      </c>
      <c r="B65">
        <v>6634</v>
      </c>
      <c r="C65">
        <v>6327</v>
      </c>
      <c r="D65">
        <v>7981</v>
      </c>
      <c r="F65">
        <v>20942</v>
      </c>
      <c r="P65" s="8" t="s">
        <v>34</v>
      </c>
      <c r="Q65" s="9">
        <v>6116</v>
      </c>
      <c r="R65" s="9">
        <v>5777</v>
      </c>
      <c r="S65" s="9">
        <v>7563</v>
      </c>
      <c r="T65" s="9"/>
      <c r="U65" s="9">
        <v>19456</v>
      </c>
      <c r="AE65" s="8" t="s">
        <v>34</v>
      </c>
      <c r="AF65" s="10">
        <v>7.8082604763340363E-2</v>
      </c>
      <c r="AG65" s="10">
        <v>8.6929034297455354E-2</v>
      </c>
      <c r="AH65" s="10">
        <v>5.2374389174288938E-2</v>
      </c>
      <c r="AI65" s="10" t="e">
        <v>#DIV/0!</v>
      </c>
      <c r="AJ65" s="10">
        <v>7.0957883678731737E-2</v>
      </c>
      <c r="CA65" s="15">
        <v>45041</v>
      </c>
      <c r="CB65">
        <v>252</v>
      </c>
      <c r="CC65">
        <v>252</v>
      </c>
      <c r="CG65" s="16">
        <f t="shared" si="1"/>
        <v>204.14285714285714</v>
      </c>
      <c r="CH65" s="15">
        <v>45407</v>
      </c>
      <c r="CJ65">
        <v>255</v>
      </c>
      <c r="CM65">
        <v>255</v>
      </c>
    </row>
    <row r="66" spans="1:91" x14ac:dyDescent="0.35">
      <c r="A66" s="8" t="s">
        <v>15</v>
      </c>
      <c r="B66">
        <v>63794</v>
      </c>
      <c r="C66">
        <v>51257</v>
      </c>
      <c r="D66">
        <v>100524</v>
      </c>
      <c r="E66">
        <v>32798</v>
      </c>
      <c r="F66">
        <v>248373</v>
      </c>
      <c r="P66" s="8" t="s">
        <v>15</v>
      </c>
      <c r="Q66" s="9">
        <v>60644</v>
      </c>
      <c r="R66" s="9">
        <v>46064</v>
      </c>
      <c r="S66" s="9">
        <v>82907</v>
      </c>
      <c r="T66" s="9">
        <v>31619</v>
      </c>
      <c r="U66" s="9">
        <v>221234</v>
      </c>
      <c r="AE66" s="8" t="s">
        <v>15</v>
      </c>
      <c r="AF66" s="10">
        <v>4.9377684421732453E-2</v>
      </c>
      <c r="AG66" s="10">
        <v>0.1013129913962971</v>
      </c>
      <c r="AH66" s="10">
        <v>0.17525168119056145</v>
      </c>
      <c r="AI66" s="10">
        <v>3.5947313860601258E-2</v>
      </c>
      <c r="AJ66" s="10">
        <v>0.10926711035418504</v>
      </c>
      <c r="CA66" s="15">
        <v>45042</v>
      </c>
      <c r="CB66">
        <v>842</v>
      </c>
      <c r="CC66">
        <v>842</v>
      </c>
      <c r="CG66" s="16">
        <f t="shared" si="1"/>
        <v>215.85714285714286</v>
      </c>
      <c r="CH66" s="15">
        <v>45408</v>
      </c>
      <c r="CJ66">
        <v>283</v>
      </c>
      <c r="CM66">
        <v>283</v>
      </c>
    </row>
    <row r="67" spans="1:91" x14ac:dyDescent="0.35">
      <c r="CA67" s="15">
        <v>45043</v>
      </c>
      <c r="CB67">
        <v>847</v>
      </c>
      <c r="CC67">
        <v>847</v>
      </c>
      <c r="CG67" s="16">
        <f t="shared" si="1"/>
        <v>219.42857142857142</v>
      </c>
      <c r="CH67" s="15">
        <v>45409</v>
      </c>
      <c r="CJ67">
        <v>230</v>
      </c>
      <c r="CM67">
        <v>230</v>
      </c>
    </row>
    <row r="68" spans="1:91" x14ac:dyDescent="0.35">
      <c r="CA68" s="15">
        <v>45044</v>
      </c>
      <c r="CB68">
        <v>800</v>
      </c>
      <c r="CC68">
        <v>800</v>
      </c>
      <c r="CG68" s="16">
        <f t="shared" si="1"/>
        <v>217.14285714285714</v>
      </c>
      <c r="CH68" s="15">
        <v>45410</v>
      </c>
      <c r="CJ68">
        <v>185</v>
      </c>
      <c r="CM68">
        <v>185</v>
      </c>
    </row>
    <row r="69" spans="1:91" x14ac:dyDescent="0.35">
      <c r="BZ69">
        <v>1100</v>
      </c>
      <c r="CA69" s="15">
        <v>45045</v>
      </c>
      <c r="CB69">
        <v>1100</v>
      </c>
      <c r="CC69">
        <v>1100</v>
      </c>
      <c r="CG69" s="16">
        <f t="shared" si="1"/>
        <v>225.28571428571428</v>
      </c>
      <c r="CH69" s="15">
        <v>45411</v>
      </c>
      <c r="CJ69">
        <v>197</v>
      </c>
      <c r="CM69">
        <v>197</v>
      </c>
    </row>
    <row r="70" spans="1:91" x14ac:dyDescent="0.35">
      <c r="BZ70">
        <v>1242</v>
      </c>
      <c r="CA70" s="15">
        <v>45046</v>
      </c>
      <c r="CB70">
        <v>1242</v>
      </c>
      <c r="CC70">
        <v>1242</v>
      </c>
      <c r="CG70" s="16">
        <f t="shared" si="1"/>
        <v>223.28571428571428</v>
      </c>
      <c r="CH70" s="15">
        <v>45412</v>
      </c>
      <c r="CJ70">
        <v>15</v>
      </c>
      <c r="CM70">
        <v>15</v>
      </c>
    </row>
    <row r="71" spans="1:91" x14ac:dyDescent="0.35">
      <c r="CG71" s="16">
        <f t="shared" si="1"/>
        <v>194.16666666666666</v>
      </c>
      <c r="CH71" s="15">
        <v>45413</v>
      </c>
      <c r="CK71">
        <v>230</v>
      </c>
      <c r="CM71">
        <v>230</v>
      </c>
    </row>
    <row r="72" spans="1:91" x14ac:dyDescent="0.35">
      <c r="CG72" s="16">
        <f t="shared" si="1"/>
        <v>182</v>
      </c>
      <c r="CH72" s="15">
        <v>45414</v>
      </c>
      <c r="CK72">
        <v>232</v>
      </c>
      <c r="CM72">
        <v>232</v>
      </c>
    </row>
    <row r="73" spans="1:91" x14ac:dyDescent="0.35">
      <c r="CG73" s="16">
        <f t="shared" si="1"/>
        <v>156.75</v>
      </c>
      <c r="CH73" s="15">
        <v>45415</v>
      </c>
      <c r="CK73">
        <v>237</v>
      </c>
      <c r="CM73">
        <v>237</v>
      </c>
    </row>
    <row r="74" spans="1:91" x14ac:dyDescent="0.35">
      <c r="CG74" s="16">
        <f t="shared" si="1"/>
        <v>132.33333333333334</v>
      </c>
      <c r="CH74" s="15">
        <v>45416</v>
      </c>
      <c r="CK74">
        <v>42</v>
      </c>
      <c r="CM74">
        <v>42</v>
      </c>
    </row>
    <row r="75" spans="1:91" x14ac:dyDescent="0.35">
      <c r="CG75" s="16">
        <f t="shared" si="1"/>
        <v>106</v>
      </c>
      <c r="CH75" s="15">
        <v>45417</v>
      </c>
      <c r="CK75">
        <v>215</v>
      </c>
      <c r="CM75">
        <v>215</v>
      </c>
    </row>
    <row r="76" spans="1:91" x14ac:dyDescent="0.35">
      <c r="CG76" s="16">
        <f t="shared" si="1"/>
        <v>15</v>
      </c>
      <c r="CH76" s="15">
        <v>45418</v>
      </c>
      <c r="CK76">
        <v>153</v>
      </c>
      <c r="CM76">
        <v>153</v>
      </c>
    </row>
    <row r="77" spans="1:91" x14ac:dyDescent="0.35">
      <c r="CG77" s="16">
        <f>AVERAGE(CK71:CK77)</f>
        <v>164</v>
      </c>
      <c r="CH77" s="15">
        <v>45419</v>
      </c>
      <c r="CK77">
        <v>39</v>
      </c>
      <c r="CM77">
        <v>39</v>
      </c>
    </row>
    <row r="78" spans="1:91" x14ac:dyDescent="0.35">
      <c r="CG78" s="16">
        <f t="shared" ref="CG78:CG101" si="2">AVERAGE(CK72:CK78)</f>
        <v>178.85714285714286</v>
      </c>
      <c r="CH78" s="15">
        <v>45420</v>
      </c>
      <c r="CK78">
        <v>334</v>
      </c>
      <c r="CM78">
        <v>334</v>
      </c>
    </row>
    <row r="79" spans="1:91" x14ac:dyDescent="0.35">
      <c r="CG79" s="16">
        <f t="shared" si="2"/>
        <v>179.42857142857142</v>
      </c>
      <c r="CH79" s="15">
        <v>45421</v>
      </c>
      <c r="CK79">
        <v>236</v>
      </c>
      <c r="CM79">
        <v>236</v>
      </c>
    </row>
    <row r="80" spans="1:91" x14ac:dyDescent="0.35">
      <c r="CG80" s="16">
        <f t="shared" si="2"/>
        <v>172.14285714285714</v>
      </c>
      <c r="CH80" s="15">
        <v>45422</v>
      </c>
      <c r="CK80">
        <v>186</v>
      </c>
      <c r="CM80">
        <v>186</v>
      </c>
    </row>
    <row r="81" spans="85:91" x14ac:dyDescent="0.35">
      <c r="CG81" s="16">
        <f t="shared" si="2"/>
        <v>195</v>
      </c>
      <c r="CH81" s="15">
        <v>45423</v>
      </c>
      <c r="CK81">
        <v>202</v>
      </c>
      <c r="CM81">
        <v>202</v>
      </c>
    </row>
    <row r="82" spans="85:91" x14ac:dyDescent="0.35">
      <c r="CG82" s="16">
        <f t="shared" si="2"/>
        <v>190.71428571428572</v>
      </c>
      <c r="CH82" s="15">
        <v>45424</v>
      </c>
      <c r="CK82">
        <v>185</v>
      </c>
      <c r="CM82">
        <v>185</v>
      </c>
    </row>
    <row r="83" spans="85:91" x14ac:dyDescent="0.35">
      <c r="CG83" s="16">
        <f t="shared" si="2"/>
        <v>174.28571428571428</v>
      </c>
      <c r="CH83" s="15">
        <v>45425</v>
      </c>
      <c r="CK83">
        <v>38</v>
      </c>
      <c r="CM83">
        <v>38</v>
      </c>
    </row>
    <row r="84" spans="85:91" x14ac:dyDescent="0.35">
      <c r="CG84" s="16">
        <f t="shared" si="2"/>
        <v>172.28571428571428</v>
      </c>
      <c r="CH84" s="15">
        <v>45426</v>
      </c>
      <c r="CK84">
        <v>25</v>
      </c>
      <c r="CM84">
        <v>25</v>
      </c>
    </row>
    <row r="85" spans="85:91" x14ac:dyDescent="0.35">
      <c r="CG85" s="16">
        <f t="shared" si="2"/>
        <v>153.57142857142858</v>
      </c>
      <c r="CH85" s="15">
        <v>45427</v>
      </c>
      <c r="CK85">
        <v>203</v>
      </c>
      <c r="CM85">
        <v>203</v>
      </c>
    </row>
    <row r="86" spans="85:91" x14ac:dyDescent="0.35">
      <c r="CG86" s="16">
        <f t="shared" si="2"/>
        <v>162.14285714285714</v>
      </c>
      <c r="CH86" s="15">
        <v>45428</v>
      </c>
      <c r="CK86">
        <v>296</v>
      </c>
      <c r="CM86">
        <v>296</v>
      </c>
    </row>
    <row r="87" spans="85:91" x14ac:dyDescent="0.35">
      <c r="CG87" s="16">
        <f t="shared" si="2"/>
        <v>168.85714285714286</v>
      </c>
      <c r="CH87" s="15">
        <v>45429</v>
      </c>
      <c r="CK87">
        <v>233</v>
      </c>
      <c r="CM87">
        <v>233</v>
      </c>
    </row>
    <row r="88" spans="85:91" x14ac:dyDescent="0.35">
      <c r="CG88" s="16">
        <f t="shared" si="2"/>
        <v>168.28571428571428</v>
      </c>
      <c r="CH88" s="15">
        <v>45430</v>
      </c>
      <c r="CK88">
        <v>198</v>
      </c>
      <c r="CM88">
        <v>198</v>
      </c>
    </row>
    <row r="89" spans="85:91" x14ac:dyDescent="0.35">
      <c r="CG89" s="16">
        <f t="shared" si="2"/>
        <v>167.71428571428572</v>
      </c>
      <c r="CH89" s="15">
        <v>45431</v>
      </c>
      <c r="CK89">
        <v>181</v>
      </c>
      <c r="CM89">
        <v>181</v>
      </c>
    </row>
    <row r="90" spans="85:91" x14ac:dyDescent="0.35">
      <c r="CG90" s="16">
        <f t="shared" si="2"/>
        <v>186</v>
      </c>
      <c r="CH90" s="15">
        <v>45432</v>
      </c>
      <c r="CK90">
        <v>166</v>
      </c>
      <c r="CM90">
        <v>166</v>
      </c>
    </row>
    <row r="91" spans="85:91" x14ac:dyDescent="0.35">
      <c r="CG91" s="16">
        <f t="shared" si="2"/>
        <v>185.14285714285714</v>
      </c>
      <c r="CH91" s="15">
        <v>45433</v>
      </c>
      <c r="CK91">
        <v>19</v>
      </c>
      <c r="CM91">
        <v>19</v>
      </c>
    </row>
    <row r="92" spans="85:91" x14ac:dyDescent="0.35">
      <c r="CG92" s="16">
        <f t="shared" si="2"/>
        <v>184.14285714285714</v>
      </c>
      <c r="CH92" s="15">
        <v>45434</v>
      </c>
      <c r="CK92">
        <v>196</v>
      </c>
      <c r="CM92">
        <v>196</v>
      </c>
    </row>
    <row r="93" spans="85:91" x14ac:dyDescent="0.35">
      <c r="CG93" s="16">
        <f t="shared" si="2"/>
        <v>167</v>
      </c>
      <c r="CH93" s="15">
        <v>45435</v>
      </c>
      <c r="CK93">
        <v>176</v>
      </c>
      <c r="CM93">
        <v>176</v>
      </c>
    </row>
    <row r="94" spans="85:91" x14ac:dyDescent="0.35">
      <c r="CG94" s="16">
        <f t="shared" si="2"/>
        <v>165.28571428571428</v>
      </c>
      <c r="CH94" s="15">
        <v>45436</v>
      </c>
      <c r="CK94">
        <v>221</v>
      </c>
      <c r="CM94">
        <v>221</v>
      </c>
    </row>
    <row r="95" spans="85:91" x14ac:dyDescent="0.35">
      <c r="CG95" s="16">
        <f t="shared" si="2"/>
        <v>165</v>
      </c>
      <c r="CH95" s="15">
        <v>45437</v>
      </c>
      <c r="CK95">
        <v>196</v>
      </c>
      <c r="CM95">
        <v>196</v>
      </c>
    </row>
    <row r="96" spans="85:91" x14ac:dyDescent="0.35">
      <c r="CG96" s="16">
        <f t="shared" si="2"/>
        <v>169.28571428571428</v>
      </c>
      <c r="CH96" s="15">
        <v>45438</v>
      </c>
      <c r="CK96">
        <v>211</v>
      </c>
      <c r="CM96">
        <v>211</v>
      </c>
    </row>
    <row r="97" spans="85:91" x14ac:dyDescent="0.35">
      <c r="CG97" s="16">
        <f t="shared" si="2"/>
        <v>174.28571428571428</v>
      </c>
      <c r="CH97" s="15">
        <v>45439</v>
      </c>
      <c r="CK97">
        <v>201</v>
      </c>
      <c r="CM97">
        <v>201</v>
      </c>
    </row>
    <row r="98" spans="85:91" x14ac:dyDescent="0.35">
      <c r="CG98" s="16">
        <f t="shared" si="2"/>
        <v>174.85714285714286</v>
      </c>
      <c r="CH98" s="15">
        <v>45440</v>
      </c>
      <c r="CK98">
        <v>23</v>
      </c>
      <c r="CM98">
        <v>23</v>
      </c>
    </row>
    <row r="99" spans="85:91" x14ac:dyDescent="0.35">
      <c r="CG99" s="16">
        <f t="shared" si="2"/>
        <v>179</v>
      </c>
      <c r="CH99" s="15">
        <v>45441</v>
      </c>
      <c r="CK99">
        <v>225</v>
      </c>
      <c r="CM99">
        <v>225</v>
      </c>
    </row>
    <row r="100" spans="85:91" x14ac:dyDescent="0.35">
      <c r="CG100" s="16">
        <f t="shared" si="2"/>
        <v>182.71428571428572</v>
      </c>
      <c r="CH100" s="15">
        <v>45442</v>
      </c>
      <c r="CK100">
        <v>202</v>
      </c>
      <c r="CM100">
        <v>202</v>
      </c>
    </row>
    <row r="101" spans="85:91" x14ac:dyDescent="0.35">
      <c r="CG101" s="16">
        <f t="shared" si="2"/>
        <v>178.42857142857142</v>
      </c>
      <c r="CH101" s="15">
        <v>45443</v>
      </c>
      <c r="CK101">
        <v>191</v>
      </c>
      <c r="CM101">
        <v>191</v>
      </c>
    </row>
    <row r="102" spans="85:91" x14ac:dyDescent="0.35">
      <c r="CH102" s="15">
        <v>45444</v>
      </c>
      <c r="CL102">
        <v>212</v>
      </c>
      <c r="CM102">
        <v>212</v>
      </c>
    </row>
    <row r="103" spans="85:91" x14ac:dyDescent="0.35">
      <c r="CH103" s="15">
        <v>45445</v>
      </c>
      <c r="CL103">
        <v>210</v>
      </c>
      <c r="CM103">
        <v>210</v>
      </c>
    </row>
    <row r="104" spans="85:91" x14ac:dyDescent="0.35">
      <c r="CH104" s="15">
        <v>45446</v>
      </c>
      <c r="CL104">
        <v>167</v>
      </c>
      <c r="CM104">
        <v>167</v>
      </c>
    </row>
    <row r="105" spans="85:91" x14ac:dyDescent="0.35">
      <c r="CH105" s="15">
        <v>45447</v>
      </c>
      <c r="CL105">
        <v>12</v>
      </c>
      <c r="CM105">
        <v>12</v>
      </c>
    </row>
    <row r="106" spans="85:91" x14ac:dyDescent="0.35">
      <c r="CH106" s="8" t="s">
        <v>15</v>
      </c>
      <c r="CI106">
        <v>4548</v>
      </c>
      <c r="CJ106">
        <v>6548</v>
      </c>
      <c r="CK106">
        <v>5492</v>
      </c>
      <c r="CL106">
        <v>601</v>
      </c>
      <c r="CM106">
        <v>17189</v>
      </c>
    </row>
  </sheetData>
  <conditionalFormatting sqref="CG16:CG101">
    <cfRule type="colorScale" priority="4">
      <colorScale>
        <cfvo type="min"/>
        <cfvo type="percentile" val="50"/>
        <cfvo type="max"/>
        <color theme="0"/>
        <color theme="0"/>
        <color rgb="FFFFFF00"/>
      </colorScale>
    </cfRule>
  </conditionalFormatting>
  <conditionalFormatting pivot="1">
    <cfRule type="colorScale" priority="3">
      <colorScale>
        <cfvo type="min"/>
        <cfvo type="percentile" val="50"/>
        <cfvo type="max"/>
        <color theme="0"/>
        <color theme="0"/>
        <color rgb="FFFFFF00"/>
      </colorScale>
    </cfRule>
  </conditionalFormatting>
  <conditionalFormatting sqref="CC56:CC70">
    <cfRule type="colorScale" priority="2">
      <colorScale>
        <cfvo type="min"/>
        <cfvo type="percentile" val="50"/>
        <cfvo type="max"/>
        <color theme="0"/>
        <color theme="0"/>
        <color rgb="FFFFFF00"/>
      </colorScale>
    </cfRule>
  </conditionalFormatting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D358-978D-400A-B367-9CA31B053B7B}">
  <dimension ref="A31:N67"/>
  <sheetViews>
    <sheetView topLeftCell="A31" zoomScale="70" zoomScaleNormal="70" workbookViewId="0">
      <selection activeCell="R1" sqref="R1"/>
    </sheetView>
  </sheetViews>
  <sheetFormatPr defaultRowHeight="14.5" x14ac:dyDescent="0.35"/>
  <cols>
    <col min="1" max="1" width="31.81640625" bestFit="1" customWidth="1"/>
    <col min="2" max="2" width="16.453125" bestFit="1" customWidth="1"/>
    <col min="3" max="4" width="4.81640625" bestFit="1" customWidth="1"/>
    <col min="5" max="5" width="7.08984375" bestFit="1" customWidth="1"/>
    <col min="6" max="6" width="10.36328125" bestFit="1" customWidth="1"/>
    <col min="7" max="7" width="5.36328125" bestFit="1" customWidth="1"/>
    <col min="8" max="13" width="6.90625" bestFit="1" customWidth="1"/>
    <col min="14" max="14" width="10.36328125" bestFit="1" customWidth="1"/>
    <col min="15" max="16" width="1.6328125" customWidth="1"/>
  </cols>
  <sheetData>
    <row r="31" spans="1:2" x14ac:dyDescent="0.35">
      <c r="A31" s="7" t="s">
        <v>35</v>
      </c>
      <c r="B31" t="s">
        <v>22</v>
      </c>
    </row>
    <row r="33" spans="1:14" x14ac:dyDescent="0.35">
      <c r="A33" s="7" t="s">
        <v>41</v>
      </c>
      <c r="B33" s="7" t="s">
        <v>38</v>
      </c>
    </row>
    <row r="34" spans="1:14" x14ac:dyDescent="0.35"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32</v>
      </c>
      <c r="L34" t="s">
        <v>33</v>
      </c>
      <c r="M34" t="s">
        <v>34</v>
      </c>
      <c r="N34" t="s">
        <v>15</v>
      </c>
    </row>
    <row r="35" spans="1:14" x14ac:dyDescent="0.35">
      <c r="A35" s="7" t="s">
        <v>14</v>
      </c>
    </row>
    <row r="36" spans="1:14" x14ac:dyDescent="0.35">
      <c r="A36" s="8" t="s">
        <v>16</v>
      </c>
      <c r="B36" s="12">
        <v>15.157278712509152</v>
      </c>
      <c r="C36" s="12">
        <v>12.963040980467252</v>
      </c>
      <c r="D36" s="12">
        <v>10.972267536704731</v>
      </c>
      <c r="E36" s="12">
        <v>11.162393162393158</v>
      </c>
      <c r="F36" s="12">
        <v>15.194317315026696</v>
      </c>
      <c r="G36" s="12">
        <v>18.643210235533587</v>
      </c>
      <c r="H36" s="12">
        <v>20.171858022455634</v>
      </c>
      <c r="I36" s="12">
        <v>24.352876106194692</v>
      </c>
      <c r="J36" s="12">
        <v>21.152560531390616</v>
      </c>
      <c r="K36" s="12">
        <v>24.660711358793641</v>
      </c>
      <c r="L36" s="12">
        <v>24.578970917225949</v>
      </c>
      <c r="M36" s="12">
        <v>32.418410725964684</v>
      </c>
      <c r="N36" s="12">
        <v>19.696589934700871</v>
      </c>
    </row>
    <row r="37" spans="1:14" x14ac:dyDescent="0.35">
      <c r="A37" s="8" t="s">
        <v>17</v>
      </c>
      <c r="B37" s="12">
        <v>32.227867422590492</v>
      </c>
      <c r="C37" s="12">
        <v>27.792885137172146</v>
      </c>
      <c r="D37" s="12">
        <v>30.493258796448529</v>
      </c>
      <c r="E37" s="12">
        <v>23.980801616705964</v>
      </c>
      <c r="F37" s="12">
        <v>30.942301562001919</v>
      </c>
      <c r="G37" s="12">
        <v>34.034300126103403</v>
      </c>
      <c r="H37" s="12">
        <v>27.353114996306324</v>
      </c>
      <c r="I37" s="12">
        <v>9.7457289293849652</v>
      </c>
      <c r="J37" s="12">
        <v>14.198556998556997</v>
      </c>
      <c r="K37" s="12">
        <v>17.770528404862318</v>
      </c>
      <c r="L37" s="12">
        <v>54.680942184154176</v>
      </c>
      <c r="M37" s="12">
        <v>29.084126709364718</v>
      </c>
      <c r="N37" s="12">
        <v>28.219629211531792</v>
      </c>
    </row>
    <row r="38" spans="1:14" x14ac:dyDescent="0.35">
      <c r="A38" s="8" t="s">
        <v>18</v>
      </c>
      <c r="B38" s="12">
        <v>23.950242184059888</v>
      </c>
      <c r="C38" s="12">
        <v>38.707451701931923</v>
      </c>
      <c r="D38" s="12">
        <v>77.690075376884408</v>
      </c>
      <c r="E38" s="12">
        <v>85.751561986188733</v>
      </c>
      <c r="F38" s="12">
        <v>39.354260089686107</v>
      </c>
      <c r="G38" s="12">
        <v>32.458956109134043</v>
      </c>
      <c r="H38" s="12">
        <v>48.563186813186817</v>
      </c>
      <c r="I38" s="12">
        <v>32.58605919003115</v>
      </c>
      <c r="J38" s="12">
        <v>27.670497237569059</v>
      </c>
      <c r="K38" s="12">
        <v>27.084286971830988</v>
      </c>
      <c r="L38" s="12">
        <v>20.221919054115514</v>
      </c>
      <c r="M38" s="12">
        <v>18.871479571598581</v>
      </c>
      <c r="N38" s="12">
        <v>44.514504203505119</v>
      </c>
    </row>
    <row r="39" spans="1:14" x14ac:dyDescent="0.35">
      <c r="A39" s="8" t="s">
        <v>19</v>
      </c>
      <c r="B39" s="12">
        <v>14.420498084291189</v>
      </c>
      <c r="C39" s="12">
        <v>13.424305106658046</v>
      </c>
      <c r="D39" s="12">
        <v>11.067885714285714</v>
      </c>
      <c r="E39" s="12">
        <v>15.32423424853198</v>
      </c>
      <c r="F39" s="12">
        <v>10.227717186912374</v>
      </c>
      <c r="G39" s="12">
        <v>12.204467353951889</v>
      </c>
      <c r="H39" s="12" t="e">
        <v>#DIV/0!</v>
      </c>
      <c r="I39" s="12" t="e">
        <v>#DIV/0!</v>
      </c>
      <c r="J39" s="12" t="e">
        <v>#DIV/0!</v>
      </c>
      <c r="K39" s="12" t="e">
        <v>#DIV/0!</v>
      </c>
      <c r="L39" s="12" t="e">
        <v>#DIV/0!</v>
      </c>
      <c r="M39" s="12" t="e">
        <v>#DIV/0!</v>
      </c>
      <c r="N39" s="12">
        <v>13.147031847939536</v>
      </c>
    </row>
    <row r="40" spans="1:14" x14ac:dyDescent="0.35">
      <c r="A40" s="8" t="s">
        <v>15</v>
      </c>
      <c r="B40" s="12">
        <v>20.308802045288537</v>
      </c>
      <c r="C40" s="12">
        <v>23.374115479629879</v>
      </c>
      <c r="D40" s="12">
        <v>41.015253978746124</v>
      </c>
      <c r="E40" s="12">
        <v>48.367886957187714</v>
      </c>
      <c r="F40" s="12">
        <v>25.1793620840429</v>
      </c>
      <c r="G40" s="12">
        <v>29.227095516569214</v>
      </c>
      <c r="H40" s="12">
        <v>34.754363026547679</v>
      </c>
      <c r="I40" s="12">
        <v>23.712265491756675</v>
      </c>
      <c r="J40" s="12">
        <v>21.579047167575261</v>
      </c>
      <c r="K40" s="12">
        <v>23.518601798855261</v>
      </c>
      <c r="L40" s="12">
        <v>32.792288271746607</v>
      </c>
      <c r="M40" s="12">
        <v>26.162366365131586</v>
      </c>
      <c r="N40" s="12">
        <v>29.83559941057884</v>
      </c>
    </row>
    <row r="51" spans="1:6" x14ac:dyDescent="0.35">
      <c r="A51" s="7" t="s">
        <v>35</v>
      </c>
      <c r="B51" t="s">
        <v>22</v>
      </c>
    </row>
    <row r="53" spans="1:6" x14ac:dyDescent="0.35">
      <c r="A53" s="7" t="s">
        <v>41</v>
      </c>
      <c r="B53" s="7" t="s">
        <v>38</v>
      </c>
    </row>
    <row r="54" spans="1:6" x14ac:dyDescent="0.35">
      <c r="A54" s="7" t="s">
        <v>14</v>
      </c>
      <c r="B54" t="s">
        <v>16</v>
      </c>
      <c r="C54" t="s">
        <v>17</v>
      </c>
      <c r="D54" t="s">
        <v>18</v>
      </c>
      <c r="E54" t="s">
        <v>19</v>
      </c>
      <c r="F54" t="s">
        <v>15</v>
      </c>
    </row>
    <row r="55" spans="1:6" x14ac:dyDescent="0.35">
      <c r="A55" s="8" t="s">
        <v>23</v>
      </c>
      <c r="B55" s="12">
        <v>15.157278712509152</v>
      </c>
      <c r="C55" s="12">
        <v>32.227867422590492</v>
      </c>
      <c r="D55" s="12">
        <v>23.950242184059888</v>
      </c>
      <c r="E55" s="12">
        <v>14.420498084291189</v>
      </c>
      <c r="F55" s="12">
        <v>20.308802045288537</v>
      </c>
    </row>
    <row r="56" spans="1:6" x14ac:dyDescent="0.35">
      <c r="A56" s="8" t="s">
        <v>24</v>
      </c>
      <c r="B56" s="12">
        <v>12.963040980467252</v>
      </c>
      <c r="C56" s="12">
        <v>27.792885137172146</v>
      </c>
      <c r="D56" s="12">
        <v>38.707451701931923</v>
      </c>
      <c r="E56" s="12">
        <v>13.424305106658046</v>
      </c>
      <c r="F56" s="12">
        <v>23.374115479629879</v>
      </c>
    </row>
    <row r="57" spans="1:6" x14ac:dyDescent="0.35">
      <c r="A57" s="8" t="s">
        <v>25</v>
      </c>
      <c r="B57" s="12">
        <v>10.972267536704731</v>
      </c>
      <c r="C57" s="12">
        <v>30.493258796448529</v>
      </c>
      <c r="D57" s="12">
        <v>77.690075376884408</v>
      </c>
      <c r="E57" s="12">
        <v>11.067885714285714</v>
      </c>
      <c r="F57" s="12">
        <v>41.015253978746124</v>
      </c>
    </row>
    <row r="58" spans="1:6" x14ac:dyDescent="0.35">
      <c r="A58" s="8" t="s">
        <v>26</v>
      </c>
      <c r="B58" s="12">
        <v>11.162393162393158</v>
      </c>
      <c r="C58" s="12">
        <v>23.980801616705964</v>
      </c>
      <c r="D58" s="12">
        <v>85.751561986188733</v>
      </c>
      <c r="E58" s="12">
        <v>15.32423424853198</v>
      </c>
      <c r="F58" s="12">
        <v>48.367886957187714</v>
      </c>
    </row>
    <row r="59" spans="1:6" x14ac:dyDescent="0.35">
      <c r="A59" s="8" t="s">
        <v>27</v>
      </c>
      <c r="B59" s="12">
        <v>15.194317315026696</v>
      </c>
      <c r="C59" s="12">
        <v>30.942301562001919</v>
      </c>
      <c r="D59" s="12">
        <v>39.354260089686107</v>
      </c>
      <c r="E59" s="12">
        <v>10.227717186912374</v>
      </c>
      <c r="F59" s="12">
        <v>25.1793620840429</v>
      </c>
    </row>
    <row r="60" spans="1:6" x14ac:dyDescent="0.35">
      <c r="A60" s="8" t="s">
        <v>28</v>
      </c>
      <c r="B60" s="12">
        <v>18.643210235533587</v>
      </c>
      <c r="C60" s="12">
        <v>34.034300126103403</v>
      </c>
      <c r="D60" s="12">
        <v>32.458956109134043</v>
      </c>
      <c r="E60" s="12">
        <v>12.204467353951889</v>
      </c>
      <c r="F60" s="12">
        <v>29.227095516569214</v>
      </c>
    </row>
    <row r="61" spans="1:6" x14ac:dyDescent="0.35">
      <c r="A61" s="8" t="s">
        <v>29</v>
      </c>
      <c r="B61" s="12">
        <v>20.171858022455634</v>
      </c>
      <c r="C61" s="12">
        <v>27.353114996306324</v>
      </c>
      <c r="D61" s="12">
        <v>48.563186813186817</v>
      </c>
      <c r="E61" s="12" t="e">
        <v>#DIV/0!</v>
      </c>
      <c r="F61" s="12">
        <v>34.754363026547679</v>
      </c>
    </row>
    <row r="62" spans="1:6" x14ac:dyDescent="0.35">
      <c r="A62" s="8" t="s">
        <v>30</v>
      </c>
      <c r="B62" s="12">
        <v>24.352876106194692</v>
      </c>
      <c r="C62" s="12">
        <v>9.7457289293849652</v>
      </c>
      <c r="D62" s="12">
        <v>32.58605919003115</v>
      </c>
      <c r="E62" s="12" t="e">
        <v>#DIV/0!</v>
      </c>
      <c r="F62" s="12">
        <v>23.712265491756675</v>
      </c>
    </row>
    <row r="63" spans="1:6" x14ac:dyDescent="0.35">
      <c r="A63" s="8" t="s">
        <v>31</v>
      </c>
      <c r="B63" s="12">
        <v>21.152560531390616</v>
      </c>
      <c r="C63" s="12">
        <v>14.198556998556997</v>
      </c>
      <c r="D63" s="12">
        <v>27.670497237569059</v>
      </c>
      <c r="E63" s="12" t="e">
        <v>#DIV/0!</v>
      </c>
      <c r="F63" s="12">
        <v>21.579047167575261</v>
      </c>
    </row>
    <row r="64" spans="1:6" x14ac:dyDescent="0.35">
      <c r="A64" s="8" t="s">
        <v>32</v>
      </c>
      <c r="B64" s="12">
        <v>24.660711358793641</v>
      </c>
      <c r="C64" s="12">
        <v>17.770528404862318</v>
      </c>
      <c r="D64" s="12">
        <v>27.084286971830988</v>
      </c>
      <c r="E64" s="12" t="e">
        <v>#DIV/0!</v>
      </c>
      <c r="F64" s="12">
        <v>23.518601798855261</v>
      </c>
    </row>
    <row r="65" spans="1:6" x14ac:dyDescent="0.35">
      <c r="A65" s="8" t="s">
        <v>33</v>
      </c>
      <c r="B65" s="12">
        <v>24.578970917225949</v>
      </c>
      <c r="C65" s="12">
        <v>54.680942184154176</v>
      </c>
      <c r="D65" s="12">
        <v>20.221919054115514</v>
      </c>
      <c r="E65" s="12" t="e">
        <v>#DIV/0!</v>
      </c>
      <c r="F65" s="12">
        <v>32.792288271746607</v>
      </c>
    </row>
    <row r="66" spans="1:6" x14ac:dyDescent="0.35">
      <c r="A66" s="8" t="s">
        <v>34</v>
      </c>
      <c r="B66" s="12">
        <v>32.418410725964684</v>
      </c>
      <c r="C66" s="12">
        <v>29.084126709364718</v>
      </c>
      <c r="D66" s="12">
        <v>18.871479571598581</v>
      </c>
      <c r="E66" s="12" t="e">
        <v>#DIV/0!</v>
      </c>
      <c r="F66" s="12">
        <v>26.162366365131586</v>
      </c>
    </row>
    <row r="67" spans="1:6" x14ac:dyDescent="0.35">
      <c r="A67" s="8" t="s">
        <v>15</v>
      </c>
      <c r="B67" s="12">
        <v>19.696589934700871</v>
      </c>
      <c r="C67" s="12">
        <v>28.219629211531792</v>
      </c>
      <c r="D67" s="12">
        <v>44.514504203505119</v>
      </c>
      <c r="E67" s="12">
        <v>13.147031847939536</v>
      </c>
      <c r="F67" s="12">
        <v>29.835599410578858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72FE-138E-4087-A940-922FD28803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C241-2E8A-4F45-B977-6FB263133BF9}">
  <dimension ref="A1:U1252"/>
  <sheetViews>
    <sheetView zoomScale="80" zoomScaleNormal="80" workbookViewId="0"/>
  </sheetViews>
  <sheetFormatPr defaultRowHeight="14.5" x14ac:dyDescent="0.35"/>
  <cols>
    <col min="1" max="1" width="5.08984375" bestFit="1" customWidth="1"/>
    <col min="2" max="2" width="10.54296875" bestFit="1" customWidth="1"/>
    <col min="3" max="3" width="8.26953125" bestFit="1" customWidth="1"/>
    <col min="4" max="4" width="11" bestFit="1" customWidth="1"/>
    <col min="5" max="5" width="13.81640625" bestFit="1" customWidth="1"/>
    <col min="6" max="6" width="7.6328125" bestFit="1" customWidth="1"/>
    <col min="7" max="7" width="12.6328125" bestFit="1" customWidth="1"/>
    <col min="8" max="8" width="13.26953125" bestFit="1" customWidth="1"/>
    <col min="9" max="9" width="13.1796875" style="13" bestFit="1" customWidth="1"/>
    <col min="10" max="10" width="14.453125" bestFit="1" customWidth="1"/>
    <col min="11" max="11" width="17.36328125" bestFit="1" customWidth="1"/>
    <col min="12" max="12" width="16" bestFit="1" customWidth="1"/>
    <col min="13" max="13" width="20.6328125" bestFit="1" customWidth="1"/>
    <col min="14" max="14" width="21.36328125" bestFit="1" customWidth="1"/>
    <col min="15" max="15" width="16.6328125" bestFit="1" customWidth="1"/>
    <col min="16" max="16" width="11.90625" bestFit="1" customWidth="1"/>
    <col min="17" max="17" width="20" bestFit="1" customWidth="1"/>
    <col min="18" max="18" width="20" customWidth="1"/>
    <col min="19" max="19" width="30.81640625" bestFit="1" customWidth="1"/>
    <col min="20" max="20" width="22.81640625" bestFit="1" customWidth="1"/>
  </cols>
  <sheetData>
    <row r="1" spans="1:21" x14ac:dyDescent="0.35">
      <c r="A1" t="s">
        <v>0</v>
      </c>
      <c r="B1" t="s">
        <v>11</v>
      </c>
      <c r="C1" t="s">
        <v>54</v>
      </c>
      <c r="D1" t="s">
        <v>56</v>
      </c>
      <c r="E1" t="s">
        <v>57</v>
      </c>
      <c r="F1" t="s">
        <v>55</v>
      </c>
      <c r="G1" t="s">
        <v>1</v>
      </c>
      <c r="H1" t="s">
        <v>2</v>
      </c>
      <c r="I1" s="13" t="s">
        <v>44</v>
      </c>
      <c r="J1" t="s">
        <v>3</v>
      </c>
      <c r="K1" t="s">
        <v>4</v>
      </c>
      <c r="L1" t="s">
        <v>40</v>
      </c>
      <c r="M1" t="s">
        <v>7</v>
      </c>
      <c r="N1" t="s">
        <v>8</v>
      </c>
      <c r="O1" t="s">
        <v>5</v>
      </c>
      <c r="P1" t="s">
        <v>42</v>
      </c>
      <c r="Q1" t="s">
        <v>9</v>
      </c>
      <c r="R1" t="s">
        <v>10</v>
      </c>
      <c r="S1" t="s">
        <v>12</v>
      </c>
      <c r="T1" t="s">
        <v>6</v>
      </c>
      <c r="U1" t="s">
        <v>13</v>
      </c>
    </row>
    <row r="2" spans="1:21" x14ac:dyDescent="0.35">
      <c r="A2">
        <v>1</v>
      </c>
      <c r="B2" s="5">
        <v>44197</v>
      </c>
      <c r="C2" s="4">
        <f>YEAR(B2)</f>
        <v>2021</v>
      </c>
      <c r="D2" s="4">
        <f t="shared" ref="D2:D66" si="0">MONTH(B2)</f>
        <v>1</v>
      </c>
      <c r="E2" s="14">
        <v>44197</v>
      </c>
      <c r="F2" s="4">
        <f>DAY(B2)</f>
        <v>1</v>
      </c>
      <c r="G2">
        <v>217</v>
      </c>
      <c r="H2">
        <v>204</v>
      </c>
      <c r="I2" s="13">
        <f>TRUNC(H2/G2,2)</f>
        <v>0.94</v>
      </c>
      <c r="J2">
        <f t="shared" ref="J2:J65" si="1">G2-H2</f>
        <v>13</v>
      </c>
      <c r="K2" s="2">
        <v>1.9675925925925926E-4</v>
      </c>
      <c r="L2" s="11">
        <f t="shared" ref="L2:L65" si="2">H2*M2</f>
        <v>57.8</v>
      </c>
      <c r="M2" s="3">
        <f>MINUTE(K2)+SECOND(K2)/60</f>
        <v>0.28333333333333333</v>
      </c>
      <c r="N2" s="4">
        <f>M2*60</f>
        <v>17</v>
      </c>
      <c r="O2" s="2">
        <v>1.5509259259259259E-3</v>
      </c>
      <c r="P2" s="9">
        <f t="shared" ref="P2:P65" si="3">Q2*H2</f>
        <v>455.6</v>
      </c>
      <c r="Q2" s="3">
        <f>MINUTE(O2)+SECOND(O2)/60</f>
        <v>2.2333333333333334</v>
      </c>
      <c r="R2" s="4">
        <f>Q2*60</f>
        <v>134</v>
      </c>
      <c r="S2" s="3">
        <f>TRUNC(U2,0)</f>
        <v>155</v>
      </c>
      <c r="T2" s="1">
        <v>0.76280000000000003</v>
      </c>
      <c r="U2" s="6">
        <f t="shared" ref="U2:U65" si="4">T2*H2</f>
        <v>155.6112</v>
      </c>
    </row>
    <row r="3" spans="1:21" x14ac:dyDescent="0.35">
      <c r="A3">
        <v>2</v>
      </c>
      <c r="B3" s="5">
        <v>44198</v>
      </c>
      <c r="C3" s="4">
        <f t="shared" ref="C3:C66" si="5">YEAR(B3)</f>
        <v>2021</v>
      </c>
      <c r="D3" s="4">
        <f t="shared" si="0"/>
        <v>1</v>
      </c>
      <c r="E3" s="14">
        <v>44198</v>
      </c>
      <c r="F3" s="4">
        <f t="shared" ref="F3:F66" si="6">DAY(B3)</f>
        <v>2</v>
      </c>
      <c r="G3">
        <v>200</v>
      </c>
      <c r="H3">
        <v>182</v>
      </c>
      <c r="I3" s="13">
        <f t="shared" ref="I3:I66" si="7">TRUNC(H3/G3,2)</f>
        <v>0.91</v>
      </c>
      <c r="J3">
        <f t="shared" si="1"/>
        <v>18</v>
      </c>
      <c r="K3" s="2">
        <v>2.3148148148148149E-4</v>
      </c>
      <c r="L3" s="11">
        <f t="shared" si="2"/>
        <v>60.666666666666664</v>
      </c>
      <c r="M3" s="3">
        <f t="shared" ref="M3:M66" si="8">MINUTE(K3)+SECOND(K3)/60</f>
        <v>0.33333333333333331</v>
      </c>
      <c r="N3" s="4">
        <f t="shared" ref="N3:N66" si="9">M3*60</f>
        <v>20</v>
      </c>
      <c r="O3" s="2">
        <v>1.6435185185185185E-3</v>
      </c>
      <c r="P3" s="9">
        <f t="shared" si="3"/>
        <v>430.73333333333335</v>
      </c>
      <c r="Q3" s="3">
        <f t="shared" ref="Q3:Q66" si="10">MINUTE(O3)+SECOND(O3)/60</f>
        <v>2.3666666666666667</v>
      </c>
      <c r="R3" s="4">
        <f t="shared" ref="R3:R66" si="11">Q3*60</f>
        <v>142</v>
      </c>
      <c r="S3" s="3">
        <f t="shared" ref="S3:S66" si="12">TRUNC(U3,0)</f>
        <v>132</v>
      </c>
      <c r="T3" s="1">
        <v>0.72729999999999995</v>
      </c>
      <c r="U3" s="6">
        <f t="shared" si="4"/>
        <v>132.36859999999999</v>
      </c>
    </row>
    <row r="4" spans="1:21" x14ac:dyDescent="0.35">
      <c r="A4">
        <v>3</v>
      </c>
      <c r="B4" s="5">
        <v>44199</v>
      </c>
      <c r="C4" s="4">
        <f t="shared" si="5"/>
        <v>2021</v>
      </c>
      <c r="D4" s="4">
        <f t="shared" si="0"/>
        <v>1</v>
      </c>
      <c r="E4" s="14">
        <v>44199</v>
      </c>
      <c r="F4" s="4">
        <f t="shared" si="6"/>
        <v>3</v>
      </c>
      <c r="G4">
        <v>216</v>
      </c>
      <c r="H4">
        <v>198</v>
      </c>
      <c r="I4" s="13">
        <f t="shared" si="7"/>
        <v>0.91</v>
      </c>
      <c r="J4">
        <f t="shared" si="1"/>
        <v>18</v>
      </c>
      <c r="K4" s="2">
        <v>2.0833333333333335E-4</v>
      </c>
      <c r="L4" s="11">
        <f t="shared" si="2"/>
        <v>59.4</v>
      </c>
      <c r="M4" s="3">
        <f t="shared" si="8"/>
        <v>0.3</v>
      </c>
      <c r="N4" s="4">
        <f t="shared" si="9"/>
        <v>18</v>
      </c>
      <c r="O4" s="2">
        <v>1.8287037037037037E-3</v>
      </c>
      <c r="P4" s="9">
        <f t="shared" si="3"/>
        <v>521.4</v>
      </c>
      <c r="Q4" s="3">
        <f t="shared" si="10"/>
        <v>2.6333333333333333</v>
      </c>
      <c r="R4" s="4">
        <f t="shared" si="11"/>
        <v>158</v>
      </c>
      <c r="S4" s="3">
        <f t="shared" si="12"/>
        <v>147</v>
      </c>
      <c r="T4" s="1">
        <v>0.74299999999999999</v>
      </c>
      <c r="U4" s="6">
        <f t="shared" si="4"/>
        <v>147.114</v>
      </c>
    </row>
    <row r="5" spans="1:21" x14ac:dyDescent="0.35">
      <c r="A5">
        <v>4</v>
      </c>
      <c r="B5" s="5">
        <v>44200</v>
      </c>
      <c r="C5" s="4">
        <f t="shared" si="5"/>
        <v>2021</v>
      </c>
      <c r="D5" s="4">
        <f t="shared" si="0"/>
        <v>1</v>
      </c>
      <c r="E5" s="14">
        <v>44200</v>
      </c>
      <c r="F5" s="4">
        <f t="shared" si="6"/>
        <v>4</v>
      </c>
      <c r="G5">
        <v>155</v>
      </c>
      <c r="H5">
        <v>145</v>
      </c>
      <c r="I5" s="13">
        <f t="shared" si="7"/>
        <v>0.93</v>
      </c>
      <c r="J5">
        <f t="shared" si="1"/>
        <v>10</v>
      </c>
      <c r="K5" s="2">
        <v>1.7361111111111112E-4</v>
      </c>
      <c r="L5" s="11">
        <f t="shared" si="2"/>
        <v>36.25</v>
      </c>
      <c r="M5" s="3">
        <f t="shared" si="8"/>
        <v>0.25</v>
      </c>
      <c r="N5" s="4">
        <f t="shared" si="9"/>
        <v>15</v>
      </c>
      <c r="O5" s="2">
        <v>1.724537037037037E-3</v>
      </c>
      <c r="P5" s="9">
        <f t="shared" si="3"/>
        <v>360.08333333333331</v>
      </c>
      <c r="Q5" s="3">
        <f t="shared" si="10"/>
        <v>2.4833333333333334</v>
      </c>
      <c r="R5" s="4">
        <f t="shared" si="11"/>
        <v>149</v>
      </c>
      <c r="S5" s="3">
        <f t="shared" si="12"/>
        <v>115</v>
      </c>
      <c r="T5" s="1">
        <v>0.79610000000000003</v>
      </c>
      <c r="U5" s="6">
        <f t="shared" si="4"/>
        <v>115.4345</v>
      </c>
    </row>
    <row r="6" spans="1:21" x14ac:dyDescent="0.35">
      <c r="A6">
        <v>5</v>
      </c>
      <c r="B6" s="5">
        <v>44201</v>
      </c>
      <c r="C6" s="4">
        <f t="shared" si="5"/>
        <v>2021</v>
      </c>
      <c r="D6" s="4">
        <f t="shared" si="0"/>
        <v>1</v>
      </c>
      <c r="E6" s="14">
        <v>44201</v>
      </c>
      <c r="F6" s="4">
        <f t="shared" si="6"/>
        <v>5</v>
      </c>
      <c r="G6">
        <v>37</v>
      </c>
      <c r="H6">
        <v>37</v>
      </c>
      <c r="I6" s="13">
        <f t="shared" si="7"/>
        <v>1</v>
      </c>
      <c r="J6">
        <f t="shared" si="1"/>
        <v>0</v>
      </c>
      <c r="K6" s="2">
        <v>3.4722222222222222E-5</v>
      </c>
      <c r="L6" s="11">
        <f t="shared" si="2"/>
        <v>1.85</v>
      </c>
      <c r="M6" s="3">
        <f t="shared" si="8"/>
        <v>0.05</v>
      </c>
      <c r="N6" s="4">
        <f t="shared" si="9"/>
        <v>3</v>
      </c>
      <c r="O6" s="2">
        <v>1.4583333333333334E-3</v>
      </c>
      <c r="P6" s="9">
        <f t="shared" si="3"/>
        <v>77.7</v>
      </c>
      <c r="Q6" s="3">
        <f t="shared" si="10"/>
        <v>2.1</v>
      </c>
      <c r="R6" s="4">
        <f t="shared" si="11"/>
        <v>126</v>
      </c>
      <c r="S6" s="3">
        <f t="shared" si="12"/>
        <v>36</v>
      </c>
      <c r="T6" s="1">
        <v>0.97299999999999998</v>
      </c>
      <c r="U6" s="6">
        <f t="shared" si="4"/>
        <v>36.000999999999998</v>
      </c>
    </row>
    <row r="7" spans="1:21" x14ac:dyDescent="0.35">
      <c r="A7">
        <v>6</v>
      </c>
      <c r="B7" s="5">
        <v>44202</v>
      </c>
      <c r="C7" s="4">
        <f t="shared" si="5"/>
        <v>2021</v>
      </c>
      <c r="D7" s="4">
        <f t="shared" si="0"/>
        <v>1</v>
      </c>
      <c r="E7" s="14">
        <v>44202</v>
      </c>
      <c r="F7" s="4">
        <f t="shared" si="6"/>
        <v>6</v>
      </c>
      <c r="G7">
        <v>315</v>
      </c>
      <c r="H7">
        <v>304</v>
      </c>
      <c r="I7" s="13">
        <f t="shared" si="7"/>
        <v>0.96</v>
      </c>
      <c r="J7">
        <f t="shared" si="1"/>
        <v>11</v>
      </c>
      <c r="K7" s="2">
        <v>2.0833333333333335E-4</v>
      </c>
      <c r="L7" s="11">
        <f t="shared" si="2"/>
        <v>91.2</v>
      </c>
      <c r="M7" s="3">
        <f t="shared" si="8"/>
        <v>0.3</v>
      </c>
      <c r="N7" s="4">
        <f t="shared" si="9"/>
        <v>18</v>
      </c>
      <c r="O7" s="2">
        <v>1.0995370370370371E-3</v>
      </c>
      <c r="P7" s="9">
        <f t="shared" si="3"/>
        <v>481.33333333333337</v>
      </c>
      <c r="Q7" s="3">
        <f t="shared" si="10"/>
        <v>1.5833333333333335</v>
      </c>
      <c r="R7" s="4">
        <f t="shared" si="11"/>
        <v>95.000000000000014</v>
      </c>
      <c r="S7" s="3">
        <f t="shared" si="12"/>
        <v>234</v>
      </c>
      <c r="T7" s="1">
        <v>0.77170000000000005</v>
      </c>
      <c r="U7" s="6">
        <f t="shared" si="4"/>
        <v>234.59680000000003</v>
      </c>
    </row>
    <row r="8" spans="1:21" x14ac:dyDescent="0.35">
      <c r="A8">
        <v>7</v>
      </c>
      <c r="B8" s="5">
        <v>44203</v>
      </c>
      <c r="C8" s="4">
        <f t="shared" si="5"/>
        <v>2021</v>
      </c>
      <c r="D8" s="4">
        <f t="shared" si="0"/>
        <v>1</v>
      </c>
      <c r="E8" s="14">
        <v>44203</v>
      </c>
      <c r="F8" s="4">
        <f t="shared" si="6"/>
        <v>7</v>
      </c>
      <c r="G8">
        <v>252</v>
      </c>
      <c r="H8">
        <v>244</v>
      </c>
      <c r="I8" s="13">
        <f t="shared" si="7"/>
        <v>0.96</v>
      </c>
      <c r="J8">
        <f t="shared" si="1"/>
        <v>8</v>
      </c>
      <c r="K8" s="2">
        <v>1.5046296296296297E-4</v>
      </c>
      <c r="L8" s="11">
        <f t="shared" si="2"/>
        <v>52.866666666666667</v>
      </c>
      <c r="M8" s="3">
        <f t="shared" si="8"/>
        <v>0.21666666666666667</v>
      </c>
      <c r="N8" s="4">
        <f t="shared" si="9"/>
        <v>13</v>
      </c>
      <c r="O8" s="2">
        <v>1.2731481481481483E-3</v>
      </c>
      <c r="P8" s="9">
        <f t="shared" si="3"/>
        <v>447.33333333333337</v>
      </c>
      <c r="Q8" s="3">
        <f t="shared" si="10"/>
        <v>1.8333333333333335</v>
      </c>
      <c r="R8" s="4">
        <f t="shared" si="11"/>
        <v>110.00000000000001</v>
      </c>
      <c r="S8" s="3">
        <f t="shared" si="12"/>
        <v>200</v>
      </c>
      <c r="T8" s="1">
        <v>0.82</v>
      </c>
      <c r="U8" s="6">
        <f t="shared" si="4"/>
        <v>200.07999999999998</v>
      </c>
    </row>
    <row r="9" spans="1:21" x14ac:dyDescent="0.35">
      <c r="A9">
        <v>8</v>
      </c>
      <c r="B9" s="5">
        <v>44204</v>
      </c>
      <c r="C9" s="4">
        <f t="shared" si="5"/>
        <v>2021</v>
      </c>
      <c r="D9" s="4">
        <f t="shared" si="0"/>
        <v>1</v>
      </c>
      <c r="E9" s="14">
        <v>44204</v>
      </c>
      <c r="F9" s="4">
        <f t="shared" si="6"/>
        <v>8</v>
      </c>
      <c r="G9">
        <v>213</v>
      </c>
      <c r="H9">
        <v>205</v>
      </c>
      <c r="I9" s="13">
        <f t="shared" si="7"/>
        <v>0.96</v>
      </c>
      <c r="J9">
        <f t="shared" si="1"/>
        <v>8</v>
      </c>
      <c r="K9" s="2">
        <v>1.1574074074074075E-4</v>
      </c>
      <c r="L9" s="11">
        <f t="shared" si="2"/>
        <v>34.166666666666664</v>
      </c>
      <c r="M9" s="3">
        <f t="shared" si="8"/>
        <v>0.16666666666666666</v>
      </c>
      <c r="N9" s="4">
        <f t="shared" si="9"/>
        <v>10</v>
      </c>
      <c r="O9" s="2">
        <v>1.5046296296296296E-3</v>
      </c>
      <c r="P9" s="9">
        <f t="shared" si="3"/>
        <v>444.16666666666663</v>
      </c>
      <c r="Q9" s="3">
        <f t="shared" si="10"/>
        <v>2.1666666666666665</v>
      </c>
      <c r="R9" s="4">
        <f t="shared" si="11"/>
        <v>130</v>
      </c>
      <c r="S9" s="3">
        <f t="shared" si="12"/>
        <v>180</v>
      </c>
      <c r="T9" s="1">
        <v>0.88100000000000001</v>
      </c>
      <c r="U9" s="6">
        <f t="shared" si="4"/>
        <v>180.60499999999999</v>
      </c>
    </row>
    <row r="10" spans="1:21" x14ac:dyDescent="0.35">
      <c r="A10">
        <v>9</v>
      </c>
      <c r="B10" s="5">
        <v>44205</v>
      </c>
      <c r="C10" s="4">
        <f t="shared" si="5"/>
        <v>2021</v>
      </c>
      <c r="D10" s="4">
        <f t="shared" si="0"/>
        <v>1</v>
      </c>
      <c r="E10" s="14">
        <v>44205</v>
      </c>
      <c r="F10" s="4">
        <f t="shared" si="6"/>
        <v>9</v>
      </c>
      <c r="G10">
        <v>219</v>
      </c>
      <c r="H10">
        <v>200</v>
      </c>
      <c r="I10" s="13">
        <f t="shared" si="7"/>
        <v>0.91</v>
      </c>
      <c r="J10">
        <f t="shared" si="1"/>
        <v>19</v>
      </c>
      <c r="K10" s="2">
        <v>1.7361111111111112E-4</v>
      </c>
      <c r="L10" s="11">
        <f t="shared" si="2"/>
        <v>50</v>
      </c>
      <c r="M10" s="3">
        <f t="shared" si="8"/>
        <v>0.25</v>
      </c>
      <c r="N10" s="4">
        <f t="shared" si="9"/>
        <v>15</v>
      </c>
      <c r="O10" s="2">
        <v>1.5972222222222223E-3</v>
      </c>
      <c r="P10" s="9">
        <f t="shared" si="3"/>
        <v>459.99999999999994</v>
      </c>
      <c r="Q10" s="3">
        <f t="shared" si="10"/>
        <v>2.2999999999999998</v>
      </c>
      <c r="R10" s="4">
        <f t="shared" si="11"/>
        <v>138</v>
      </c>
      <c r="S10" s="3">
        <f t="shared" si="12"/>
        <v>158</v>
      </c>
      <c r="T10" s="1">
        <v>0.79449999999999998</v>
      </c>
      <c r="U10" s="6">
        <f t="shared" si="4"/>
        <v>158.9</v>
      </c>
    </row>
    <row r="11" spans="1:21" x14ac:dyDescent="0.35">
      <c r="A11">
        <v>10</v>
      </c>
      <c r="B11" s="5">
        <v>44206</v>
      </c>
      <c r="C11" s="4">
        <f t="shared" si="5"/>
        <v>2021</v>
      </c>
      <c r="D11" s="4">
        <f t="shared" si="0"/>
        <v>1</v>
      </c>
      <c r="E11" s="14">
        <v>44206</v>
      </c>
      <c r="F11" s="4">
        <f t="shared" si="6"/>
        <v>10</v>
      </c>
      <c r="G11">
        <v>371</v>
      </c>
      <c r="H11">
        <v>348</v>
      </c>
      <c r="I11" s="13">
        <f t="shared" si="7"/>
        <v>0.93</v>
      </c>
      <c r="J11">
        <f t="shared" si="1"/>
        <v>23</v>
      </c>
      <c r="K11" s="2">
        <v>2.199074074074074E-4</v>
      </c>
      <c r="L11" s="11">
        <f t="shared" si="2"/>
        <v>110.19999999999999</v>
      </c>
      <c r="M11" s="3">
        <f t="shared" si="8"/>
        <v>0.31666666666666665</v>
      </c>
      <c r="N11" s="4">
        <f t="shared" si="9"/>
        <v>19</v>
      </c>
      <c r="O11" s="2">
        <v>1.1574074074074073E-3</v>
      </c>
      <c r="P11" s="9">
        <f t="shared" si="3"/>
        <v>580</v>
      </c>
      <c r="Q11" s="3">
        <f t="shared" si="10"/>
        <v>1.6666666666666665</v>
      </c>
      <c r="R11" s="4">
        <f t="shared" si="11"/>
        <v>99.999999999999986</v>
      </c>
      <c r="S11" s="3">
        <f t="shared" si="12"/>
        <v>256</v>
      </c>
      <c r="T11" s="1">
        <v>0.73629999999999995</v>
      </c>
      <c r="U11" s="6">
        <f t="shared" si="4"/>
        <v>256.23239999999998</v>
      </c>
    </row>
    <row r="12" spans="1:21" x14ac:dyDescent="0.35">
      <c r="A12">
        <v>11</v>
      </c>
      <c r="B12" s="5">
        <v>44207</v>
      </c>
      <c r="C12" s="4">
        <f t="shared" si="5"/>
        <v>2021</v>
      </c>
      <c r="D12" s="4">
        <f t="shared" si="0"/>
        <v>1</v>
      </c>
      <c r="E12" s="14">
        <v>44207</v>
      </c>
      <c r="F12" s="4">
        <f t="shared" si="6"/>
        <v>11</v>
      </c>
      <c r="G12">
        <v>166</v>
      </c>
      <c r="H12">
        <v>164</v>
      </c>
      <c r="I12" s="13">
        <f t="shared" si="7"/>
        <v>0.98</v>
      </c>
      <c r="J12">
        <f t="shared" si="1"/>
        <v>2</v>
      </c>
      <c r="K12" s="2">
        <v>1.3888888888888889E-4</v>
      </c>
      <c r="L12" s="11">
        <f t="shared" si="2"/>
        <v>32.800000000000004</v>
      </c>
      <c r="M12" s="3">
        <f t="shared" si="8"/>
        <v>0.2</v>
      </c>
      <c r="N12" s="4">
        <f t="shared" si="9"/>
        <v>12</v>
      </c>
      <c r="O12" s="2">
        <v>1.5046296296296296E-3</v>
      </c>
      <c r="P12" s="9">
        <f t="shared" si="3"/>
        <v>355.33333333333331</v>
      </c>
      <c r="Q12" s="3">
        <f t="shared" si="10"/>
        <v>2.1666666666666665</v>
      </c>
      <c r="R12" s="4">
        <f t="shared" si="11"/>
        <v>130</v>
      </c>
      <c r="S12" s="3">
        <f t="shared" si="12"/>
        <v>133</v>
      </c>
      <c r="T12" s="1">
        <v>0.81330000000000002</v>
      </c>
      <c r="U12" s="6">
        <f t="shared" si="4"/>
        <v>133.38120000000001</v>
      </c>
    </row>
    <row r="13" spans="1:21" x14ac:dyDescent="0.35">
      <c r="A13">
        <v>12</v>
      </c>
      <c r="B13" s="5">
        <v>44208</v>
      </c>
      <c r="C13" s="4">
        <f t="shared" si="5"/>
        <v>2021</v>
      </c>
      <c r="D13" s="4">
        <f t="shared" si="0"/>
        <v>1</v>
      </c>
      <c r="E13" s="14">
        <v>44208</v>
      </c>
      <c r="F13" s="4">
        <f t="shared" si="6"/>
        <v>12</v>
      </c>
      <c r="G13">
        <v>32</v>
      </c>
      <c r="H13">
        <v>32</v>
      </c>
      <c r="I13" s="13">
        <f t="shared" si="7"/>
        <v>1</v>
      </c>
      <c r="J13">
        <f t="shared" si="1"/>
        <v>0</v>
      </c>
      <c r="K13" s="2">
        <v>2.3148148148148147E-5</v>
      </c>
      <c r="L13" s="11">
        <f t="shared" si="2"/>
        <v>1.0666666666666667</v>
      </c>
      <c r="M13" s="3">
        <f t="shared" si="8"/>
        <v>3.3333333333333333E-2</v>
      </c>
      <c r="N13" s="4">
        <f t="shared" si="9"/>
        <v>2</v>
      </c>
      <c r="O13" s="2">
        <v>1.4236111111111112E-3</v>
      </c>
      <c r="P13" s="9">
        <f t="shared" si="3"/>
        <v>65.599999999999994</v>
      </c>
      <c r="Q13" s="3">
        <f t="shared" si="10"/>
        <v>2.0499999999999998</v>
      </c>
      <c r="R13" s="4">
        <f t="shared" si="11"/>
        <v>122.99999999999999</v>
      </c>
      <c r="S13" s="3">
        <f t="shared" si="12"/>
        <v>32</v>
      </c>
      <c r="T13" s="1">
        <v>1</v>
      </c>
      <c r="U13" s="6">
        <f t="shared" si="4"/>
        <v>32</v>
      </c>
    </row>
    <row r="14" spans="1:21" x14ac:dyDescent="0.35">
      <c r="A14">
        <v>13</v>
      </c>
      <c r="B14" s="5">
        <v>44209</v>
      </c>
      <c r="C14" s="4">
        <f t="shared" si="5"/>
        <v>2021</v>
      </c>
      <c r="D14" s="4">
        <f t="shared" si="0"/>
        <v>1</v>
      </c>
      <c r="E14" s="14">
        <v>44209</v>
      </c>
      <c r="F14" s="4">
        <f t="shared" si="6"/>
        <v>13</v>
      </c>
      <c r="G14">
        <v>231</v>
      </c>
      <c r="H14">
        <v>222</v>
      </c>
      <c r="I14" s="13">
        <f t="shared" si="7"/>
        <v>0.96</v>
      </c>
      <c r="J14">
        <f t="shared" si="1"/>
        <v>9</v>
      </c>
      <c r="K14" s="2">
        <v>9.2592592592592588E-5</v>
      </c>
      <c r="L14" s="11">
        <f t="shared" si="2"/>
        <v>29.599999999999998</v>
      </c>
      <c r="M14" s="3">
        <f t="shared" si="8"/>
        <v>0.13333333333333333</v>
      </c>
      <c r="N14" s="4">
        <f t="shared" si="9"/>
        <v>8</v>
      </c>
      <c r="O14" s="2">
        <v>1.261574074074074E-3</v>
      </c>
      <c r="P14" s="9">
        <f t="shared" si="3"/>
        <v>403.3</v>
      </c>
      <c r="Q14" s="3">
        <f t="shared" si="10"/>
        <v>1.8166666666666667</v>
      </c>
      <c r="R14" s="4">
        <f t="shared" si="11"/>
        <v>109</v>
      </c>
      <c r="S14" s="3">
        <f t="shared" si="12"/>
        <v>191</v>
      </c>
      <c r="T14" s="1">
        <v>0.86460000000000004</v>
      </c>
      <c r="U14" s="6">
        <f t="shared" si="4"/>
        <v>191.94120000000001</v>
      </c>
    </row>
    <row r="15" spans="1:21" x14ac:dyDescent="0.35">
      <c r="A15">
        <v>14</v>
      </c>
      <c r="B15" s="5">
        <v>44210</v>
      </c>
      <c r="C15" s="4">
        <f t="shared" si="5"/>
        <v>2021</v>
      </c>
      <c r="D15" s="4">
        <f t="shared" si="0"/>
        <v>1</v>
      </c>
      <c r="E15" s="14">
        <v>44210</v>
      </c>
      <c r="F15" s="4">
        <f t="shared" si="6"/>
        <v>14</v>
      </c>
      <c r="G15">
        <v>205</v>
      </c>
      <c r="H15">
        <v>197</v>
      </c>
      <c r="I15" s="13">
        <f t="shared" si="7"/>
        <v>0.96</v>
      </c>
      <c r="J15">
        <f t="shared" si="1"/>
        <v>8</v>
      </c>
      <c r="K15" s="2">
        <v>8.1018518518518516E-5</v>
      </c>
      <c r="L15" s="11">
        <f t="shared" si="2"/>
        <v>22.983333333333334</v>
      </c>
      <c r="M15" s="3">
        <f t="shared" si="8"/>
        <v>0.11666666666666667</v>
      </c>
      <c r="N15" s="4">
        <f t="shared" si="9"/>
        <v>7</v>
      </c>
      <c r="O15" s="2">
        <v>1.2962962962962963E-3</v>
      </c>
      <c r="P15" s="9">
        <f t="shared" si="3"/>
        <v>367.73333333333335</v>
      </c>
      <c r="Q15" s="3">
        <f t="shared" si="10"/>
        <v>1.8666666666666667</v>
      </c>
      <c r="R15" s="4">
        <f t="shared" si="11"/>
        <v>112</v>
      </c>
      <c r="S15" s="3">
        <f t="shared" si="12"/>
        <v>182</v>
      </c>
      <c r="T15" s="1">
        <v>0.92610000000000003</v>
      </c>
      <c r="U15" s="6">
        <f t="shared" si="4"/>
        <v>182.4417</v>
      </c>
    </row>
    <row r="16" spans="1:21" x14ac:dyDescent="0.35">
      <c r="A16">
        <v>15</v>
      </c>
      <c r="B16" s="5">
        <v>44211</v>
      </c>
      <c r="C16" s="4">
        <f t="shared" si="5"/>
        <v>2021</v>
      </c>
      <c r="D16" s="4">
        <f t="shared" si="0"/>
        <v>1</v>
      </c>
      <c r="E16" s="14">
        <v>44211</v>
      </c>
      <c r="F16" s="4">
        <f t="shared" si="6"/>
        <v>15</v>
      </c>
      <c r="G16">
        <v>338</v>
      </c>
      <c r="H16">
        <v>313</v>
      </c>
      <c r="I16" s="13">
        <f t="shared" si="7"/>
        <v>0.92</v>
      </c>
      <c r="J16">
        <f t="shared" si="1"/>
        <v>25</v>
      </c>
      <c r="K16" s="2">
        <v>1.5046296296296297E-4</v>
      </c>
      <c r="L16" s="11">
        <f t="shared" si="2"/>
        <v>67.816666666666663</v>
      </c>
      <c r="M16" s="3">
        <f t="shared" si="8"/>
        <v>0.21666666666666667</v>
      </c>
      <c r="N16" s="4">
        <f t="shared" si="9"/>
        <v>13</v>
      </c>
      <c r="O16" s="2">
        <v>1.2847222222222223E-3</v>
      </c>
      <c r="P16" s="9">
        <f t="shared" si="3"/>
        <v>579.05000000000007</v>
      </c>
      <c r="Q16" s="3">
        <f t="shared" si="10"/>
        <v>1.85</v>
      </c>
      <c r="R16" s="4">
        <f t="shared" si="11"/>
        <v>111</v>
      </c>
      <c r="S16" s="3">
        <f t="shared" si="12"/>
        <v>250</v>
      </c>
      <c r="T16" s="1">
        <v>0.80059999999999998</v>
      </c>
      <c r="U16" s="6">
        <f t="shared" si="4"/>
        <v>250.58779999999999</v>
      </c>
    </row>
    <row r="17" spans="1:21" x14ac:dyDescent="0.35">
      <c r="A17">
        <v>16</v>
      </c>
      <c r="B17" s="5">
        <v>44212</v>
      </c>
      <c r="C17" s="4">
        <f t="shared" si="5"/>
        <v>2021</v>
      </c>
      <c r="D17" s="4">
        <f t="shared" si="0"/>
        <v>1</v>
      </c>
      <c r="E17" s="14">
        <v>44212</v>
      </c>
      <c r="F17" s="4">
        <f t="shared" si="6"/>
        <v>16</v>
      </c>
      <c r="G17">
        <v>180</v>
      </c>
      <c r="H17">
        <v>174</v>
      </c>
      <c r="I17" s="13">
        <f t="shared" si="7"/>
        <v>0.96</v>
      </c>
      <c r="J17">
        <f t="shared" si="1"/>
        <v>6</v>
      </c>
      <c r="K17" s="2">
        <v>1.5046296296296297E-4</v>
      </c>
      <c r="L17" s="11">
        <f t="shared" si="2"/>
        <v>37.700000000000003</v>
      </c>
      <c r="M17" s="3">
        <f t="shared" si="8"/>
        <v>0.21666666666666667</v>
      </c>
      <c r="N17" s="4">
        <f t="shared" si="9"/>
        <v>13</v>
      </c>
      <c r="O17" s="2">
        <v>1.5972222222222223E-3</v>
      </c>
      <c r="P17" s="9">
        <f t="shared" si="3"/>
        <v>400.2</v>
      </c>
      <c r="Q17" s="3">
        <f t="shared" si="10"/>
        <v>2.2999999999999998</v>
      </c>
      <c r="R17" s="4">
        <f t="shared" si="11"/>
        <v>138</v>
      </c>
      <c r="S17" s="3">
        <f t="shared" si="12"/>
        <v>145</v>
      </c>
      <c r="T17" s="1">
        <v>0.83799999999999997</v>
      </c>
      <c r="U17" s="6">
        <f t="shared" si="4"/>
        <v>145.81199999999998</v>
      </c>
    </row>
    <row r="18" spans="1:21" x14ac:dyDescent="0.35">
      <c r="A18">
        <v>17</v>
      </c>
      <c r="B18" s="5">
        <v>44213</v>
      </c>
      <c r="C18" s="4">
        <f t="shared" si="5"/>
        <v>2021</v>
      </c>
      <c r="D18" s="4">
        <f t="shared" si="0"/>
        <v>1</v>
      </c>
      <c r="E18" s="14">
        <v>44213</v>
      </c>
      <c r="F18" s="4">
        <f t="shared" si="6"/>
        <v>17</v>
      </c>
      <c r="G18">
        <v>226</v>
      </c>
      <c r="H18">
        <v>211</v>
      </c>
      <c r="I18" s="13">
        <f t="shared" si="7"/>
        <v>0.93</v>
      </c>
      <c r="J18">
        <f t="shared" si="1"/>
        <v>15</v>
      </c>
      <c r="K18" s="2">
        <v>2.3148148148148149E-4</v>
      </c>
      <c r="L18" s="11">
        <f t="shared" si="2"/>
        <v>70.333333333333329</v>
      </c>
      <c r="M18" s="3">
        <f t="shared" si="8"/>
        <v>0.33333333333333331</v>
      </c>
      <c r="N18" s="4">
        <f t="shared" si="9"/>
        <v>20</v>
      </c>
      <c r="O18" s="2">
        <v>1.4351851851851852E-3</v>
      </c>
      <c r="P18" s="9">
        <f t="shared" si="3"/>
        <v>436.06666666666672</v>
      </c>
      <c r="Q18" s="3">
        <f t="shared" si="10"/>
        <v>2.0666666666666669</v>
      </c>
      <c r="R18" s="4">
        <f t="shared" si="11"/>
        <v>124.00000000000001</v>
      </c>
      <c r="S18" s="3">
        <f t="shared" si="12"/>
        <v>160</v>
      </c>
      <c r="T18" s="1">
        <v>0.76229999999999998</v>
      </c>
      <c r="U18" s="6">
        <f t="shared" si="4"/>
        <v>160.84530000000001</v>
      </c>
    </row>
    <row r="19" spans="1:21" x14ac:dyDescent="0.35">
      <c r="A19">
        <v>18</v>
      </c>
      <c r="B19" s="5">
        <v>44214</v>
      </c>
      <c r="C19" s="4">
        <f t="shared" si="5"/>
        <v>2021</v>
      </c>
      <c r="D19" s="4">
        <f t="shared" si="0"/>
        <v>1</v>
      </c>
      <c r="E19" s="14">
        <v>44214</v>
      </c>
      <c r="F19" s="4">
        <f t="shared" si="6"/>
        <v>18</v>
      </c>
      <c r="G19">
        <v>226</v>
      </c>
      <c r="H19">
        <v>212</v>
      </c>
      <c r="I19" s="13">
        <f t="shared" si="7"/>
        <v>0.93</v>
      </c>
      <c r="J19">
        <f t="shared" si="1"/>
        <v>14</v>
      </c>
      <c r="K19" s="2">
        <v>1.1574074074074075E-4</v>
      </c>
      <c r="L19" s="11">
        <f t="shared" si="2"/>
        <v>35.333333333333329</v>
      </c>
      <c r="M19" s="3">
        <f t="shared" si="8"/>
        <v>0.16666666666666666</v>
      </c>
      <c r="N19" s="4">
        <f t="shared" si="9"/>
        <v>10</v>
      </c>
      <c r="O19" s="2">
        <v>1.4236111111111112E-3</v>
      </c>
      <c r="P19" s="9">
        <f t="shared" si="3"/>
        <v>434.59999999999997</v>
      </c>
      <c r="Q19" s="3">
        <f t="shared" si="10"/>
        <v>2.0499999999999998</v>
      </c>
      <c r="R19" s="4">
        <f t="shared" si="11"/>
        <v>122.99999999999999</v>
      </c>
      <c r="S19" s="3">
        <f t="shared" si="12"/>
        <v>179</v>
      </c>
      <c r="T19" s="1">
        <v>0.84440000000000004</v>
      </c>
      <c r="U19" s="6">
        <f t="shared" si="4"/>
        <v>179.0128</v>
      </c>
    </row>
    <row r="20" spans="1:21" x14ac:dyDescent="0.35">
      <c r="A20">
        <v>19</v>
      </c>
      <c r="B20" s="5">
        <v>44215</v>
      </c>
      <c r="C20" s="4">
        <f t="shared" si="5"/>
        <v>2021</v>
      </c>
      <c r="D20" s="4">
        <f t="shared" si="0"/>
        <v>1</v>
      </c>
      <c r="E20" s="14">
        <v>44215</v>
      </c>
      <c r="F20" s="4">
        <f t="shared" si="6"/>
        <v>19</v>
      </c>
      <c r="G20">
        <v>45</v>
      </c>
      <c r="H20">
        <v>44</v>
      </c>
      <c r="I20" s="13">
        <f t="shared" si="7"/>
        <v>0.97</v>
      </c>
      <c r="J20">
        <f t="shared" si="1"/>
        <v>1</v>
      </c>
      <c r="K20" s="2">
        <v>2.3148148148148147E-5</v>
      </c>
      <c r="L20" s="11">
        <f t="shared" si="2"/>
        <v>1.4666666666666666</v>
      </c>
      <c r="M20" s="3">
        <f t="shared" si="8"/>
        <v>3.3333333333333333E-2</v>
      </c>
      <c r="N20" s="4">
        <f t="shared" si="9"/>
        <v>2</v>
      </c>
      <c r="O20" s="2">
        <v>1.4351851851851852E-3</v>
      </c>
      <c r="P20" s="9">
        <f t="shared" si="3"/>
        <v>90.933333333333337</v>
      </c>
      <c r="Q20" s="3">
        <f t="shared" si="10"/>
        <v>2.0666666666666669</v>
      </c>
      <c r="R20" s="4">
        <f t="shared" si="11"/>
        <v>124.00000000000001</v>
      </c>
      <c r="S20" s="3">
        <f t="shared" si="12"/>
        <v>43</v>
      </c>
      <c r="T20" s="1">
        <v>0.9778</v>
      </c>
      <c r="U20" s="6">
        <f t="shared" si="4"/>
        <v>43.023200000000003</v>
      </c>
    </row>
    <row r="21" spans="1:21" x14ac:dyDescent="0.35">
      <c r="A21">
        <v>20</v>
      </c>
      <c r="B21" s="5">
        <v>44216</v>
      </c>
      <c r="C21" s="4">
        <f t="shared" si="5"/>
        <v>2021</v>
      </c>
      <c r="D21" s="4">
        <f t="shared" si="0"/>
        <v>1</v>
      </c>
      <c r="E21" s="14">
        <v>44216</v>
      </c>
      <c r="F21" s="4">
        <f t="shared" si="6"/>
        <v>20</v>
      </c>
      <c r="G21">
        <v>218</v>
      </c>
      <c r="H21">
        <v>194</v>
      </c>
      <c r="I21" s="13">
        <f t="shared" si="7"/>
        <v>0.88</v>
      </c>
      <c r="J21">
        <f t="shared" si="1"/>
        <v>24</v>
      </c>
      <c r="K21" s="2">
        <v>3.0092592592592595E-4</v>
      </c>
      <c r="L21" s="11">
        <f t="shared" si="2"/>
        <v>84.066666666666663</v>
      </c>
      <c r="M21" s="3">
        <f t="shared" si="8"/>
        <v>0.43333333333333335</v>
      </c>
      <c r="N21" s="4">
        <f t="shared" si="9"/>
        <v>26</v>
      </c>
      <c r="O21" s="2">
        <v>1.8865740740740742E-3</v>
      </c>
      <c r="P21" s="9">
        <f t="shared" si="3"/>
        <v>527.0333333333333</v>
      </c>
      <c r="Q21" s="3">
        <f t="shared" si="10"/>
        <v>2.7166666666666668</v>
      </c>
      <c r="R21" s="4">
        <f t="shared" si="11"/>
        <v>163</v>
      </c>
      <c r="S21" s="3">
        <f t="shared" si="12"/>
        <v>133</v>
      </c>
      <c r="T21" s="1">
        <v>0.68979999999999997</v>
      </c>
      <c r="U21" s="6">
        <f t="shared" si="4"/>
        <v>133.8212</v>
      </c>
    </row>
    <row r="22" spans="1:21" x14ac:dyDescent="0.35">
      <c r="A22">
        <v>21</v>
      </c>
      <c r="B22" s="5">
        <v>44217</v>
      </c>
      <c r="C22" s="4">
        <f t="shared" si="5"/>
        <v>2021</v>
      </c>
      <c r="D22" s="4">
        <f t="shared" si="0"/>
        <v>1</v>
      </c>
      <c r="E22" s="14">
        <v>44217</v>
      </c>
      <c r="F22" s="4">
        <f t="shared" si="6"/>
        <v>21</v>
      </c>
      <c r="G22">
        <v>187</v>
      </c>
      <c r="H22">
        <v>174</v>
      </c>
      <c r="I22" s="13">
        <f t="shared" si="7"/>
        <v>0.93</v>
      </c>
      <c r="J22">
        <f t="shared" si="1"/>
        <v>13</v>
      </c>
      <c r="K22" s="2">
        <v>1.7361111111111112E-4</v>
      </c>
      <c r="L22" s="11">
        <f t="shared" si="2"/>
        <v>43.5</v>
      </c>
      <c r="M22" s="3">
        <f t="shared" si="8"/>
        <v>0.25</v>
      </c>
      <c r="N22" s="4">
        <f t="shared" si="9"/>
        <v>15</v>
      </c>
      <c r="O22" s="2">
        <v>1.5740740740740741E-3</v>
      </c>
      <c r="P22" s="9">
        <f t="shared" si="3"/>
        <v>394.4</v>
      </c>
      <c r="Q22" s="3">
        <f t="shared" si="10"/>
        <v>2.2666666666666666</v>
      </c>
      <c r="R22" s="4">
        <f t="shared" si="11"/>
        <v>136</v>
      </c>
      <c r="S22" s="3">
        <f t="shared" si="12"/>
        <v>141</v>
      </c>
      <c r="T22" s="1">
        <v>0.81520000000000004</v>
      </c>
      <c r="U22" s="6">
        <f t="shared" si="4"/>
        <v>141.84479999999999</v>
      </c>
    </row>
    <row r="23" spans="1:21" x14ac:dyDescent="0.35">
      <c r="A23">
        <v>22</v>
      </c>
      <c r="B23" s="5">
        <v>44218</v>
      </c>
      <c r="C23" s="4">
        <f t="shared" si="5"/>
        <v>2021</v>
      </c>
      <c r="D23" s="4">
        <f t="shared" si="0"/>
        <v>1</v>
      </c>
      <c r="E23" s="14">
        <v>44218</v>
      </c>
      <c r="F23" s="4">
        <f t="shared" si="6"/>
        <v>22</v>
      </c>
      <c r="G23">
        <v>191</v>
      </c>
      <c r="H23">
        <v>184</v>
      </c>
      <c r="I23" s="13">
        <f t="shared" si="7"/>
        <v>0.96</v>
      </c>
      <c r="J23">
        <f t="shared" si="1"/>
        <v>7</v>
      </c>
      <c r="K23" s="2">
        <v>1.1574074074074075E-4</v>
      </c>
      <c r="L23" s="11">
        <f t="shared" si="2"/>
        <v>30.666666666666664</v>
      </c>
      <c r="M23" s="3">
        <f t="shared" si="8"/>
        <v>0.16666666666666666</v>
      </c>
      <c r="N23" s="4">
        <f t="shared" si="9"/>
        <v>10</v>
      </c>
      <c r="O23" s="2">
        <v>1.4930555555555556E-3</v>
      </c>
      <c r="P23" s="9">
        <f t="shared" si="3"/>
        <v>395.59999999999997</v>
      </c>
      <c r="Q23" s="3">
        <f t="shared" si="10"/>
        <v>2.15</v>
      </c>
      <c r="R23" s="4">
        <f t="shared" si="11"/>
        <v>129</v>
      </c>
      <c r="S23" s="3">
        <f t="shared" si="12"/>
        <v>157</v>
      </c>
      <c r="T23" s="1">
        <v>0.85640000000000005</v>
      </c>
      <c r="U23" s="6">
        <f t="shared" si="4"/>
        <v>157.57760000000002</v>
      </c>
    </row>
    <row r="24" spans="1:21" x14ac:dyDescent="0.35">
      <c r="A24">
        <v>23</v>
      </c>
      <c r="B24" s="5">
        <v>44219</v>
      </c>
      <c r="C24" s="4">
        <f t="shared" si="5"/>
        <v>2021</v>
      </c>
      <c r="D24" s="4">
        <f t="shared" si="0"/>
        <v>1</v>
      </c>
      <c r="E24" s="14">
        <v>44219</v>
      </c>
      <c r="F24" s="4">
        <f t="shared" si="6"/>
        <v>23</v>
      </c>
      <c r="G24">
        <v>188</v>
      </c>
      <c r="H24">
        <v>174</v>
      </c>
      <c r="I24" s="13">
        <f t="shared" si="7"/>
        <v>0.92</v>
      </c>
      <c r="J24">
        <f t="shared" si="1"/>
        <v>14</v>
      </c>
      <c r="K24" s="2">
        <v>1.7361111111111112E-4</v>
      </c>
      <c r="L24" s="11">
        <f t="shared" si="2"/>
        <v>43.5</v>
      </c>
      <c r="M24" s="3">
        <f t="shared" si="8"/>
        <v>0.25</v>
      </c>
      <c r="N24" s="4">
        <f t="shared" si="9"/>
        <v>15</v>
      </c>
      <c r="O24" s="2">
        <v>1.6782407407407408E-3</v>
      </c>
      <c r="P24" s="9">
        <f t="shared" si="3"/>
        <v>420.5</v>
      </c>
      <c r="Q24" s="3">
        <f t="shared" si="10"/>
        <v>2.4166666666666665</v>
      </c>
      <c r="R24" s="4">
        <f t="shared" si="11"/>
        <v>145</v>
      </c>
      <c r="S24" s="3">
        <f t="shared" si="12"/>
        <v>133</v>
      </c>
      <c r="T24" s="1">
        <v>0.76880000000000004</v>
      </c>
      <c r="U24" s="6">
        <f t="shared" si="4"/>
        <v>133.77119999999999</v>
      </c>
    </row>
    <row r="25" spans="1:21" x14ac:dyDescent="0.35">
      <c r="A25">
        <v>24</v>
      </c>
      <c r="B25" s="5">
        <v>44220</v>
      </c>
      <c r="C25" s="4">
        <f t="shared" si="5"/>
        <v>2021</v>
      </c>
      <c r="D25" s="4">
        <f t="shared" si="0"/>
        <v>1</v>
      </c>
      <c r="E25" s="14">
        <v>44220</v>
      </c>
      <c r="F25" s="4">
        <f t="shared" si="6"/>
        <v>24</v>
      </c>
      <c r="G25">
        <v>154</v>
      </c>
      <c r="H25">
        <v>148</v>
      </c>
      <c r="I25" s="13">
        <f t="shared" si="7"/>
        <v>0.96</v>
      </c>
      <c r="J25">
        <f t="shared" si="1"/>
        <v>6</v>
      </c>
      <c r="K25" s="2">
        <v>1.1574074074074075E-4</v>
      </c>
      <c r="L25" s="11">
        <f t="shared" si="2"/>
        <v>24.666666666666664</v>
      </c>
      <c r="M25" s="3">
        <f t="shared" si="8"/>
        <v>0.16666666666666666</v>
      </c>
      <c r="N25" s="4">
        <f t="shared" si="9"/>
        <v>10</v>
      </c>
      <c r="O25" s="2">
        <v>1.7013888888888888E-3</v>
      </c>
      <c r="P25" s="9">
        <f t="shared" si="3"/>
        <v>362.6</v>
      </c>
      <c r="Q25" s="3">
        <f t="shared" si="10"/>
        <v>2.4500000000000002</v>
      </c>
      <c r="R25" s="4">
        <f t="shared" si="11"/>
        <v>147</v>
      </c>
      <c r="S25" s="3">
        <f t="shared" si="12"/>
        <v>125</v>
      </c>
      <c r="T25" s="1">
        <v>0.85060000000000002</v>
      </c>
      <c r="U25" s="6">
        <f t="shared" si="4"/>
        <v>125.8888</v>
      </c>
    </row>
    <row r="26" spans="1:21" x14ac:dyDescent="0.35">
      <c r="A26">
        <v>25</v>
      </c>
      <c r="B26" s="5">
        <v>44221</v>
      </c>
      <c r="C26" s="4">
        <f t="shared" si="5"/>
        <v>2021</v>
      </c>
      <c r="D26" s="4">
        <f t="shared" si="0"/>
        <v>1</v>
      </c>
      <c r="E26" s="14">
        <v>44221</v>
      </c>
      <c r="F26" s="4">
        <f t="shared" si="6"/>
        <v>25</v>
      </c>
      <c r="G26">
        <v>166</v>
      </c>
      <c r="H26">
        <v>150</v>
      </c>
      <c r="I26" s="13">
        <f t="shared" si="7"/>
        <v>0.9</v>
      </c>
      <c r="J26">
        <f t="shared" si="1"/>
        <v>16</v>
      </c>
      <c r="K26" s="2">
        <v>2.0833333333333335E-4</v>
      </c>
      <c r="L26" s="11">
        <f t="shared" si="2"/>
        <v>45</v>
      </c>
      <c r="M26" s="3">
        <f t="shared" si="8"/>
        <v>0.3</v>
      </c>
      <c r="N26" s="4">
        <f t="shared" si="9"/>
        <v>18</v>
      </c>
      <c r="O26" s="2">
        <v>1.6898148148148148E-3</v>
      </c>
      <c r="P26" s="9">
        <f t="shared" si="3"/>
        <v>365.00000000000006</v>
      </c>
      <c r="Q26" s="3">
        <f t="shared" si="10"/>
        <v>2.4333333333333336</v>
      </c>
      <c r="R26" s="4">
        <f t="shared" si="11"/>
        <v>146</v>
      </c>
      <c r="S26" s="3">
        <f t="shared" si="12"/>
        <v>115</v>
      </c>
      <c r="T26" s="1">
        <v>0.76829999999999998</v>
      </c>
      <c r="U26" s="6">
        <f t="shared" si="4"/>
        <v>115.245</v>
      </c>
    </row>
    <row r="27" spans="1:21" x14ac:dyDescent="0.35">
      <c r="A27">
        <v>26</v>
      </c>
      <c r="B27" s="5">
        <v>44222</v>
      </c>
      <c r="C27" s="4">
        <f t="shared" si="5"/>
        <v>2021</v>
      </c>
      <c r="D27" s="4">
        <f t="shared" si="0"/>
        <v>1</v>
      </c>
      <c r="E27" s="14">
        <v>44222</v>
      </c>
      <c r="F27" s="4">
        <f t="shared" si="6"/>
        <v>26</v>
      </c>
      <c r="G27">
        <v>58</v>
      </c>
      <c r="H27">
        <v>57</v>
      </c>
      <c r="I27" s="13">
        <f t="shared" si="7"/>
        <v>0.98</v>
      </c>
      <c r="J27">
        <f t="shared" si="1"/>
        <v>1</v>
      </c>
      <c r="K27" s="2">
        <v>4.6296296296296294E-5</v>
      </c>
      <c r="L27" s="11">
        <f t="shared" si="2"/>
        <v>3.8</v>
      </c>
      <c r="M27" s="3">
        <f t="shared" si="8"/>
        <v>6.6666666666666666E-2</v>
      </c>
      <c r="N27" s="4">
        <f t="shared" si="9"/>
        <v>4</v>
      </c>
      <c r="O27" s="2">
        <v>1.6898148148148148E-3</v>
      </c>
      <c r="P27" s="9">
        <f t="shared" si="3"/>
        <v>138.70000000000002</v>
      </c>
      <c r="Q27" s="3">
        <f t="shared" si="10"/>
        <v>2.4333333333333336</v>
      </c>
      <c r="R27" s="4">
        <f t="shared" si="11"/>
        <v>146</v>
      </c>
      <c r="S27" s="3">
        <f t="shared" si="12"/>
        <v>54</v>
      </c>
      <c r="T27" s="1">
        <v>0.94830000000000003</v>
      </c>
      <c r="U27" s="6">
        <f t="shared" si="4"/>
        <v>54.053100000000001</v>
      </c>
    </row>
    <row r="28" spans="1:21" x14ac:dyDescent="0.35">
      <c r="A28">
        <v>27</v>
      </c>
      <c r="B28" s="5">
        <v>44223</v>
      </c>
      <c r="C28" s="4">
        <f t="shared" si="5"/>
        <v>2021</v>
      </c>
      <c r="D28" s="4">
        <f t="shared" si="0"/>
        <v>1</v>
      </c>
      <c r="E28" s="14">
        <v>44223</v>
      </c>
      <c r="F28" s="4">
        <f t="shared" si="6"/>
        <v>27</v>
      </c>
      <c r="G28">
        <v>160</v>
      </c>
      <c r="H28">
        <v>153</v>
      </c>
      <c r="I28" s="13">
        <f t="shared" si="7"/>
        <v>0.95</v>
      </c>
      <c r="J28">
        <f t="shared" si="1"/>
        <v>7</v>
      </c>
      <c r="K28" s="2">
        <v>1.1574074074074075E-4</v>
      </c>
      <c r="L28" s="11">
        <f t="shared" si="2"/>
        <v>25.5</v>
      </c>
      <c r="M28" s="3">
        <f t="shared" si="8"/>
        <v>0.16666666666666666</v>
      </c>
      <c r="N28" s="4">
        <f t="shared" si="9"/>
        <v>10</v>
      </c>
      <c r="O28" s="2">
        <v>1.6550925925925926E-3</v>
      </c>
      <c r="P28" s="9">
        <f t="shared" si="3"/>
        <v>364.65</v>
      </c>
      <c r="Q28" s="3">
        <f t="shared" si="10"/>
        <v>2.3833333333333333</v>
      </c>
      <c r="R28" s="4">
        <f t="shared" si="11"/>
        <v>143</v>
      </c>
      <c r="S28" s="3">
        <f t="shared" si="12"/>
        <v>129</v>
      </c>
      <c r="T28" s="1">
        <v>0.84909999999999997</v>
      </c>
      <c r="U28" s="6">
        <f t="shared" si="4"/>
        <v>129.91229999999999</v>
      </c>
    </row>
    <row r="29" spans="1:21" x14ac:dyDescent="0.35">
      <c r="A29">
        <v>28</v>
      </c>
      <c r="B29" s="5">
        <v>44224</v>
      </c>
      <c r="C29" s="4">
        <f t="shared" si="5"/>
        <v>2021</v>
      </c>
      <c r="D29" s="4">
        <f t="shared" si="0"/>
        <v>1</v>
      </c>
      <c r="E29" s="14">
        <v>44224</v>
      </c>
      <c r="F29" s="4">
        <f t="shared" si="6"/>
        <v>28</v>
      </c>
      <c r="G29">
        <v>86</v>
      </c>
      <c r="H29">
        <v>79</v>
      </c>
      <c r="I29" s="13">
        <f t="shared" si="7"/>
        <v>0.91</v>
      </c>
      <c r="J29">
        <f t="shared" si="1"/>
        <v>7</v>
      </c>
      <c r="K29" s="2">
        <v>3.7037037037037035E-4</v>
      </c>
      <c r="L29" s="11">
        <f t="shared" si="2"/>
        <v>42.133333333333333</v>
      </c>
      <c r="M29" s="3">
        <f t="shared" si="8"/>
        <v>0.53333333333333333</v>
      </c>
      <c r="N29" s="4">
        <f t="shared" si="9"/>
        <v>32</v>
      </c>
      <c r="O29" s="2">
        <v>1.8865740740740742E-3</v>
      </c>
      <c r="P29" s="9">
        <f t="shared" si="3"/>
        <v>214.61666666666667</v>
      </c>
      <c r="Q29" s="3">
        <f t="shared" si="10"/>
        <v>2.7166666666666668</v>
      </c>
      <c r="R29" s="4">
        <f t="shared" si="11"/>
        <v>163</v>
      </c>
      <c r="S29" s="3">
        <f t="shared" si="12"/>
        <v>48</v>
      </c>
      <c r="T29" s="1">
        <v>0.61629999999999996</v>
      </c>
      <c r="U29" s="6">
        <f t="shared" si="4"/>
        <v>48.6877</v>
      </c>
    </row>
    <row r="30" spans="1:21" x14ac:dyDescent="0.35">
      <c r="A30">
        <v>29</v>
      </c>
      <c r="B30" s="5">
        <v>44225</v>
      </c>
      <c r="C30" s="4">
        <f t="shared" si="5"/>
        <v>2021</v>
      </c>
      <c r="D30" s="4">
        <f t="shared" si="0"/>
        <v>1</v>
      </c>
      <c r="E30" s="14">
        <v>44225</v>
      </c>
      <c r="F30" s="4">
        <f t="shared" si="6"/>
        <v>29</v>
      </c>
      <c r="G30">
        <v>180</v>
      </c>
      <c r="H30">
        <v>170</v>
      </c>
      <c r="I30" s="13">
        <f t="shared" si="7"/>
        <v>0.94</v>
      </c>
      <c r="J30">
        <f t="shared" si="1"/>
        <v>10</v>
      </c>
      <c r="K30" s="2">
        <v>2.6620370370370372E-4</v>
      </c>
      <c r="L30" s="11">
        <f t="shared" si="2"/>
        <v>65.166666666666671</v>
      </c>
      <c r="M30" s="3">
        <f t="shared" si="8"/>
        <v>0.38333333333333336</v>
      </c>
      <c r="N30" s="4">
        <f t="shared" si="9"/>
        <v>23</v>
      </c>
      <c r="O30" s="2">
        <v>1.7476851851851852E-3</v>
      </c>
      <c r="P30" s="9">
        <f t="shared" si="3"/>
        <v>427.83333333333331</v>
      </c>
      <c r="Q30" s="3">
        <f t="shared" si="10"/>
        <v>2.5166666666666666</v>
      </c>
      <c r="R30" s="4">
        <f t="shared" si="11"/>
        <v>151</v>
      </c>
      <c r="S30" s="3">
        <f t="shared" si="12"/>
        <v>131</v>
      </c>
      <c r="T30" s="1">
        <v>0.77529999999999999</v>
      </c>
      <c r="U30" s="6">
        <f t="shared" si="4"/>
        <v>131.80099999999999</v>
      </c>
    </row>
    <row r="31" spans="1:21" x14ac:dyDescent="0.35">
      <c r="A31">
        <v>30</v>
      </c>
      <c r="B31" s="5">
        <v>44226</v>
      </c>
      <c r="C31" s="4">
        <f t="shared" si="5"/>
        <v>2021</v>
      </c>
      <c r="D31" s="4">
        <f t="shared" si="0"/>
        <v>1</v>
      </c>
      <c r="E31" s="14">
        <v>44226</v>
      </c>
      <c r="F31" s="4">
        <f t="shared" si="6"/>
        <v>30</v>
      </c>
      <c r="G31">
        <v>210</v>
      </c>
      <c r="H31">
        <v>192</v>
      </c>
      <c r="I31" s="13">
        <f t="shared" si="7"/>
        <v>0.91</v>
      </c>
      <c r="J31">
        <f t="shared" si="1"/>
        <v>18</v>
      </c>
      <c r="K31" s="2">
        <v>3.0092592592592595E-4</v>
      </c>
      <c r="L31" s="11">
        <f t="shared" si="2"/>
        <v>83.2</v>
      </c>
      <c r="M31" s="3">
        <f t="shared" si="8"/>
        <v>0.43333333333333335</v>
      </c>
      <c r="N31" s="4">
        <f t="shared" si="9"/>
        <v>26</v>
      </c>
      <c r="O31" s="2">
        <v>1.5740740740740741E-3</v>
      </c>
      <c r="P31" s="9">
        <f t="shared" si="3"/>
        <v>435.2</v>
      </c>
      <c r="Q31" s="3">
        <f t="shared" si="10"/>
        <v>2.2666666666666666</v>
      </c>
      <c r="R31" s="4">
        <f t="shared" si="11"/>
        <v>136</v>
      </c>
      <c r="S31" s="3">
        <f t="shared" si="12"/>
        <v>129</v>
      </c>
      <c r="T31" s="1">
        <v>0.67459999999999998</v>
      </c>
      <c r="U31" s="6">
        <f t="shared" si="4"/>
        <v>129.5232</v>
      </c>
    </row>
    <row r="32" spans="1:21" x14ac:dyDescent="0.35">
      <c r="A32">
        <v>31</v>
      </c>
      <c r="B32" s="5">
        <v>44227</v>
      </c>
      <c r="C32" s="4">
        <f t="shared" si="5"/>
        <v>2021</v>
      </c>
      <c r="D32" s="4">
        <f t="shared" si="0"/>
        <v>1</v>
      </c>
      <c r="E32" s="14">
        <v>44227</v>
      </c>
      <c r="F32" s="4">
        <f t="shared" si="6"/>
        <v>31</v>
      </c>
      <c r="G32">
        <v>163</v>
      </c>
      <c r="H32">
        <v>157</v>
      </c>
      <c r="I32" s="13">
        <f t="shared" si="7"/>
        <v>0.96</v>
      </c>
      <c r="J32">
        <f t="shared" si="1"/>
        <v>6</v>
      </c>
      <c r="K32" s="2">
        <v>1.6203703703703703E-4</v>
      </c>
      <c r="L32" s="11">
        <f t="shared" si="2"/>
        <v>36.633333333333333</v>
      </c>
      <c r="M32" s="3">
        <f t="shared" si="8"/>
        <v>0.23333333333333334</v>
      </c>
      <c r="N32" s="4">
        <f t="shared" si="9"/>
        <v>14</v>
      </c>
      <c r="O32" s="2">
        <v>1.6087962962962963E-3</v>
      </c>
      <c r="P32" s="9">
        <f t="shared" si="3"/>
        <v>363.71666666666664</v>
      </c>
      <c r="Q32" s="3">
        <f t="shared" si="10"/>
        <v>2.3166666666666664</v>
      </c>
      <c r="R32" s="4">
        <f t="shared" si="11"/>
        <v>139</v>
      </c>
      <c r="S32" s="3">
        <f t="shared" si="12"/>
        <v>127</v>
      </c>
      <c r="T32" s="1">
        <v>0.81369999999999998</v>
      </c>
      <c r="U32" s="6">
        <f t="shared" si="4"/>
        <v>127.7509</v>
      </c>
    </row>
    <row r="33" spans="1:21" x14ac:dyDescent="0.35">
      <c r="A33">
        <v>32</v>
      </c>
      <c r="B33" s="5">
        <v>44228</v>
      </c>
      <c r="C33" s="4">
        <f t="shared" si="5"/>
        <v>2021</v>
      </c>
      <c r="D33" s="4">
        <f t="shared" si="0"/>
        <v>2</v>
      </c>
      <c r="E33" s="14">
        <v>44228</v>
      </c>
      <c r="F33" s="4">
        <f t="shared" si="6"/>
        <v>1</v>
      </c>
      <c r="G33">
        <v>143</v>
      </c>
      <c r="H33">
        <v>140</v>
      </c>
      <c r="I33" s="13">
        <f t="shared" si="7"/>
        <v>0.97</v>
      </c>
      <c r="J33">
        <f t="shared" si="1"/>
        <v>3</v>
      </c>
      <c r="K33" s="2">
        <v>1.7361111111111112E-4</v>
      </c>
      <c r="L33" s="11">
        <f t="shared" si="2"/>
        <v>35</v>
      </c>
      <c r="M33" s="3">
        <f t="shared" si="8"/>
        <v>0.25</v>
      </c>
      <c r="N33" s="4">
        <f t="shared" si="9"/>
        <v>15</v>
      </c>
      <c r="O33" s="2">
        <v>1.6203703703703703E-3</v>
      </c>
      <c r="P33" s="9">
        <f t="shared" si="3"/>
        <v>326.66666666666669</v>
      </c>
      <c r="Q33" s="3">
        <f t="shared" si="10"/>
        <v>2.3333333333333335</v>
      </c>
      <c r="R33" s="4">
        <f t="shared" si="11"/>
        <v>140</v>
      </c>
      <c r="S33" s="3">
        <f t="shared" si="12"/>
        <v>115</v>
      </c>
      <c r="T33" s="1">
        <v>0.82520000000000004</v>
      </c>
      <c r="U33" s="6">
        <f t="shared" si="4"/>
        <v>115.52800000000001</v>
      </c>
    </row>
    <row r="34" spans="1:21" x14ac:dyDescent="0.35">
      <c r="A34">
        <v>33</v>
      </c>
      <c r="B34" s="5">
        <v>44229</v>
      </c>
      <c r="C34" s="4">
        <f t="shared" si="5"/>
        <v>2021</v>
      </c>
      <c r="D34" s="4">
        <f t="shared" si="0"/>
        <v>2</v>
      </c>
      <c r="E34" s="14">
        <v>44229</v>
      </c>
      <c r="F34" s="4">
        <f t="shared" si="6"/>
        <v>2</v>
      </c>
      <c r="G34">
        <v>57</v>
      </c>
      <c r="H34">
        <v>55</v>
      </c>
      <c r="I34" s="13">
        <f t="shared" si="7"/>
        <v>0.96</v>
      </c>
      <c r="J34">
        <f t="shared" si="1"/>
        <v>2</v>
      </c>
      <c r="K34" s="2">
        <v>6.9444444444444444E-5</v>
      </c>
      <c r="L34" s="11">
        <f t="shared" si="2"/>
        <v>5.5</v>
      </c>
      <c r="M34" s="3">
        <f t="shared" si="8"/>
        <v>0.1</v>
      </c>
      <c r="N34" s="4">
        <f t="shared" si="9"/>
        <v>6</v>
      </c>
      <c r="O34" s="2">
        <v>1.4236111111111112E-3</v>
      </c>
      <c r="P34" s="9">
        <f t="shared" si="3"/>
        <v>112.74999999999999</v>
      </c>
      <c r="Q34" s="3">
        <f t="shared" si="10"/>
        <v>2.0499999999999998</v>
      </c>
      <c r="R34" s="4">
        <f t="shared" si="11"/>
        <v>122.99999999999999</v>
      </c>
      <c r="S34" s="3">
        <f t="shared" si="12"/>
        <v>50</v>
      </c>
      <c r="T34" s="1">
        <v>0.9123</v>
      </c>
      <c r="U34" s="6">
        <f t="shared" si="4"/>
        <v>50.176499999999997</v>
      </c>
    </row>
    <row r="35" spans="1:21" x14ac:dyDescent="0.35">
      <c r="A35">
        <v>34</v>
      </c>
      <c r="B35" s="5">
        <v>44230</v>
      </c>
      <c r="C35" s="4">
        <f t="shared" si="5"/>
        <v>2021</v>
      </c>
      <c r="D35" s="4">
        <f t="shared" si="0"/>
        <v>2</v>
      </c>
      <c r="E35" s="14">
        <v>44230</v>
      </c>
      <c r="F35" s="4">
        <f t="shared" si="6"/>
        <v>3</v>
      </c>
      <c r="G35">
        <v>179</v>
      </c>
      <c r="H35">
        <v>172</v>
      </c>
      <c r="I35" s="13">
        <f t="shared" si="7"/>
        <v>0.96</v>
      </c>
      <c r="J35">
        <f t="shared" si="1"/>
        <v>7</v>
      </c>
      <c r="K35" s="2">
        <v>1.5046296296296297E-4</v>
      </c>
      <c r="L35" s="11">
        <f t="shared" si="2"/>
        <v>37.266666666666666</v>
      </c>
      <c r="M35" s="3">
        <f t="shared" si="8"/>
        <v>0.21666666666666667</v>
      </c>
      <c r="N35" s="4">
        <f t="shared" si="9"/>
        <v>13</v>
      </c>
      <c r="O35" s="2">
        <v>1.5856481481481481E-3</v>
      </c>
      <c r="P35" s="9">
        <f t="shared" si="3"/>
        <v>392.73333333333329</v>
      </c>
      <c r="Q35" s="3">
        <f t="shared" si="10"/>
        <v>2.2833333333333332</v>
      </c>
      <c r="R35" s="4">
        <f t="shared" si="11"/>
        <v>137</v>
      </c>
      <c r="S35" s="3">
        <f t="shared" si="12"/>
        <v>141</v>
      </c>
      <c r="T35" s="1">
        <v>0.82489999999999997</v>
      </c>
      <c r="U35" s="6">
        <f t="shared" si="4"/>
        <v>141.8828</v>
      </c>
    </row>
    <row r="36" spans="1:21" x14ac:dyDescent="0.35">
      <c r="A36">
        <v>35</v>
      </c>
      <c r="B36" s="5">
        <v>44231</v>
      </c>
      <c r="C36" s="4">
        <f t="shared" si="5"/>
        <v>2021</v>
      </c>
      <c r="D36" s="4">
        <f t="shared" si="0"/>
        <v>2</v>
      </c>
      <c r="E36" s="14">
        <v>44231</v>
      </c>
      <c r="F36" s="4">
        <f t="shared" si="6"/>
        <v>4</v>
      </c>
      <c r="G36">
        <v>194</v>
      </c>
      <c r="H36">
        <v>184</v>
      </c>
      <c r="I36" s="13">
        <f t="shared" si="7"/>
        <v>0.94</v>
      </c>
      <c r="J36">
        <f t="shared" si="1"/>
        <v>10</v>
      </c>
      <c r="K36" s="2">
        <v>2.7777777777777778E-4</v>
      </c>
      <c r="L36" s="11">
        <f t="shared" si="2"/>
        <v>73.600000000000009</v>
      </c>
      <c r="M36" s="3">
        <f t="shared" si="8"/>
        <v>0.4</v>
      </c>
      <c r="N36" s="4">
        <f t="shared" si="9"/>
        <v>24</v>
      </c>
      <c r="O36" s="2">
        <v>1.6666666666666668E-3</v>
      </c>
      <c r="P36" s="9">
        <f t="shared" si="3"/>
        <v>441.59999999999997</v>
      </c>
      <c r="Q36" s="3">
        <f t="shared" si="10"/>
        <v>2.4</v>
      </c>
      <c r="R36" s="4">
        <f t="shared" si="11"/>
        <v>144</v>
      </c>
      <c r="S36" s="3">
        <f t="shared" si="12"/>
        <v>128</v>
      </c>
      <c r="T36" s="1">
        <v>0.70099999999999996</v>
      </c>
      <c r="U36" s="6">
        <f t="shared" si="4"/>
        <v>128.98399999999998</v>
      </c>
    </row>
    <row r="37" spans="1:21" x14ac:dyDescent="0.35">
      <c r="A37">
        <v>36</v>
      </c>
      <c r="B37" s="5">
        <v>44232</v>
      </c>
      <c r="C37" s="4">
        <f t="shared" si="5"/>
        <v>2021</v>
      </c>
      <c r="D37" s="4">
        <f t="shared" si="0"/>
        <v>2</v>
      </c>
      <c r="E37" s="14">
        <v>44232</v>
      </c>
      <c r="F37" s="4">
        <f t="shared" si="6"/>
        <v>5</v>
      </c>
      <c r="G37">
        <v>201</v>
      </c>
      <c r="H37">
        <v>196</v>
      </c>
      <c r="I37" s="13">
        <f t="shared" si="7"/>
        <v>0.97</v>
      </c>
      <c r="J37">
        <f t="shared" si="1"/>
        <v>5</v>
      </c>
      <c r="K37" s="2">
        <v>1.7361111111111112E-4</v>
      </c>
      <c r="L37" s="11">
        <f t="shared" si="2"/>
        <v>49</v>
      </c>
      <c r="M37" s="3">
        <f t="shared" si="8"/>
        <v>0.25</v>
      </c>
      <c r="N37" s="4">
        <f t="shared" si="9"/>
        <v>15</v>
      </c>
      <c r="O37" s="2">
        <v>1.5740740740740741E-3</v>
      </c>
      <c r="P37" s="9">
        <f t="shared" si="3"/>
        <v>444.26666666666665</v>
      </c>
      <c r="Q37" s="3">
        <f t="shared" si="10"/>
        <v>2.2666666666666666</v>
      </c>
      <c r="R37" s="4">
        <f t="shared" si="11"/>
        <v>136</v>
      </c>
      <c r="S37" s="3">
        <f t="shared" si="12"/>
        <v>159</v>
      </c>
      <c r="T37" s="1">
        <v>0.81589999999999996</v>
      </c>
      <c r="U37" s="6">
        <f t="shared" si="4"/>
        <v>159.91639999999998</v>
      </c>
    </row>
    <row r="38" spans="1:21" x14ac:dyDescent="0.35">
      <c r="A38">
        <v>37</v>
      </c>
      <c r="B38" s="5">
        <v>44233</v>
      </c>
      <c r="C38" s="4">
        <f t="shared" si="5"/>
        <v>2021</v>
      </c>
      <c r="D38" s="4">
        <f t="shared" si="0"/>
        <v>2</v>
      </c>
      <c r="E38" s="14">
        <v>44233</v>
      </c>
      <c r="F38" s="4">
        <f t="shared" si="6"/>
        <v>6</v>
      </c>
      <c r="G38">
        <v>218</v>
      </c>
      <c r="H38">
        <v>189</v>
      </c>
      <c r="I38" s="13">
        <f t="shared" si="7"/>
        <v>0.86</v>
      </c>
      <c r="J38">
        <f t="shared" si="1"/>
        <v>29</v>
      </c>
      <c r="K38" s="2">
        <v>3.7037037037037035E-4</v>
      </c>
      <c r="L38" s="11">
        <f t="shared" si="2"/>
        <v>100.8</v>
      </c>
      <c r="M38" s="3">
        <f t="shared" si="8"/>
        <v>0.53333333333333333</v>
      </c>
      <c r="N38" s="4">
        <f t="shared" si="9"/>
        <v>32</v>
      </c>
      <c r="O38" s="2">
        <v>1.8171296296296297E-3</v>
      </c>
      <c r="P38" s="9">
        <f t="shared" si="3"/>
        <v>494.55</v>
      </c>
      <c r="Q38" s="3">
        <f t="shared" si="10"/>
        <v>2.6166666666666667</v>
      </c>
      <c r="R38" s="4">
        <f t="shared" si="11"/>
        <v>157</v>
      </c>
      <c r="S38" s="3">
        <f t="shared" si="12"/>
        <v>108</v>
      </c>
      <c r="T38" s="1">
        <v>0.57410000000000005</v>
      </c>
      <c r="U38" s="6">
        <f t="shared" si="4"/>
        <v>108.50490000000001</v>
      </c>
    </row>
    <row r="39" spans="1:21" x14ac:dyDescent="0.35">
      <c r="A39">
        <v>38</v>
      </c>
      <c r="B39" s="5">
        <v>44234</v>
      </c>
      <c r="C39" s="4">
        <f t="shared" si="5"/>
        <v>2021</v>
      </c>
      <c r="D39" s="4">
        <f t="shared" si="0"/>
        <v>2</v>
      </c>
      <c r="E39" s="14">
        <v>44234</v>
      </c>
      <c r="F39" s="4">
        <f t="shared" si="6"/>
        <v>7</v>
      </c>
      <c r="G39">
        <v>194</v>
      </c>
      <c r="H39">
        <v>190</v>
      </c>
      <c r="I39" s="13">
        <f t="shared" si="7"/>
        <v>0.97</v>
      </c>
      <c r="J39">
        <f t="shared" si="1"/>
        <v>4</v>
      </c>
      <c r="K39" s="2">
        <v>1.8518518518518518E-4</v>
      </c>
      <c r="L39" s="11">
        <f t="shared" si="2"/>
        <v>50.666666666666664</v>
      </c>
      <c r="M39" s="3">
        <f t="shared" si="8"/>
        <v>0.26666666666666666</v>
      </c>
      <c r="N39" s="4">
        <f t="shared" si="9"/>
        <v>16</v>
      </c>
      <c r="O39" s="2">
        <v>1.6435185185185185E-3</v>
      </c>
      <c r="P39" s="9">
        <f t="shared" si="3"/>
        <v>449.66666666666669</v>
      </c>
      <c r="Q39" s="3">
        <f t="shared" si="10"/>
        <v>2.3666666666666667</v>
      </c>
      <c r="R39" s="4">
        <f t="shared" si="11"/>
        <v>142</v>
      </c>
      <c r="S39" s="3">
        <f t="shared" si="12"/>
        <v>155</v>
      </c>
      <c r="T39" s="1">
        <v>0.81769999999999998</v>
      </c>
      <c r="U39" s="6">
        <f t="shared" si="4"/>
        <v>155.363</v>
      </c>
    </row>
    <row r="40" spans="1:21" x14ac:dyDescent="0.35">
      <c r="A40">
        <v>39</v>
      </c>
      <c r="B40" s="5">
        <v>44235</v>
      </c>
      <c r="C40" s="4">
        <f t="shared" si="5"/>
        <v>2021</v>
      </c>
      <c r="D40" s="4">
        <f t="shared" si="0"/>
        <v>2</v>
      </c>
      <c r="E40" s="14">
        <v>44235</v>
      </c>
      <c r="F40" s="4">
        <f t="shared" si="6"/>
        <v>8</v>
      </c>
      <c r="G40">
        <v>227</v>
      </c>
      <c r="H40">
        <v>219</v>
      </c>
      <c r="I40" s="13">
        <f t="shared" si="7"/>
        <v>0.96</v>
      </c>
      <c r="J40">
        <f t="shared" si="1"/>
        <v>8</v>
      </c>
      <c r="K40" s="2">
        <v>1.7361111111111112E-4</v>
      </c>
      <c r="L40" s="11">
        <f t="shared" si="2"/>
        <v>54.75</v>
      </c>
      <c r="M40" s="3">
        <f t="shared" si="8"/>
        <v>0.25</v>
      </c>
      <c r="N40" s="4">
        <f t="shared" si="9"/>
        <v>15</v>
      </c>
      <c r="O40" s="2">
        <v>1.8981481481481482E-3</v>
      </c>
      <c r="P40" s="9">
        <f t="shared" si="3"/>
        <v>598.6</v>
      </c>
      <c r="Q40" s="3">
        <f t="shared" si="10"/>
        <v>2.7333333333333334</v>
      </c>
      <c r="R40" s="4">
        <f t="shared" si="11"/>
        <v>164</v>
      </c>
      <c r="S40" s="3">
        <f t="shared" si="12"/>
        <v>183</v>
      </c>
      <c r="T40" s="1">
        <v>0.83630000000000004</v>
      </c>
      <c r="U40" s="6">
        <f t="shared" si="4"/>
        <v>183.1497</v>
      </c>
    </row>
    <row r="41" spans="1:21" x14ac:dyDescent="0.35">
      <c r="A41">
        <v>40</v>
      </c>
      <c r="B41" s="5">
        <v>44236</v>
      </c>
      <c r="C41" s="4">
        <f t="shared" si="5"/>
        <v>2021</v>
      </c>
      <c r="D41" s="4">
        <f t="shared" si="0"/>
        <v>2</v>
      </c>
      <c r="E41" s="14">
        <v>44236</v>
      </c>
      <c r="F41" s="4">
        <f t="shared" si="6"/>
        <v>9</v>
      </c>
      <c r="G41">
        <v>52</v>
      </c>
      <c r="H41">
        <v>52</v>
      </c>
      <c r="I41" s="13">
        <f t="shared" si="7"/>
        <v>1</v>
      </c>
      <c r="J41">
        <f t="shared" si="1"/>
        <v>0</v>
      </c>
      <c r="K41" s="2">
        <v>1.0416666666666667E-4</v>
      </c>
      <c r="L41" s="11">
        <f t="shared" si="2"/>
        <v>7.8</v>
      </c>
      <c r="M41" s="3">
        <f t="shared" si="8"/>
        <v>0.15</v>
      </c>
      <c r="N41" s="4">
        <f t="shared" si="9"/>
        <v>9</v>
      </c>
      <c r="O41" s="2">
        <v>1.5740740740740741E-3</v>
      </c>
      <c r="P41" s="9">
        <f t="shared" si="3"/>
        <v>117.86666666666666</v>
      </c>
      <c r="Q41" s="3">
        <f t="shared" si="10"/>
        <v>2.2666666666666666</v>
      </c>
      <c r="R41" s="4">
        <f t="shared" si="11"/>
        <v>136</v>
      </c>
      <c r="S41" s="3">
        <f t="shared" si="12"/>
        <v>48</v>
      </c>
      <c r="T41" s="1">
        <v>0.94230000000000003</v>
      </c>
      <c r="U41" s="6">
        <f t="shared" si="4"/>
        <v>48.999600000000001</v>
      </c>
    </row>
    <row r="42" spans="1:21" x14ac:dyDescent="0.35">
      <c r="A42">
        <v>41</v>
      </c>
      <c r="B42" s="5">
        <v>44237</v>
      </c>
      <c r="C42" s="4">
        <f t="shared" si="5"/>
        <v>2021</v>
      </c>
      <c r="D42" s="4">
        <f t="shared" si="0"/>
        <v>2</v>
      </c>
      <c r="E42" s="14">
        <v>44237</v>
      </c>
      <c r="F42" s="4">
        <f t="shared" si="6"/>
        <v>10</v>
      </c>
      <c r="G42">
        <v>385</v>
      </c>
      <c r="H42">
        <v>370</v>
      </c>
      <c r="I42" s="13">
        <f t="shared" si="7"/>
        <v>0.96</v>
      </c>
      <c r="J42">
        <f t="shared" si="1"/>
        <v>15</v>
      </c>
      <c r="K42" s="2">
        <v>2.3148148148148149E-4</v>
      </c>
      <c r="L42" s="11">
        <f t="shared" si="2"/>
        <v>123.33333333333333</v>
      </c>
      <c r="M42" s="3">
        <f t="shared" si="8"/>
        <v>0.33333333333333331</v>
      </c>
      <c r="N42" s="4">
        <f t="shared" si="9"/>
        <v>20</v>
      </c>
      <c r="O42" s="2">
        <v>1.5162037037037036E-3</v>
      </c>
      <c r="P42" s="9">
        <f t="shared" si="3"/>
        <v>807.83333333333326</v>
      </c>
      <c r="Q42" s="3">
        <f t="shared" si="10"/>
        <v>2.1833333333333331</v>
      </c>
      <c r="R42" s="4">
        <f t="shared" si="11"/>
        <v>131</v>
      </c>
      <c r="S42" s="3">
        <f t="shared" si="12"/>
        <v>281</v>
      </c>
      <c r="T42" s="1">
        <v>0.76190000000000002</v>
      </c>
      <c r="U42" s="6">
        <f t="shared" si="4"/>
        <v>281.90300000000002</v>
      </c>
    </row>
    <row r="43" spans="1:21" x14ac:dyDescent="0.35">
      <c r="A43">
        <v>42</v>
      </c>
      <c r="B43" s="5">
        <v>44238</v>
      </c>
      <c r="C43" s="4">
        <f t="shared" si="5"/>
        <v>2021</v>
      </c>
      <c r="D43" s="4">
        <f t="shared" si="0"/>
        <v>2</v>
      </c>
      <c r="E43" s="14">
        <v>44238</v>
      </c>
      <c r="F43" s="4">
        <f t="shared" si="6"/>
        <v>11</v>
      </c>
      <c r="G43">
        <v>137</v>
      </c>
      <c r="H43">
        <v>130</v>
      </c>
      <c r="I43" s="13">
        <f t="shared" si="7"/>
        <v>0.94</v>
      </c>
      <c r="J43">
        <f t="shared" si="1"/>
        <v>7</v>
      </c>
      <c r="K43" s="2">
        <v>1.8518518518518518E-4</v>
      </c>
      <c r="L43" s="11">
        <f t="shared" si="2"/>
        <v>34.666666666666664</v>
      </c>
      <c r="M43" s="3">
        <f t="shared" si="8"/>
        <v>0.26666666666666666</v>
      </c>
      <c r="N43" s="4">
        <f t="shared" si="9"/>
        <v>16</v>
      </c>
      <c r="O43" s="2">
        <v>1.6898148148148148E-3</v>
      </c>
      <c r="P43" s="9">
        <f t="shared" si="3"/>
        <v>316.33333333333337</v>
      </c>
      <c r="Q43" s="3">
        <f t="shared" si="10"/>
        <v>2.4333333333333336</v>
      </c>
      <c r="R43" s="4">
        <f t="shared" si="11"/>
        <v>146</v>
      </c>
      <c r="S43" s="3">
        <f t="shared" si="12"/>
        <v>98</v>
      </c>
      <c r="T43" s="1">
        <v>0.7591</v>
      </c>
      <c r="U43" s="6">
        <f t="shared" si="4"/>
        <v>98.682999999999993</v>
      </c>
    </row>
    <row r="44" spans="1:21" x14ac:dyDescent="0.35">
      <c r="A44">
        <v>43</v>
      </c>
      <c r="B44" s="5">
        <v>44239</v>
      </c>
      <c r="C44" s="4">
        <f t="shared" si="5"/>
        <v>2021</v>
      </c>
      <c r="D44" s="4">
        <f t="shared" si="0"/>
        <v>2</v>
      </c>
      <c r="E44" s="14">
        <v>44239</v>
      </c>
      <c r="F44" s="4">
        <f t="shared" si="6"/>
        <v>12</v>
      </c>
      <c r="G44">
        <v>254</v>
      </c>
      <c r="H44">
        <v>252</v>
      </c>
      <c r="I44" s="13">
        <f t="shared" si="7"/>
        <v>0.99</v>
      </c>
      <c r="J44">
        <f t="shared" si="1"/>
        <v>2</v>
      </c>
      <c r="K44" s="2">
        <v>1.1574074074074075E-4</v>
      </c>
      <c r="L44" s="11">
        <f t="shared" si="2"/>
        <v>42</v>
      </c>
      <c r="M44" s="3">
        <f t="shared" si="8"/>
        <v>0.16666666666666666</v>
      </c>
      <c r="N44" s="4">
        <f t="shared" si="9"/>
        <v>10</v>
      </c>
      <c r="O44" s="2">
        <v>1.4814814814814814E-3</v>
      </c>
      <c r="P44" s="9">
        <f t="shared" si="3"/>
        <v>537.6</v>
      </c>
      <c r="Q44" s="3">
        <f t="shared" si="10"/>
        <v>2.1333333333333333</v>
      </c>
      <c r="R44" s="4">
        <f t="shared" si="11"/>
        <v>128</v>
      </c>
      <c r="S44" s="3">
        <f t="shared" si="12"/>
        <v>230</v>
      </c>
      <c r="T44" s="1">
        <v>0.91339999999999999</v>
      </c>
      <c r="U44" s="6">
        <f t="shared" si="4"/>
        <v>230.17679999999999</v>
      </c>
    </row>
    <row r="45" spans="1:21" x14ac:dyDescent="0.35">
      <c r="A45">
        <v>44</v>
      </c>
      <c r="B45" s="5">
        <v>44240</v>
      </c>
      <c r="C45" s="4">
        <f t="shared" si="5"/>
        <v>2021</v>
      </c>
      <c r="D45" s="4">
        <f t="shared" si="0"/>
        <v>2</v>
      </c>
      <c r="E45" s="14">
        <v>44240</v>
      </c>
      <c r="F45" s="4">
        <f t="shared" si="6"/>
        <v>13</v>
      </c>
      <c r="G45">
        <v>211</v>
      </c>
      <c r="H45">
        <v>206</v>
      </c>
      <c r="I45" s="13">
        <f t="shared" si="7"/>
        <v>0.97</v>
      </c>
      <c r="J45">
        <f t="shared" si="1"/>
        <v>5</v>
      </c>
      <c r="K45" s="2">
        <v>1.273148148148148E-4</v>
      </c>
      <c r="L45" s="11">
        <f t="shared" si="2"/>
        <v>37.766666666666666</v>
      </c>
      <c r="M45" s="3">
        <f t="shared" si="8"/>
        <v>0.18333333333333332</v>
      </c>
      <c r="N45" s="4">
        <f t="shared" si="9"/>
        <v>11</v>
      </c>
      <c r="O45" s="2">
        <v>1.6666666666666668E-3</v>
      </c>
      <c r="P45" s="9">
        <f t="shared" si="3"/>
        <v>494.4</v>
      </c>
      <c r="Q45" s="3">
        <f t="shared" si="10"/>
        <v>2.4</v>
      </c>
      <c r="R45" s="4">
        <f t="shared" si="11"/>
        <v>144</v>
      </c>
      <c r="S45" s="3">
        <f t="shared" si="12"/>
        <v>179</v>
      </c>
      <c r="T45" s="1">
        <v>0.87139999999999995</v>
      </c>
      <c r="U45" s="6">
        <f t="shared" si="4"/>
        <v>179.50839999999999</v>
      </c>
    </row>
    <row r="46" spans="1:21" x14ac:dyDescent="0.35">
      <c r="A46">
        <v>45</v>
      </c>
      <c r="B46" s="5">
        <v>44241</v>
      </c>
      <c r="C46" s="4">
        <f t="shared" si="5"/>
        <v>2021</v>
      </c>
      <c r="D46" s="4">
        <f t="shared" si="0"/>
        <v>2</v>
      </c>
      <c r="E46" s="14">
        <v>44241</v>
      </c>
      <c r="F46" s="4">
        <f t="shared" si="6"/>
        <v>14</v>
      </c>
      <c r="G46">
        <v>282</v>
      </c>
      <c r="H46">
        <v>279</v>
      </c>
      <c r="I46" s="13">
        <f t="shared" si="7"/>
        <v>0.98</v>
      </c>
      <c r="J46">
        <f t="shared" si="1"/>
        <v>3</v>
      </c>
      <c r="K46" s="2">
        <v>8.1018518518518516E-5</v>
      </c>
      <c r="L46" s="11">
        <f t="shared" si="2"/>
        <v>32.549999999999997</v>
      </c>
      <c r="M46" s="3">
        <f t="shared" si="8"/>
        <v>0.11666666666666667</v>
      </c>
      <c r="N46" s="4">
        <f t="shared" si="9"/>
        <v>7</v>
      </c>
      <c r="O46" s="2">
        <v>1.5972222222222223E-3</v>
      </c>
      <c r="P46" s="9">
        <f t="shared" si="3"/>
        <v>641.69999999999993</v>
      </c>
      <c r="Q46" s="3">
        <f t="shared" si="10"/>
        <v>2.2999999999999998</v>
      </c>
      <c r="R46" s="4">
        <f t="shared" si="11"/>
        <v>138</v>
      </c>
      <c r="S46" s="3">
        <f t="shared" si="12"/>
        <v>260</v>
      </c>
      <c r="T46" s="1">
        <v>0.93210000000000004</v>
      </c>
      <c r="U46" s="6">
        <f t="shared" si="4"/>
        <v>260.05590000000001</v>
      </c>
    </row>
    <row r="47" spans="1:21" x14ac:dyDescent="0.35">
      <c r="A47">
        <v>46</v>
      </c>
      <c r="B47" s="5">
        <v>44242</v>
      </c>
      <c r="C47" s="4">
        <f t="shared" si="5"/>
        <v>2021</v>
      </c>
      <c r="D47" s="4">
        <f t="shared" si="0"/>
        <v>2</v>
      </c>
      <c r="E47" s="14">
        <v>44242</v>
      </c>
      <c r="F47" s="4">
        <f t="shared" si="6"/>
        <v>15</v>
      </c>
      <c r="G47">
        <v>262</v>
      </c>
      <c r="H47">
        <v>260</v>
      </c>
      <c r="I47" s="13">
        <f t="shared" si="7"/>
        <v>0.99</v>
      </c>
      <c r="J47">
        <f t="shared" si="1"/>
        <v>2</v>
      </c>
      <c r="K47" s="2">
        <v>9.2592592592592588E-5</v>
      </c>
      <c r="L47" s="11">
        <f t="shared" si="2"/>
        <v>34.666666666666664</v>
      </c>
      <c r="M47" s="3">
        <f t="shared" si="8"/>
        <v>0.13333333333333333</v>
      </c>
      <c r="N47" s="4">
        <f t="shared" si="9"/>
        <v>8</v>
      </c>
      <c r="O47" s="2">
        <v>1.7476851851851852E-3</v>
      </c>
      <c r="P47" s="9">
        <f t="shared" si="3"/>
        <v>654.33333333333337</v>
      </c>
      <c r="Q47" s="3">
        <f t="shared" si="10"/>
        <v>2.5166666666666666</v>
      </c>
      <c r="R47" s="4">
        <f t="shared" si="11"/>
        <v>151</v>
      </c>
      <c r="S47" s="3">
        <f t="shared" si="12"/>
        <v>236</v>
      </c>
      <c r="T47" s="1">
        <v>0.90800000000000003</v>
      </c>
      <c r="U47" s="6">
        <f t="shared" si="4"/>
        <v>236.08</v>
      </c>
    </row>
    <row r="48" spans="1:21" x14ac:dyDescent="0.35">
      <c r="A48">
        <v>47</v>
      </c>
      <c r="B48" s="5">
        <v>44243</v>
      </c>
      <c r="C48" s="4">
        <f t="shared" si="5"/>
        <v>2021</v>
      </c>
      <c r="D48" s="4">
        <f t="shared" si="0"/>
        <v>2</v>
      </c>
      <c r="E48" s="14">
        <v>44243</v>
      </c>
      <c r="F48" s="4">
        <f t="shared" si="6"/>
        <v>16</v>
      </c>
      <c r="G48">
        <v>65</v>
      </c>
      <c r="H48">
        <v>63</v>
      </c>
      <c r="I48" s="13">
        <f t="shared" si="7"/>
        <v>0.96</v>
      </c>
      <c r="J48">
        <f t="shared" si="1"/>
        <v>2</v>
      </c>
      <c r="K48" s="2">
        <v>1.3888888888888889E-4</v>
      </c>
      <c r="L48" s="11">
        <f t="shared" si="2"/>
        <v>12.600000000000001</v>
      </c>
      <c r="M48" s="3">
        <f t="shared" si="8"/>
        <v>0.2</v>
      </c>
      <c r="N48" s="4">
        <f t="shared" si="9"/>
        <v>12</v>
      </c>
      <c r="O48" s="2">
        <v>1.6435185185185185E-3</v>
      </c>
      <c r="P48" s="9">
        <f t="shared" si="3"/>
        <v>149.1</v>
      </c>
      <c r="Q48" s="3">
        <f t="shared" si="10"/>
        <v>2.3666666666666667</v>
      </c>
      <c r="R48" s="4">
        <f t="shared" si="11"/>
        <v>142</v>
      </c>
      <c r="S48" s="3">
        <f t="shared" si="12"/>
        <v>54</v>
      </c>
      <c r="T48" s="1">
        <v>0.85940000000000005</v>
      </c>
      <c r="U48" s="6">
        <f t="shared" si="4"/>
        <v>54.142200000000003</v>
      </c>
    </row>
    <row r="49" spans="1:21" x14ac:dyDescent="0.35">
      <c r="A49">
        <v>48</v>
      </c>
      <c r="B49" s="5">
        <v>44244</v>
      </c>
      <c r="C49" s="4">
        <f t="shared" si="5"/>
        <v>2021</v>
      </c>
      <c r="D49" s="4">
        <f t="shared" si="0"/>
        <v>2</v>
      </c>
      <c r="E49" s="14">
        <v>44244</v>
      </c>
      <c r="F49" s="4">
        <f t="shared" si="6"/>
        <v>17</v>
      </c>
      <c r="G49">
        <v>325</v>
      </c>
      <c r="H49">
        <v>323</v>
      </c>
      <c r="I49" s="13">
        <f t="shared" si="7"/>
        <v>0.99</v>
      </c>
      <c r="J49">
        <f t="shared" si="1"/>
        <v>2</v>
      </c>
      <c r="K49" s="2">
        <v>5.7870370370370373E-5</v>
      </c>
      <c r="L49" s="11">
        <f t="shared" si="2"/>
        <v>26.916666666666664</v>
      </c>
      <c r="M49" s="3">
        <f t="shared" si="8"/>
        <v>8.3333333333333329E-2</v>
      </c>
      <c r="N49" s="4">
        <f t="shared" si="9"/>
        <v>5</v>
      </c>
      <c r="O49" s="2">
        <v>1.5393518518518519E-3</v>
      </c>
      <c r="P49" s="9">
        <f t="shared" si="3"/>
        <v>715.98333333333335</v>
      </c>
      <c r="Q49" s="3">
        <f t="shared" si="10"/>
        <v>2.2166666666666668</v>
      </c>
      <c r="R49" s="4">
        <f t="shared" si="11"/>
        <v>133</v>
      </c>
      <c r="S49" s="3">
        <f t="shared" si="12"/>
        <v>312</v>
      </c>
      <c r="T49" s="1">
        <v>0.96899999999999997</v>
      </c>
      <c r="U49" s="6">
        <f t="shared" si="4"/>
        <v>312.98699999999997</v>
      </c>
    </row>
    <row r="50" spans="1:21" x14ac:dyDescent="0.35">
      <c r="A50">
        <v>49</v>
      </c>
      <c r="B50" s="5">
        <v>44245</v>
      </c>
      <c r="C50" s="4">
        <f t="shared" si="5"/>
        <v>2021</v>
      </c>
      <c r="D50" s="4">
        <f t="shared" si="0"/>
        <v>2</v>
      </c>
      <c r="E50" s="14">
        <v>44245</v>
      </c>
      <c r="F50" s="4">
        <f t="shared" si="6"/>
        <v>18</v>
      </c>
      <c r="G50">
        <v>235</v>
      </c>
      <c r="H50">
        <v>230</v>
      </c>
      <c r="I50" s="13">
        <f t="shared" si="7"/>
        <v>0.97</v>
      </c>
      <c r="J50">
        <f t="shared" si="1"/>
        <v>5</v>
      </c>
      <c r="K50" s="2">
        <v>5.7870370370370373E-5</v>
      </c>
      <c r="L50" s="11">
        <f t="shared" si="2"/>
        <v>19.166666666666664</v>
      </c>
      <c r="M50" s="3">
        <f t="shared" si="8"/>
        <v>8.3333333333333329E-2</v>
      </c>
      <c r="N50" s="4">
        <f t="shared" si="9"/>
        <v>5</v>
      </c>
      <c r="O50" s="2">
        <v>1.6087962962962963E-3</v>
      </c>
      <c r="P50" s="9">
        <f t="shared" si="3"/>
        <v>532.83333333333326</v>
      </c>
      <c r="Q50" s="3">
        <f t="shared" si="10"/>
        <v>2.3166666666666664</v>
      </c>
      <c r="R50" s="4">
        <f t="shared" si="11"/>
        <v>139</v>
      </c>
      <c r="S50" s="3">
        <f t="shared" si="12"/>
        <v>221</v>
      </c>
      <c r="T50" s="1">
        <v>0.96140000000000003</v>
      </c>
      <c r="U50" s="6">
        <f t="shared" si="4"/>
        <v>221.12200000000001</v>
      </c>
    </row>
    <row r="51" spans="1:21" x14ac:dyDescent="0.35">
      <c r="A51">
        <v>50</v>
      </c>
      <c r="B51" s="5">
        <v>44246</v>
      </c>
      <c r="C51" s="4">
        <f t="shared" si="5"/>
        <v>2021</v>
      </c>
      <c r="D51" s="4">
        <f t="shared" si="0"/>
        <v>2</v>
      </c>
      <c r="E51" s="14">
        <v>44246</v>
      </c>
      <c r="F51" s="4">
        <f t="shared" si="6"/>
        <v>19</v>
      </c>
      <c r="G51">
        <v>215</v>
      </c>
      <c r="H51">
        <v>212</v>
      </c>
      <c r="I51" s="13">
        <f t="shared" si="7"/>
        <v>0.98</v>
      </c>
      <c r="J51">
        <f t="shared" si="1"/>
        <v>3</v>
      </c>
      <c r="K51" s="2">
        <v>5.7870370370370373E-5</v>
      </c>
      <c r="L51" s="11">
        <f t="shared" si="2"/>
        <v>17.666666666666664</v>
      </c>
      <c r="M51" s="3">
        <f t="shared" si="8"/>
        <v>8.3333333333333329E-2</v>
      </c>
      <c r="N51" s="4">
        <f t="shared" si="9"/>
        <v>5</v>
      </c>
      <c r="O51" s="2">
        <v>1.5509259259259259E-3</v>
      </c>
      <c r="P51" s="9">
        <f t="shared" si="3"/>
        <v>473.4666666666667</v>
      </c>
      <c r="Q51" s="3">
        <f t="shared" si="10"/>
        <v>2.2333333333333334</v>
      </c>
      <c r="R51" s="4">
        <f t="shared" si="11"/>
        <v>134</v>
      </c>
      <c r="S51" s="3">
        <f t="shared" si="12"/>
        <v>203</v>
      </c>
      <c r="T51" s="1">
        <v>0.95809999999999995</v>
      </c>
      <c r="U51" s="6">
        <f t="shared" si="4"/>
        <v>203.1172</v>
      </c>
    </row>
    <row r="52" spans="1:21" x14ac:dyDescent="0.35">
      <c r="A52">
        <v>51</v>
      </c>
      <c r="B52" s="5">
        <v>44247</v>
      </c>
      <c r="C52" s="4">
        <f t="shared" si="5"/>
        <v>2021</v>
      </c>
      <c r="D52" s="4">
        <f t="shared" si="0"/>
        <v>2</v>
      </c>
      <c r="E52" s="14">
        <v>44247</v>
      </c>
      <c r="F52" s="4">
        <f t="shared" si="6"/>
        <v>20</v>
      </c>
      <c r="G52">
        <v>85</v>
      </c>
      <c r="H52">
        <v>85</v>
      </c>
      <c r="I52" s="13">
        <f t="shared" si="7"/>
        <v>1</v>
      </c>
      <c r="J52">
        <f t="shared" si="1"/>
        <v>0</v>
      </c>
      <c r="K52" s="2">
        <v>3.4722222222222222E-5</v>
      </c>
      <c r="L52" s="11">
        <f t="shared" si="2"/>
        <v>4.25</v>
      </c>
      <c r="M52" s="3">
        <f t="shared" si="8"/>
        <v>0.05</v>
      </c>
      <c r="N52" s="4">
        <f t="shared" si="9"/>
        <v>3</v>
      </c>
      <c r="O52" s="2">
        <v>1.6898148148148148E-3</v>
      </c>
      <c r="P52" s="9">
        <f t="shared" si="3"/>
        <v>206.83333333333334</v>
      </c>
      <c r="Q52" s="3">
        <f t="shared" si="10"/>
        <v>2.4333333333333336</v>
      </c>
      <c r="R52" s="4">
        <f t="shared" si="11"/>
        <v>146</v>
      </c>
      <c r="S52" s="3">
        <f t="shared" si="12"/>
        <v>83</v>
      </c>
      <c r="T52" s="1">
        <v>0.97650000000000003</v>
      </c>
      <c r="U52" s="6">
        <f t="shared" si="4"/>
        <v>83.002499999999998</v>
      </c>
    </row>
    <row r="53" spans="1:21" x14ac:dyDescent="0.35">
      <c r="A53">
        <v>52</v>
      </c>
      <c r="B53" s="5">
        <v>44248</v>
      </c>
      <c r="C53" s="4">
        <f t="shared" si="5"/>
        <v>2021</v>
      </c>
      <c r="D53" s="4">
        <f t="shared" si="0"/>
        <v>2</v>
      </c>
      <c r="E53" s="14">
        <v>44248</v>
      </c>
      <c r="F53" s="4">
        <f t="shared" si="6"/>
        <v>21</v>
      </c>
      <c r="G53">
        <v>195</v>
      </c>
      <c r="H53">
        <v>195</v>
      </c>
      <c r="I53" s="13">
        <f t="shared" si="7"/>
        <v>1</v>
      </c>
      <c r="J53">
        <f t="shared" si="1"/>
        <v>0</v>
      </c>
      <c r="K53" s="2">
        <v>5.7870370370370373E-5</v>
      </c>
      <c r="L53" s="11">
        <f t="shared" si="2"/>
        <v>16.25</v>
      </c>
      <c r="M53" s="3">
        <f t="shared" si="8"/>
        <v>8.3333333333333329E-2</v>
      </c>
      <c r="N53" s="4">
        <f t="shared" si="9"/>
        <v>5</v>
      </c>
      <c r="O53" s="2">
        <v>1.6666666666666668E-3</v>
      </c>
      <c r="P53" s="9">
        <f t="shared" si="3"/>
        <v>468</v>
      </c>
      <c r="Q53" s="3">
        <f t="shared" si="10"/>
        <v>2.4</v>
      </c>
      <c r="R53" s="4">
        <f t="shared" si="11"/>
        <v>144</v>
      </c>
      <c r="S53" s="3">
        <f t="shared" si="12"/>
        <v>190</v>
      </c>
      <c r="T53" s="1">
        <v>0.97440000000000004</v>
      </c>
      <c r="U53" s="6">
        <f t="shared" si="4"/>
        <v>190.00800000000001</v>
      </c>
    </row>
    <row r="54" spans="1:21" x14ac:dyDescent="0.35">
      <c r="A54">
        <v>53</v>
      </c>
      <c r="B54" s="5">
        <v>44249</v>
      </c>
      <c r="C54" s="4">
        <f t="shared" si="5"/>
        <v>2021</v>
      </c>
      <c r="D54" s="4">
        <f t="shared" si="0"/>
        <v>2</v>
      </c>
      <c r="E54" s="14">
        <v>44249</v>
      </c>
      <c r="F54" s="4">
        <f t="shared" si="6"/>
        <v>22</v>
      </c>
      <c r="G54">
        <v>188</v>
      </c>
      <c r="H54">
        <v>182</v>
      </c>
      <c r="I54" s="13">
        <f t="shared" si="7"/>
        <v>0.96</v>
      </c>
      <c r="J54">
        <f t="shared" si="1"/>
        <v>6</v>
      </c>
      <c r="K54" s="2">
        <v>1.7361111111111112E-4</v>
      </c>
      <c r="L54" s="11">
        <f t="shared" si="2"/>
        <v>45.5</v>
      </c>
      <c r="M54" s="3">
        <f t="shared" si="8"/>
        <v>0.25</v>
      </c>
      <c r="N54" s="4">
        <f t="shared" si="9"/>
        <v>15</v>
      </c>
      <c r="O54" s="2">
        <v>1.5509259259259259E-3</v>
      </c>
      <c r="P54" s="9">
        <f t="shared" si="3"/>
        <v>406.4666666666667</v>
      </c>
      <c r="Q54" s="3">
        <f t="shared" si="10"/>
        <v>2.2333333333333334</v>
      </c>
      <c r="R54" s="4">
        <f t="shared" si="11"/>
        <v>134</v>
      </c>
      <c r="S54" s="3">
        <f t="shared" si="12"/>
        <v>152</v>
      </c>
      <c r="T54" s="1">
        <v>0.83609999999999995</v>
      </c>
      <c r="U54" s="6">
        <f t="shared" si="4"/>
        <v>152.17019999999999</v>
      </c>
    </row>
    <row r="55" spans="1:21" x14ac:dyDescent="0.35">
      <c r="A55">
        <v>54</v>
      </c>
      <c r="B55" s="5">
        <v>44250</v>
      </c>
      <c r="C55" s="4">
        <f t="shared" si="5"/>
        <v>2021</v>
      </c>
      <c r="D55" s="4">
        <f t="shared" si="0"/>
        <v>2</v>
      </c>
      <c r="E55" s="14">
        <v>44250</v>
      </c>
      <c r="F55" s="4">
        <f t="shared" si="6"/>
        <v>23</v>
      </c>
      <c r="G55">
        <v>58</v>
      </c>
      <c r="H55">
        <v>58</v>
      </c>
      <c r="I55" s="13">
        <f t="shared" si="7"/>
        <v>1</v>
      </c>
      <c r="J55">
        <f t="shared" si="1"/>
        <v>0</v>
      </c>
      <c r="K55" s="2">
        <v>6.9444444444444444E-5</v>
      </c>
      <c r="L55" s="11">
        <f t="shared" si="2"/>
        <v>5.8000000000000007</v>
      </c>
      <c r="M55" s="3">
        <f t="shared" si="8"/>
        <v>0.1</v>
      </c>
      <c r="N55" s="4">
        <f t="shared" si="9"/>
        <v>6</v>
      </c>
      <c r="O55" s="2">
        <v>1.6435185185185185E-3</v>
      </c>
      <c r="P55" s="9">
        <f t="shared" si="3"/>
        <v>137.26666666666668</v>
      </c>
      <c r="Q55" s="3">
        <f t="shared" si="10"/>
        <v>2.3666666666666667</v>
      </c>
      <c r="R55" s="4">
        <f t="shared" si="11"/>
        <v>142</v>
      </c>
      <c r="S55" s="3">
        <f t="shared" si="12"/>
        <v>55</v>
      </c>
      <c r="T55" s="1">
        <v>0.94830000000000003</v>
      </c>
      <c r="U55" s="6">
        <f t="shared" si="4"/>
        <v>55.001400000000004</v>
      </c>
    </row>
    <row r="56" spans="1:21" x14ac:dyDescent="0.35">
      <c r="A56">
        <v>55</v>
      </c>
      <c r="B56" s="5">
        <v>44251</v>
      </c>
      <c r="C56" s="4">
        <f t="shared" si="5"/>
        <v>2021</v>
      </c>
      <c r="D56" s="4">
        <f t="shared" si="0"/>
        <v>2</v>
      </c>
      <c r="E56" s="14">
        <v>44251</v>
      </c>
      <c r="F56" s="4">
        <f t="shared" si="6"/>
        <v>24</v>
      </c>
      <c r="G56">
        <v>251</v>
      </c>
      <c r="H56">
        <v>247</v>
      </c>
      <c r="I56" s="13">
        <f t="shared" si="7"/>
        <v>0.98</v>
      </c>
      <c r="J56">
        <f t="shared" si="1"/>
        <v>4</v>
      </c>
      <c r="K56" s="2">
        <v>1.6203703703703703E-4</v>
      </c>
      <c r="L56" s="11">
        <f t="shared" si="2"/>
        <v>57.633333333333333</v>
      </c>
      <c r="M56" s="3">
        <f t="shared" si="8"/>
        <v>0.23333333333333334</v>
      </c>
      <c r="N56" s="4">
        <f t="shared" si="9"/>
        <v>14</v>
      </c>
      <c r="O56" s="2">
        <v>1.5740740740740741E-3</v>
      </c>
      <c r="P56" s="9">
        <f t="shared" si="3"/>
        <v>559.86666666666667</v>
      </c>
      <c r="Q56" s="3">
        <f t="shared" si="10"/>
        <v>2.2666666666666666</v>
      </c>
      <c r="R56" s="4">
        <f t="shared" si="11"/>
        <v>136</v>
      </c>
      <c r="S56" s="3">
        <f t="shared" si="12"/>
        <v>206</v>
      </c>
      <c r="T56" s="1">
        <v>0.83530000000000004</v>
      </c>
      <c r="U56" s="6">
        <f t="shared" si="4"/>
        <v>206.31910000000002</v>
      </c>
    </row>
    <row r="57" spans="1:21" x14ac:dyDescent="0.35">
      <c r="A57">
        <v>56</v>
      </c>
      <c r="B57" s="5">
        <v>44252</v>
      </c>
      <c r="C57" s="4">
        <f t="shared" si="5"/>
        <v>2021</v>
      </c>
      <c r="D57" s="4">
        <f t="shared" si="0"/>
        <v>2</v>
      </c>
      <c r="E57" s="14">
        <v>44252</v>
      </c>
      <c r="F57" s="4">
        <f t="shared" si="6"/>
        <v>25</v>
      </c>
      <c r="G57">
        <v>181</v>
      </c>
      <c r="H57">
        <v>178</v>
      </c>
      <c r="I57" s="13">
        <f t="shared" si="7"/>
        <v>0.98</v>
      </c>
      <c r="J57">
        <f t="shared" si="1"/>
        <v>3</v>
      </c>
      <c r="K57" s="2">
        <v>1.3888888888888889E-4</v>
      </c>
      <c r="L57" s="11">
        <f t="shared" si="2"/>
        <v>35.6</v>
      </c>
      <c r="M57" s="3">
        <f t="shared" si="8"/>
        <v>0.2</v>
      </c>
      <c r="N57" s="4">
        <f t="shared" si="9"/>
        <v>12</v>
      </c>
      <c r="O57" s="2">
        <v>1.6666666666666668E-3</v>
      </c>
      <c r="P57" s="9">
        <f t="shared" si="3"/>
        <v>427.2</v>
      </c>
      <c r="Q57" s="3">
        <f t="shared" si="10"/>
        <v>2.4</v>
      </c>
      <c r="R57" s="4">
        <f t="shared" si="11"/>
        <v>144</v>
      </c>
      <c r="S57" s="3">
        <f t="shared" si="12"/>
        <v>153</v>
      </c>
      <c r="T57" s="1">
        <v>0.8619</v>
      </c>
      <c r="U57" s="6">
        <f t="shared" si="4"/>
        <v>153.41820000000001</v>
      </c>
    </row>
    <row r="58" spans="1:21" x14ac:dyDescent="0.35">
      <c r="A58">
        <v>57</v>
      </c>
      <c r="B58" s="5">
        <v>44253</v>
      </c>
      <c r="C58" s="4">
        <f t="shared" si="5"/>
        <v>2021</v>
      </c>
      <c r="D58" s="4">
        <f t="shared" si="0"/>
        <v>2</v>
      </c>
      <c r="E58" s="14">
        <v>44253</v>
      </c>
      <c r="F58" s="4">
        <f t="shared" si="6"/>
        <v>26</v>
      </c>
      <c r="G58">
        <v>228</v>
      </c>
      <c r="H58">
        <v>213</v>
      </c>
      <c r="I58" s="13">
        <f t="shared" si="7"/>
        <v>0.93</v>
      </c>
      <c r="J58">
        <f t="shared" si="1"/>
        <v>15</v>
      </c>
      <c r="K58" s="2">
        <v>3.0092592592592595E-4</v>
      </c>
      <c r="L58" s="11">
        <f t="shared" si="2"/>
        <v>92.3</v>
      </c>
      <c r="M58" s="3">
        <f t="shared" si="8"/>
        <v>0.43333333333333335</v>
      </c>
      <c r="N58" s="4">
        <f t="shared" si="9"/>
        <v>26</v>
      </c>
      <c r="O58" s="2">
        <v>1.5740740740740741E-3</v>
      </c>
      <c r="P58" s="9">
        <f t="shared" si="3"/>
        <v>482.8</v>
      </c>
      <c r="Q58" s="3">
        <f t="shared" si="10"/>
        <v>2.2666666666666666</v>
      </c>
      <c r="R58" s="4">
        <f t="shared" si="11"/>
        <v>136</v>
      </c>
      <c r="S58" s="3">
        <f t="shared" si="12"/>
        <v>135</v>
      </c>
      <c r="T58" s="1">
        <v>0.63560000000000005</v>
      </c>
      <c r="U58" s="6">
        <f t="shared" si="4"/>
        <v>135.3828</v>
      </c>
    </row>
    <row r="59" spans="1:21" x14ac:dyDescent="0.35">
      <c r="A59">
        <v>58</v>
      </c>
      <c r="B59" s="5">
        <v>44254</v>
      </c>
      <c r="C59" s="4">
        <f t="shared" si="5"/>
        <v>2021</v>
      </c>
      <c r="D59" s="4">
        <f t="shared" si="0"/>
        <v>2</v>
      </c>
      <c r="E59" s="14">
        <v>44254</v>
      </c>
      <c r="F59" s="4">
        <f t="shared" si="6"/>
        <v>27</v>
      </c>
      <c r="G59">
        <v>165</v>
      </c>
      <c r="H59">
        <v>163</v>
      </c>
      <c r="I59" s="13">
        <f t="shared" si="7"/>
        <v>0.98</v>
      </c>
      <c r="J59">
        <f t="shared" si="1"/>
        <v>2</v>
      </c>
      <c r="K59" s="2">
        <v>1.0416666666666667E-4</v>
      </c>
      <c r="L59" s="11">
        <f t="shared" si="2"/>
        <v>24.45</v>
      </c>
      <c r="M59" s="3">
        <f t="shared" si="8"/>
        <v>0.15</v>
      </c>
      <c r="N59" s="4">
        <f t="shared" si="9"/>
        <v>9</v>
      </c>
      <c r="O59" s="2">
        <v>1.6782407407407408E-3</v>
      </c>
      <c r="P59" s="9">
        <f t="shared" si="3"/>
        <v>393.91666666666663</v>
      </c>
      <c r="Q59" s="3">
        <f t="shared" si="10"/>
        <v>2.4166666666666665</v>
      </c>
      <c r="R59" s="4">
        <f t="shared" si="11"/>
        <v>145</v>
      </c>
      <c r="S59" s="3">
        <f t="shared" si="12"/>
        <v>147</v>
      </c>
      <c r="T59" s="1">
        <v>0.90239999999999998</v>
      </c>
      <c r="U59" s="6">
        <f t="shared" si="4"/>
        <v>147.09119999999999</v>
      </c>
    </row>
    <row r="60" spans="1:21" x14ac:dyDescent="0.35">
      <c r="A60">
        <v>59</v>
      </c>
      <c r="B60" s="5">
        <v>44255</v>
      </c>
      <c r="C60" s="4">
        <f t="shared" si="5"/>
        <v>2021</v>
      </c>
      <c r="D60" s="4">
        <f t="shared" si="0"/>
        <v>2</v>
      </c>
      <c r="E60" s="14">
        <v>44255</v>
      </c>
      <c r="F60" s="4">
        <f t="shared" si="6"/>
        <v>28</v>
      </c>
      <c r="G60">
        <v>185</v>
      </c>
      <c r="H60">
        <v>179</v>
      </c>
      <c r="I60" s="13">
        <f t="shared" si="7"/>
        <v>0.96</v>
      </c>
      <c r="J60">
        <f t="shared" si="1"/>
        <v>6</v>
      </c>
      <c r="K60" s="2">
        <v>1.9675925925925926E-4</v>
      </c>
      <c r="L60" s="11">
        <f t="shared" si="2"/>
        <v>50.716666666666669</v>
      </c>
      <c r="M60" s="3">
        <f t="shared" si="8"/>
        <v>0.28333333333333333</v>
      </c>
      <c r="N60" s="4">
        <f t="shared" si="9"/>
        <v>17</v>
      </c>
      <c r="O60" s="2">
        <v>1.5856481481481481E-3</v>
      </c>
      <c r="P60" s="9">
        <f t="shared" si="3"/>
        <v>408.71666666666664</v>
      </c>
      <c r="Q60" s="3">
        <f t="shared" si="10"/>
        <v>2.2833333333333332</v>
      </c>
      <c r="R60" s="4">
        <f t="shared" si="11"/>
        <v>137</v>
      </c>
      <c r="S60" s="3">
        <f t="shared" si="12"/>
        <v>140</v>
      </c>
      <c r="T60" s="1">
        <v>0.78569999999999995</v>
      </c>
      <c r="U60" s="6">
        <f t="shared" si="4"/>
        <v>140.6403</v>
      </c>
    </row>
    <row r="61" spans="1:21" x14ac:dyDescent="0.35">
      <c r="A61">
        <v>60</v>
      </c>
      <c r="B61" s="5">
        <v>44256</v>
      </c>
      <c r="C61" s="4">
        <f t="shared" si="5"/>
        <v>2021</v>
      </c>
      <c r="D61" s="4">
        <f t="shared" si="0"/>
        <v>3</v>
      </c>
      <c r="E61" s="14">
        <v>44256</v>
      </c>
      <c r="F61" s="4">
        <f t="shared" si="6"/>
        <v>1</v>
      </c>
      <c r="G61">
        <v>172</v>
      </c>
      <c r="H61">
        <v>164</v>
      </c>
      <c r="I61" s="13">
        <f t="shared" si="7"/>
        <v>0.95</v>
      </c>
      <c r="J61">
        <f t="shared" si="1"/>
        <v>8</v>
      </c>
      <c r="K61" s="2">
        <v>2.0833333333333335E-4</v>
      </c>
      <c r="L61" s="11">
        <f t="shared" si="2"/>
        <v>49.199999999999996</v>
      </c>
      <c r="M61" s="3">
        <f t="shared" si="8"/>
        <v>0.3</v>
      </c>
      <c r="N61" s="4">
        <f t="shared" si="9"/>
        <v>18</v>
      </c>
      <c r="O61" s="2">
        <v>1.7013888888888888E-3</v>
      </c>
      <c r="P61" s="9">
        <f t="shared" si="3"/>
        <v>401.8</v>
      </c>
      <c r="Q61" s="3">
        <f t="shared" si="10"/>
        <v>2.4500000000000002</v>
      </c>
      <c r="R61" s="4">
        <f t="shared" si="11"/>
        <v>147</v>
      </c>
      <c r="S61" s="3">
        <f t="shared" si="12"/>
        <v>126</v>
      </c>
      <c r="T61" s="1">
        <v>0.77059999999999995</v>
      </c>
      <c r="U61" s="6">
        <f t="shared" si="4"/>
        <v>126.3784</v>
      </c>
    </row>
    <row r="62" spans="1:21" x14ac:dyDescent="0.35">
      <c r="A62">
        <v>61</v>
      </c>
      <c r="B62" s="5">
        <v>44257</v>
      </c>
      <c r="C62" s="4">
        <f t="shared" si="5"/>
        <v>2021</v>
      </c>
      <c r="D62" s="4">
        <f t="shared" si="0"/>
        <v>3</v>
      </c>
      <c r="E62" s="14">
        <v>44257</v>
      </c>
      <c r="F62" s="4">
        <f t="shared" si="6"/>
        <v>2</v>
      </c>
      <c r="G62">
        <v>57</v>
      </c>
      <c r="H62">
        <v>51</v>
      </c>
      <c r="I62" s="13">
        <f t="shared" si="7"/>
        <v>0.89</v>
      </c>
      <c r="J62">
        <f t="shared" si="1"/>
        <v>6</v>
      </c>
      <c r="K62" s="2">
        <v>8.1018518518518516E-5</v>
      </c>
      <c r="L62" s="11">
        <f t="shared" si="2"/>
        <v>5.95</v>
      </c>
      <c r="M62" s="3">
        <f t="shared" si="8"/>
        <v>0.11666666666666667</v>
      </c>
      <c r="N62" s="4">
        <f t="shared" si="9"/>
        <v>7</v>
      </c>
      <c r="O62" s="2">
        <v>1.238425925925926E-3</v>
      </c>
      <c r="P62" s="9">
        <f t="shared" si="3"/>
        <v>90.949999999999989</v>
      </c>
      <c r="Q62" s="3">
        <f t="shared" si="10"/>
        <v>1.7833333333333332</v>
      </c>
      <c r="R62" s="4">
        <f t="shared" si="11"/>
        <v>107</v>
      </c>
      <c r="S62" s="3">
        <f t="shared" si="12"/>
        <v>46</v>
      </c>
      <c r="T62" s="1">
        <v>0.90569999999999995</v>
      </c>
      <c r="U62" s="6">
        <f t="shared" si="4"/>
        <v>46.1907</v>
      </c>
    </row>
    <row r="63" spans="1:21" x14ac:dyDescent="0.35">
      <c r="A63">
        <v>62</v>
      </c>
      <c r="B63" s="5">
        <v>44258</v>
      </c>
      <c r="C63" s="4">
        <f t="shared" si="5"/>
        <v>2021</v>
      </c>
      <c r="D63" s="4">
        <f t="shared" si="0"/>
        <v>3</v>
      </c>
      <c r="E63" s="14">
        <v>44258</v>
      </c>
      <c r="F63" s="4">
        <f t="shared" si="6"/>
        <v>3</v>
      </c>
      <c r="G63">
        <v>200</v>
      </c>
      <c r="H63">
        <v>192</v>
      </c>
      <c r="I63" s="13">
        <f t="shared" si="7"/>
        <v>0.96</v>
      </c>
      <c r="J63">
        <f t="shared" si="1"/>
        <v>8</v>
      </c>
      <c r="K63" s="2">
        <v>1.1574074074074075E-4</v>
      </c>
      <c r="L63" s="11">
        <f t="shared" si="2"/>
        <v>32</v>
      </c>
      <c r="M63" s="3">
        <f t="shared" si="8"/>
        <v>0.16666666666666666</v>
      </c>
      <c r="N63" s="4">
        <f t="shared" si="9"/>
        <v>10</v>
      </c>
      <c r="O63" s="2">
        <v>1.5972222222222223E-3</v>
      </c>
      <c r="P63" s="9">
        <f t="shared" si="3"/>
        <v>441.59999999999997</v>
      </c>
      <c r="Q63" s="3">
        <f t="shared" si="10"/>
        <v>2.2999999999999998</v>
      </c>
      <c r="R63" s="4">
        <f t="shared" si="11"/>
        <v>138</v>
      </c>
      <c r="S63" s="3">
        <f t="shared" si="12"/>
        <v>165</v>
      </c>
      <c r="T63" s="1">
        <v>0.86429999999999996</v>
      </c>
      <c r="U63" s="6">
        <f t="shared" si="4"/>
        <v>165.94559999999998</v>
      </c>
    </row>
    <row r="64" spans="1:21" x14ac:dyDescent="0.35">
      <c r="A64">
        <v>63</v>
      </c>
      <c r="B64" s="5">
        <v>44259</v>
      </c>
      <c r="C64" s="4">
        <f t="shared" si="5"/>
        <v>2021</v>
      </c>
      <c r="D64" s="4">
        <f t="shared" si="0"/>
        <v>3</v>
      </c>
      <c r="E64" s="14">
        <v>44259</v>
      </c>
      <c r="F64" s="4">
        <f t="shared" si="6"/>
        <v>4</v>
      </c>
      <c r="G64">
        <v>202</v>
      </c>
      <c r="H64">
        <v>199</v>
      </c>
      <c r="I64" s="13">
        <f t="shared" si="7"/>
        <v>0.98</v>
      </c>
      <c r="J64">
        <f t="shared" si="1"/>
        <v>3</v>
      </c>
      <c r="K64" s="2">
        <v>9.2592592592592588E-5</v>
      </c>
      <c r="L64" s="11">
        <f t="shared" si="2"/>
        <v>26.533333333333331</v>
      </c>
      <c r="M64" s="3">
        <f t="shared" si="8"/>
        <v>0.13333333333333333</v>
      </c>
      <c r="N64" s="4">
        <f t="shared" si="9"/>
        <v>8</v>
      </c>
      <c r="O64" s="2">
        <v>1.4467592592592592E-3</v>
      </c>
      <c r="P64" s="9">
        <f t="shared" si="3"/>
        <v>414.58333333333337</v>
      </c>
      <c r="Q64" s="3">
        <f t="shared" si="10"/>
        <v>2.0833333333333335</v>
      </c>
      <c r="R64" s="4">
        <f t="shared" si="11"/>
        <v>125.00000000000001</v>
      </c>
      <c r="S64" s="3">
        <f t="shared" si="12"/>
        <v>181</v>
      </c>
      <c r="T64" s="1">
        <v>0.91</v>
      </c>
      <c r="U64" s="6">
        <f t="shared" si="4"/>
        <v>181.09</v>
      </c>
    </row>
    <row r="65" spans="1:21" x14ac:dyDescent="0.35">
      <c r="A65">
        <v>64</v>
      </c>
      <c r="B65" s="5">
        <v>44260</v>
      </c>
      <c r="C65" s="4">
        <f t="shared" si="5"/>
        <v>2021</v>
      </c>
      <c r="D65" s="4">
        <f t="shared" si="0"/>
        <v>3</v>
      </c>
      <c r="E65" s="14">
        <v>44260</v>
      </c>
      <c r="F65" s="4">
        <f t="shared" si="6"/>
        <v>5</v>
      </c>
      <c r="G65">
        <v>217</v>
      </c>
      <c r="H65">
        <v>212</v>
      </c>
      <c r="I65" s="13">
        <f t="shared" si="7"/>
        <v>0.97</v>
      </c>
      <c r="J65">
        <f t="shared" si="1"/>
        <v>5</v>
      </c>
      <c r="K65" s="2">
        <v>8.1018518518518516E-5</v>
      </c>
      <c r="L65" s="11">
        <f t="shared" si="2"/>
        <v>24.733333333333334</v>
      </c>
      <c r="M65" s="3">
        <f t="shared" si="8"/>
        <v>0.11666666666666667</v>
      </c>
      <c r="N65" s="4">
        <f t="shared" si="9"/>
        <v>7</v>
      </c>
      <c r="O65" s="2">
        <v>1.3310185185185185E-3</v>
      </c>
      <c r="P65" s="9">
        <f t="shared" si="3"/>
        <v>406.33333333333331</v>
      </c>
      <c r="Q65" s="3">
        <f t="shared" si="10"/>
        <v>1.9166666666666665</v>
      </c>
      <c r="R65" s="4">
        <f t="shared" si="11"/>
        <v>114.99999999999999</v>
      </c>
      <c r="S65" s="3">
        <f t="shared" si="12"/>
        <v>200</v>
      </c>
      <c r="T65" s="1">
        <v>0.94420000000000004</v>
      </c>
      <c r="U65" s="6">
        <f t="shared" si="4"/>
        <v>200.1704</v>
      </c>
    </row>
    <row r="66" spans="1:21" x14ac:dyDescent="0.35">
      <c r="A66">
        <v>65</v>
      </c>
      <c r="B66" s="5">
        <v>44261</v>
      </c>
      <c r="C66" s="4">
        <f t="shared" si="5"/>
        <v>2021</v>
      </c>
      <c r="D66" s="4">
        <f t="shared" si="0"/>
        <v>3</v>
      </c>
      <c r="E66" s="14">
        <v>44261</v>
      </c>
      <c r="F66" s="4">
        <f t="shared" si="6"/>
        <v>6</v>
      </c>
      <c r="G66">
        <v>225</v>
      </c>
      <c r="H66">
        <v>223</v>
      </c>
      <c r="I66" s="13">
        <f t="shared" si="7"/>
        <v>0.99</v>
      </c>
      <c r="J66">
        <f t="shared" ref="J66:J129" si="13">G66-H66</f>
        <v>2</v>
      </c>
      <c r="K66" s="2">
        <v>1.0416666666666667E-4</v>
      </c>
      <c r="L66" s="11">
        <f t="shared" ref="L66:L129" si="14">H66*M66</f>
        <v>33.449999999999996</v>
      </c>
      <c r="M66" s="3">
        <f t="shared" si="8"/>
        <v>0.15</v>
      </c>
      <c r="N66" s="4">
        <f t="shared" si="9"/>
        <v>9</v>
      </c>
      <c r="O66" s="2">
        <v>1.4930555555555556E-3</v>
      </c>
      <c r="P66" s="9">
        <f t="shared" ref="P66:P129" si="15">Q66*H66</f>
        <v>479.45</v>
      </c>
      <c r="Q66" s="3">
        <f t="shared" si="10"/>
        <v>2.15</v>
      </c>
      <c r="R66" s="4">
        <f t="shared" si="11"/>
        <v>129</v>
      </c>
      <c r="S66" s="3">
        <f t="shared" si="12"/>
        <v>205</v>
      </c>
      <c r="T66" s="1">
        <v>0.91930000000000001</v>
      </c>
      <c r="U66" s="6">
        <f t="shared" ref="U66:U129" si="16">T66*H66</f>
        <v>205.00389999999999</v>
      </c>
    </row>
    <row r="67" spans="1:21" x14ac:dyDescent="0.35">
      <c r="A67">
        <v>66</v>
      </c>
      <c r="B67" s="5">
        <v>44262</v>
      </c>
      <c r="C67" s="4">
        <f t="shared" ref="C67:C130" si="17">YEAR(B67)</f>
        <v>2021</v>
      </c>
      <c r="D67" s="4">
        <f t="shared" ref="D67:D130" si="18">MONTH(B67)</f>
        <v>3</v>
      </c>
      <c r="E67" s="14">
        <v>44262</v>
      </c>
      <c r="F67" s="4">
        <f t="shared" ref="F67:F130" si="19">DAY(B67)</f>
        <v>7</v>
      </c>
      <c r="G67">
        <v>235</v>
      </c>
      <c r="H67">
        <v>231</v>
      </c>
      <c r="I67" s="13">
        <f t="shared" ref="I67:I130" si="20">TRUNC(H67/G67,2)</f>
        <v>0.98</v>
      </c>
      <c r="J67">
        <f t="shared" si="13"/>
        <v>4</v>
      </c>
      <c r="K67" s="2">
        <v>9.2592592592592588E-5</v>
      </c>
      <c r="L67" s="11">
        <f t="shared" si="14"/>
        <v>30.8</v>
      </c>
      <c r="M67" s="3">
        <f t="shared" ref="M67:M130" si="21">MINUTE(K67)+SECOND(K67)/60</f>
        <v>0.13333333333333333</v>
      </c>
      <c r="N67" s="4">
        <f t="shared" ref="N67:N130" si="22">M67*60</f>
        <v>8</v>
      </c>
      <c r="O67" s="2">
        <v>1.6087962962962963E-3</v>
      </c>
      <c r="P67" s="9">
        <f t="shared" si="15"/>
        <v>535.15</v>
      </c>
      <c r="Q67" s="3">
        <f t="shared" ref="Q67:Q130" si="23">MINUTE(O67)+SECOND(O67)/60</f>
        <v>2.3166666666666664</v>
      </c>
      <c r="R67" s="4">
        <f t="shared" ref="R67:R130" si="24">Q67*60</f>
        <v>139</v>
      </c>
      <c r="S67" s="3">
        <f t="shared" ref="S67:S130" si="25">TRUNC(U67,0)</f>
        <v>221</v>
      </c>
      <c r="T67" s="1">
        <v>0.95709999999999995</v>
      </c>
      <c r="U67" s="6">
        <f t="shared" si="16"/>
        <v>221.09009999999998</v>
      </c>
    </row>
    <row r="68" spans="1:21" x14ac:dyDescent="0.35">
      <c r="A68">
        <v>67</v>
      </c>
      <c r="B68" s="5">
        <v>44263</v>
      </c>
      <c r="C68" s="4">
        <f t="shared" si="17"/>
        <v>2021</v>
      </c>
      <c r="D68" s="4">
        <f t="shared" si="18"/>
        <v>3</v>
      </c>
      <c r="E68" s="14">
        <v>44263</v>
      </c>
      <c r="F68" s="4">
        <f t="shared" si="19"/>
        <v>8</v>
      </c>
      <c r="G68">
        <v>202</v>
      </c>
      <c r="H68">
        <v>201</v>
      </c>
      <c r="I68" s="13">
        <f t="shared" si="20"/>
        <v>0.99</v>
      </c>
      <c r="J68">
        <f t="shared" si="13"/>
        <v>1</v>
      </c>
      <c r="K68" s="2">
        <v>9.2592592592592588E-5</v>
      </c>
      <c r="L68" s="11">
        <f t="shared" si="14"/>
        <v>26.8</v>
      </c>
      <c r="M68" s="3">
        <f t="shared" si="21"/>
        <v>0.13333333333333333</v>
      </c>
      <c r="N68" s="4">
        <f t="shared" si="22"/>
        <v>8</v>
      </c>
      <c r="O68" s="2">
        <v>1.6319444444444445E-3</v>
      </c>
      <c r="P68" s="9">
        <f t="shared" si="15"/>
        <v>472.35</v>
      </c>
      <c r="Q68" s="3">
        <f t="shared" si="23"/>
        <v>2.35</v>
      </c>
      <c r="R68" s="4">
        <f t="shared" si="24"/>
        <v>141</v>
      </c>
      <c r="S68" s="3">
        <f t="shared" si="25"/>
        <v>190</v>
      </c>
      <c r="T68" s="1">
        <v>0.94550000000000001</v>
      </c>
      <c r="U68" s="6">
        <f t="shared" si="16"/>
        <v>190.0455</v>
      </c>
    </row>
    <row r="69" spans="1:21" x14ac:dyDescent="0.35">
      <c r="A69">
        <v>68</v>
      </c>
      <c r="B69" s="5">
        <v>44264</v>
      </c>
      <c r="C69" s="4">
        <f t="shared" si="17"/>
        <v>2021</v>
      </c>
      <c r="D69" s="4">
        <f t="shared" si="18"/>
        <v>3</v>
      </c>
      <c r="E69" s="14">
        <v>44264</v>
      </c>
      <c r="F69" s="4">
        <f t="shared" si="19"/>
        <v>9</v>
      </c>
      <c r="G69">
        <v>43</v>
      </c>
      <c r="H69">
        <v>39</v>
      </c>
      <c r="I69" s="13">
        <f t="shared" si="20"/>
        <v>0.9</v>
      </c>
      <c r="J69">
        <f t="shared" si="13"/>
        <v>4</v>
      </c>
      <c r="K69" s="2">
        <v>1.273148148148148E-4</v>
      </c>
      <c r="L69" s="11">
        <f t="shared" si="14"/>
        <v>7.1499999999999995</v>
      </c>
      <c r="M69" s="3">
        <f t="shared" si="21"/>
        <v>0.18333333333333332</v>
      </c>
      <c r="N69" s="4">
        <f t="shared" si="22"/>
        <v>11</v>
      </c>
      <c r="O69" s="2">
        <v>1.5625000000000001E-3</v>
      </c>
      <c r="P69" s="9">
        <f t="shared" si="15"/>
        <v>87.75</v>
      </c>
      <c r="Q69" s="3">
        <f t="shared" si="23"/>
        <v>2.25</v>
      </c>
      <c r="R69" s="4">
        <f t="shared" si="24"/>
        <v>135</v>
      </c>
      <c r="S69" s="3">
        <f t="shared" si="25"/>
        <v>29</v>
      </c>
      <c r="T69" s="1">
        <v>0.76190000000000002</v>
      </c>
      <c r="U69" s="6">
        <f t="shared" si="16"/>
        <v>29.714100000000002</v>
      </c>
    </row>
    <row r="70" spans="1:21" x14ac:dyDescent="0.35">
      <c r="A70">
        <v>69</v>
      </c>
      <c r="B70" s="5">
        <v>44265</v>
      </c>
      <c r="C70" s="4">
        <f t="shared" si="17"/>
        <v>2021</v>
      </c>
      <c r="D70" s="4">
        <f t="shared" si="18"/>
        <v>3</v>
      </c>
      <c r="E70" s="14">
        <v>44265</v>
      </c>
      <c r="F70" s="4">
        <f t="shared" si="19"/>
        <v>10</v>
      </c>
      <c r="G70">
        <v>194</v>
      </c>
      <c r="H70">
        <v>187</v>
      </c>
      <c r="I70" s="13">
        <f t="shared" si="20"/>
        <v>0.96</v>
      </c>
      <c r="J70">
        <f t="shared" si="13"/>
        <v>7</v>
      </c>
      <c r="K70" s="2">
        <v>1.1574074074074075E-4</v>
      </c>
      <c r="L70" s="11">
        <f t="shared" si="14"/>
        <v>31.166666666666664</v>
      </c>
      <c r="M70" s="3">
        <f t="shared" si="21"/>
        <v>0.16666666666666666</v>
      </c>
      <c r="N70" s="4">
        <f t="shared" si="22"/>
        <v>10</v>
      </c>
      <c r="O70" s="2">
        <v>1.7013888888888888E-3</v>
      </c>
      <c r="P70" s="9">
        <f t="shared" si="15"/>
        <v>458.15000000000003</v>
      </c>
      <c r="Q70" s="3">
        <f t="shared" si="23"/>
        <v>2.4500000000000002</v>
      </c>
      <c r="R70" s="4">
        <f t="shared" si="24"/>
        <v>147</v>
      </c>
      <c r="S70" s="3">
        <f t="shared" si="25"/>
        <v>163</v>
      </c>
      <c r="T70" s="1">
        <v>0.87429999999999997</v>
      </c>
      <c r="U70" s="6">
        <f t="shared" si="16"/>
        <v>163.4941</v>
      </c>
    </row>
    <row r="71" spans="1:21" x14ac:dyDescent="0.35">
      <c r="A71">
        <v>70</v>
      </c>
      <c r="B71" s="5">
        <v>44266</v>
      </c>
      <c r="C71" s="4">
        <f t="shared" si="17"/>
        <v>2021</v>
      </c>
      <c r="D71" s="4">
        <f t="shared" si="18"/>
        <v>3</v>
      </c>
      <c r="E71" s="14">
        <v>44266</v>
      </c>
      <c r="F71" s="4">
        <f t="shared" si="19"/>
        <v>11</v>
      </c>
      <c r="G71">
        <v>202</v>
      </c>
      <c r="H71">
        <v>199</v>
      </c>
      <c r="I71" s="13">
        <f t="shared" si="20"/>
        <v>0.98</v>
      </c>
      <c r="J71">
        <f t="shared" si="13"/>
        <v>3</v>
      </c>
      <c r="K71" s="2">
        <v>1.5046296296296297E-4</v>
      </c>
      <c r="L71" s="11">
        <f t="shared" si="14"/>
        <v>43.116666666666667</v>
      </c>
      <c r="M71" s="3">
        <f t="shared" si="21"/>
        <v>0.21666666666666667</v>
      </c>
      <c r="N71" s="4">
        <f t="shared" si="22"/>
        <v>13</v>
      </c>
      <c r="O71" s="2">
        <v>1.6550925925925926E-3</v>
      </c>
      <c r="P71" s="9">
        <f t="shared" si="15"/>
        <v>474.2833333333333</v>
      </c>
      <c r="Q71" s="3">
        <f t="shared" si="23"/>
        <v>2.3833333333333333</v>
      </c>
      <c r="R71" s="4">
        <f t="shared" si="24"/>
        <v>143</v>
      </c>
      <c r="S71" s="3">
        <f t="shared" si="25"/>
        <v>171</v>
      </c>
      <c r="T71" s="1">
        <v>0.86070000000000002</v>
      </c>
      <c r="U71" s="6">
        <f t="shared" si="16"/>
        <v>171.27930000000001</v>
      </c>
    </row>
    <row r="72" spans="1:21" x14ac:dyDescent="0.35">
      <c r="A72">
        <v>71</v>
      </c>
      <c r="B72" s="5">
        <v>44267</v>
      </c>
      <c r="C72" s="4">
        <f t="shared" si="17"/>
        <v>2021</v>
      </c>
      <c r="D72" s="4">
        <f t="shared" si="18"/>
        <v>3</v>
      </c>
      <c r="E72" s="14">
        <v>44267</v>
      </c>
      <c r="F72" s="4">
        <f t="shared" si="19"/>
        <v>12</v>
      </c>
      <c r="G72">
        <v>146</v>
      </c>
      <c r="H72">
        <v>140</v>
      </c>
      <c r="I72" s="13">
        <f t="shared" si="20"/>
        <v>0.95</v>
      </c>
      <c r="J72">
        <f t="shared" si="13"/>
        <v>6</v>
      </c>
      <c r="K72" s="2">
        <v>1.3888888888888889E-4</v>
      </c>
      <c r="L72" s="11">
        <f t="shared" si="14"/>
        <v>28</v>
      </c>
      <c r="M72" s="3">
        <f t="shared" si="21"/>
        <v>0.2</v>
      </c>
      <c r="N72" s="4">
        <f t="shared" si="22"/>
        <v>12</v>
      </c>
      <c r="O72" s="2">
        <v>1.5393518518518519E-3</v>
      </c>
      <c r="P72" s="9">
        <f t="shared" si="15"/>
        <v>310.33333333333337</v>
      </c>
      <c r="Q72" s="3">
        <f t="shared" si="23"/>
        <v>2.2166666666666668</v>
      </c>
      <c r="R72" s="4">
        <f t="shared" si="24"/>
        <v>133</v>
      </c>
      <c r="S72" s="3">
        <f t="shared" si="25"/>
        <v>116</v>
      </c>
      <c r="T72" s="1">
        <v>0.83450000000000002</v>
      </c>
      <c r="U72" s="6">
        <f t="shared" si="16"/>
        <v>116.83</v>
      </c>
    </row>
    <row r="73" spans="1:21" x14ac:dyDescent="0.35">
      <c r="A73">
        <v>72</v>
      </c>
      <c r="B73" s="5">
        <v>44268</v>
      </c>
      <c r="C73" s="4">
        <f t="shared" si="17"/>
        <v>2021</v>
      </c>
      <c r="D73" s="4">
        <f t="shared" si="18"/>
        <v>3</v>
      </c>
      <c r="E73" s="14">
        <v>44268</v>
      </c>
      <c r="F73" s="4">
        <f t="shared" si="19"/>
        <v>13</v>
      </c>
      <c r="G73">
        <v>147</v>
      </c>
      <c r="H73">
        <v>145</v>
      </c>
      <c r="I73" s="13">
        <f t="shared" si="20"/>
        <v>0.98</v>
      </c>
      <c r="J73">
        <f t="shared" si="13"/>
        <v>2</v>
      </c>
      <c r="K73" s="2">
        <v>1.0416666666666667E-4</v>
      </c>
      <c r="L73" s="11">
        <f t="shared" si="14"/>
        <v>21.75</v>
      </c>
      <c r="M73" s="3">
        <f t="shared" si="21"/>
        <v>0.15</v>
      </c>
      <c r="N73" s="4">
        <f t="shared" si="22"/>
        <v>9</v>
      </c>
      <c r="O73" s="2">
        <v>1.5625000000000001E-3</v>
      </c>
      <c r="P73" s="9">
        <f t="shared" si="15"/>
        <v>326.25</v>
      </c>
      <c r="Q73" s="3">
        <f t="shared" si="23"/>
        <v>2.25</v>
      </c>
      <c r="R73" s="4">
        <f t="shared" si="24"/>
        <v>135</v>
      </c>
      <c r="S73" s="3">
        <f t="shared" si="25"/>
        <v>132</v>
      </c>
      <c r="T73" s="1">
        <v>0.91159999999999997</v>
      </c>
      <c r="U73" s="6">
        <f t="shared" si="16"/>
        <v>132.18199999999999</v>
      </c>
    </row>
    <row r="74" spans="1:21" x14ac:dyDescent="0.35">
      <c r="A74">
        <v>73</v>
      </c>
      <c r="B74" s="5">
        <v>44269</v>
      </c>
      <c r="C74" s="4">
        <f t="shared" si="17"/>
        <v>2021</v>
      </c>
      <c r="D74" s="4">
        <f t="shared" si="18"/>
        <v>3</v>
      </c>
      <c r="E74" s="14">
        <v>44269</v>
      </c>
      <c r="F74" s="4">
        <f t="shared" si="19"/>
        <v>14</v>
      </c>
      <c r="G74">
        <v>155</v>
      </c>
      <c r="H74">
        <v>145</v>
      </c>
      <c r="I74" s="13">
        <f t="shared" si="20"/>
        <v>0.93</v>
      </c>
      <c r="J74">
        <f t="shared" si="13"/>
        <v>10</v>
      </c>
      <c r="K74" s="2">
        <v>1.3888888888888889E-4</v>
      </c>
      <c r="L74" s="11">
        <f t="shared" si="14"/>
        <v>29</v>
      </c>
      <c r="M74" s="3">
        <f t="shared" si="21"/>
        <v>0.2</v>
      </c>
      <c r="N74" s="4">
        <f t="shared" si="22"/>
        <v>12</v>
      </c>
      <c r="O74" s="2">
        <v>1.7708333333333332E-3</v>
      </c>
      <c r="P74" s="9">
        <f t="shared" si="15"/>
        <v>369.75</v>
      </c>
      <c r="Q74" s="3">
        <f t="shared" si="23"/>
        <v>2.5499999999999998</v>
      </c>
      <c r="R74" s="4">
        <f t="shared" si="24"/>
        <v>153</v>
      </c>
      <c r="S74" s="3">
        <f t="shared" si="25"/>
        <v>119</v>
      </c>
      <c r="T74" s="1">
        <v>0.82240000000000002</v>
      </c>
      <c r="U74" s="6">
        <f t="shared" si="16"/>
        <v>119.248</v>
      </c>
    </row>
    <row r="75" spans="1:21" x14ac:dyDescent="0.35">
      <c r="A75">
        <v>74</v>
      </c>
      <c r="B75" s="5">
        <v>44270</v>
      </c>
      <c r="C75" s="4">
        <f t="shared" si="17"/>
        <v>2021</v>
      </c>
      <c r="D75" s="4">
        <f t="shared" si="18"/>
        <v>3</v>
      </c>
      <c r="E75" s="14">
        <v>44270</v>
      </c>
      <c r="F75" s="4">
        <f t="shared" si="19"/>
        <v>15</v>
      </c>
      <c r="G75">
        <v>157</v>
      </c>
      <c r="H75">
        <v>156</v>
      </c>
      <c r="I75" s="13">
        <f t="shared" si="20"/>
        <v>0.99</v>
      </c>
      <c r="J75">
        <f t="shared" si="13"/>
        <v>1</v>
      </c>
      <c r="K75" s="2">
        <v>1.0416666666666667E-4</v>
      </c>
      <c r="L75" s="11">
        <f t="shared" si="14"/>
        <v>23.4</v>
      </c>
      <c r="M75" s="3">
        <f t="shared" si="21"/>
        <v>0.15</v>
      </c>
      <c r="N75" s="4">
        <f t="shared" si="22"/>
        <v>9</v>
      </c>
      <c r="O75" s="2">
        <v>1.6666666666666668E-3</v>
      </c>
      <c r="P75" s="9">
        <f t="shared" si="15"/>
        <v>374.4</v>
      </c>
      <c r="Q75" s="3">
        <f t="shared" si="23"/>
        <v>2.4</v>
      </c>
      <c r="R75" s="4">
        <f t="shared" si="24"/>
        <v>144</v>
      </c>
      <c r="S75" s="3">
        <f t="shared" si="25"/>
        <v>145</v>
      </c>
      <c r="T75" s="1">
        <v>0.92949999999999999</v>
      </c>
      <c r="U75" s="6">
        <f t="shared" si="16"/>
        <v>145.00200000000001</v>
      </c>
    </row>
    <row r="76" spans="1:21" x14ac:dyDescent="0.35">
      <c r="A76">
        <v>75</v>
      </c>
      <c r="B76" s="5">
        <v>44271</v>
      </c>
      <c r="C76" s="4">
        <f t="shared" si="17"/>
        <v>2021</v>
      </c>
      <c r="D76" s="4">
        <f t="shared" si="18"/>
        <v>3</v>
      </c>
      <c r="E76" s="14">
        <v>44271</v>
      </c>
      <c r="F76" s="4">
        <f t="shared" si="19"/>
        <v>16</v>
      </c>
      <c r="G76">
        <v>38</v>
      </c>
      <c r="H76">
        <v>36</v>
      </c>
      <c r="I76" s="13">
        <f t="shared" si="20"/>
        <v>0.94</v>
      </c>
      <c r="J76">
        <f t="shared" si="13"/>
        <v>2</v>
      </c>
      <c r="K76" s="2">
        <v>1.5046296296296297E-4</v>
      </c>
      <c r="L76" s="11">
        <f t="shared" si="14"/>
        <v>7.8000000000000007</v>
      </c>
      <c r="M76" s="3">
        <f t="shared" si="21"/>
        <v>0.21666666666666667</v>
      </c>
      <c r="N76" s="4">
        <f t="shared" si="22"/>
        <v>13</v>
      </c>
      <c r="O76" s="2">
        <v>1.5162037037037036E-3</v>
      </c>
      <c r="P76" s="9">
        <f t="shared" si="15"/>
        <v>78.599999999999994</v>
      </c>
      <c r="Q76" s="3">
        <f t="shared" si="23"/>
        <v>2.1833333333333331</v>
      </c>
      <c r="R76" s="4">
        <f t="shared" si="24"/>
        <v>131</v>
      </c>
      <c r="S76" s="3">
        <f t="shared" si="25"/>
        <v>30</v>
      </c>
      <c r="T76" s="1">
        <v>0.83779999999999999</v>
      </c>
      <c r="U76" s="6">
        <f t="shared" si="16"/>
        <v>30.160799999999998</v>
      </c>
    </row>
    <row r="77" spans="1:21" x14ac:dyDescent="0.35">
      <c r="A77">
        <v>76</v>
      </c>
      <c r="B77" s="5">
        <v>44272</v>
      </c>
      <c r="C77" s="4">
        <f t="shared" si="17"/>
        <v>2021</v>
      </c>
      <c r="D77" s="4">
        <f t="shared" si="18"/>
        <v>3</v>
      </c>
      <c r="E77" s="14">
        <v>44272</v>
      </c>
      <c r="F77" s="4">
        <f t="shared" si="19"/>
        <v>17</v>
      </c>
      <c r="G77">
        <v>166</v>
      </c>
      <c r="H77">
        <v>162</v>
      </c>
      <c r="I77" s="13">
        <f t="shared" si="20"/>
        <v>0.97</v>
      </c>
      <c r="J77">
        <f t="shared" si="13"/>
        <v>4</v>
      </c>
      <c r="K77" s="2">
        <v>1.0416666666666667E-4</v>
      </c>
      <c r="L77" s="11">
        <f t="shared" si="14"/>
        <v>24.3</v>
      </c>
      <c r="M77" s="3">
        <f t="shared" si="21"/>
        <v>0.15</v>
      </c>
      <c r="N77" s="4">
        <f t="shared" si="22"/>
        <v>9</v>
      </c>
      <c r="O77" s="2">
        <v>1.724537037037037E-3</v>
      </c>
      <c r="P77" s="9">
        <f t="shared" si="15"/>
        <v>402.3</v>
      </c>
      <c r="Q77" s="3">
        <f t="shared" si="23"/>
        <v>2.4833333333333334</v>
      </c>
      <c r="R77" s="4">
        <f t="shared" si="24"/>
        <v>149</v>
      </c>
      <c r="S77" s="3">
        <f t="shared" si="25"/>
        <v>144</v>
      </c>
      <c r="T77" s="1">
        <v>0.89090000000000003</v>
      </c>
      <c r="U77" s="6">
        <f t="shared" si="16"/>
        <v>144.32580000000002</v>
      </c>
    </row>
    <row r="78" spans="1:21" x14ac:dyDescent="0.35">
      <c r="A78">
        <v>77</v>
      </c>
      <c r="B78" s="5">
        <v>44273</v>
      </c>
      <c r="C78" s="4">
        <f t="shared" si="17"/>
        <v>2021</v>
      </c>
      <c r="D78" s="4">
        <f t="shared" si="18"/>
        <v>3</v>
      </c>
      <c r="E78" s="14">
        <v>44273</v>
      </c>
      <c r="F78" s="4">
        <f t="shared" si="19"/>
        <v>18</v>
      </c>
      <c r="G78">
        <v>226</v>
      </c>
      <c r="H78">
        <v>216</v>
      </c>
      <c r="I78" s="13">
        <f t="shared" si="20"/>
        <v>0.95</v>
      </c>
      <c r="J78">
        <f t="shared" si="13"/>
        <v>10</v>
      </c>
      <c r="K78" s="2">
        <v>1.5046296296296297E-4</v>
      </c>
      <c r="L78" s="11">
        <f t="shared" si="14"/>
        <v>46.800000000000004</v>
      </c>
      <c r="M78" s="3">
        <f t="shared" si="21"/>
        <v>0.21666666666666667</v>
      </c>
      <c r="N78" s="4">
        <f t="shared" si="22"/>
        <v>13</v>
      </c>
      <c r="O78" s="2">
        <v>1.5625000000000001E-3</v>
      </c>
      <c r="P78" s="9">
        <f t="shared" si="15"/>
        <v>486</v>
      </c>
      <c r="Q78" s="3">
        <f t="shared" si="23"/>
        <v>2.25</v>
      </c>
      <c r="R78" s="4">
        <f t="shared" si="24"/>
        <v>135</v>
      </c>
      <c r="S78" s="3">
        <f t="shared" si="25"/>
        <v>175</v>
      </c>
      <c r="T78" s="1">
        <v>0.8145</v>
      </c>
      <c r="U78" s="6">
        <f t="shared" si="16"/>
        <v>175.93199999999999</v>
      </c>
    </row>
    <row r="79" spans="1:21" x14ac:dyDescent="0.35">
      <c r="A79">
        <v>78</v>
      </c>
      <c r="B79" s="5">
        <v>44274</v>
      </c>
      <c r="C79" s="4">
        <f t="shared" si="17"/>
        <v>2021</v>
      </c>
      <c r="D79" s="4">
        <f t="shared" si="18"/>
        <v>3</v>
      </c>
      <c r="E79" s="14">
        <v>44274</v>
      </c>
      <c r="F79" s="4">
        <f t="shared" si="19"/>
        <v>19</v>
      </c>
      <c r="G79">
        <v>253</v>
      </c>
      <c r="H79">
        <v>247</v>
      </c>
      <c r="I79" s="13">
        <f t="shared" si="20"/>
        <v>0.97</v>
      </c>
      <c r="J79">
        <f t="shared" si="13"/>
        <v>6</v>
      </c>
      <c r="K79" s="2">
        <v>1.1574074074074075E-4</v>
      </c>
      <c r="L79" s="11">
        <f t="shared" si="14"/>
        <v>41.166666666666664</v>
      </c>
      <c r="M79" s="3">
        <f t="shared" si="21"/>
        <v>0.16666666666666666</v>
      </c>
      <c r="N79" s="4">
        <f t="shared" si="22"/>
        <v>10</v>
      </c>
      <c r="O79" s="2">
        <v>1.3194444444444445E-3</v>
      </c>
      <c r="P79" s="9">
        <f t="shared" si="15"/>
        <v>469.29999999999995</v>
      </c>
      <c r="Q79" s="3">
        <f t="shared" si="23"/>
        <v>1.9</v>
      </c>
      <c r="R79" s="4">
        <f t="shared" si="24"/>
        <v>114</v>
      </c>
      <c r="S79" s="3">
        <f t="shared" si="25"/>
        <v>218</v>
      </c>
      <c r="T79" s="1">
        <v>0.88490000000000002</v>
      </c>
      <c r="U79" s="6">
        <f t="shared" si="16"/>
        <v>218.5703</v>
      </c>
    </row>
    <row r="80" spans="1:21" x14ac:dyDescent="0.35">
      <c r="A80">
        <v>79</v>
      </c>
      <c r="B80" s="5">
        <v>44275</v>
      </c>
      <c r="C80" s="4">
        <f t="shared" si="17"/>
        <v>2021</v>
      </c>
      <c r="D80" s="4">
        <f t="shared" si="18"/>
        <v>3</v>
      </c>
      <c r="E80" s="14">
        <v>44275</v>
      </c>
      <c r="F80" s="4">
        <f t="shared" si="19"/>
        <v>20</v>
      </c>
      <c r="G80">
        <v>134</v>
      </c>
      <c r="H80">
        <v>134</v>
      </c>
      <c r="I80" s="13">
        <f t="shared" si="20"/>
        <v>1</v>
      </c>
      <c r="J80">
        <f t="shared" si="13"/>
        <v>0</v>
      </c>
      <c r="K80" s="2">
        <v>3.4722222222222222E-5</v>
      </c>
      <c r="L80" s="11">
        <f t="shared" si="14"/>
        <v>6.7</v>
      </c>
      <c r="M80" s="3">
        <f t="shared" si="21"/>
        <v>0.05</v>
      </c>
      <c r="N80" s="4">
        <f t="shared" si="22"/>
        <v>3</v>
      </c>
      <c r="O80" s="2">
        <v>1.5393518518518519E-3</v>
      </c>
      <c r="P80" s="9">
        <f t="shared" si="15"/>
        <v>297.03333333333336</v>
      </c>
      <c r="Q80" s="3">
        <f t="shared" si="23"/>
        <v>2.2166666666666668</v>
      </c>
      <c r="R80" s="4">
        <f t="shared" si="24"/>
        <v>133</v>
      </c>
      <c r="S80" s="3">
        <f t="shared" si="25"/>
        <v>134</v>
      </c>
      <c r="T80" s="1">
        <v>1</v>
      </c>
      <c r="U80" s="6">
        <f t="shared" si="16"/>
        <v>134</v>
      </c>
    </row>
    <row r="81" spans="1:21" x14ac:dyDescent="0.35">
      <c r="A81">
        <v>80</v>
      </c>
      <c r="B81" s="5">
        <v>44276</v>
      </c>
      <c r="C81" s="4">
        <f t="shared" si="17"/>
        <v>2021</v>
      </c>
      <c r="D81" s="4">
        <f t="shared" si="18"/>
        <v>3</v>
      </c>
      <c r="E81" s="14">
        <v>44276</v>
      </c>
      <c r="F81" s="4">
        <f t="shared" si="19"/>
        <v>21</v>
      </c>
      <c r="G81">
        <v>70</v>
      </c>
      <c r="H81">
        <v>67</v>
      </c>
      <c r="I81" s="13">
        <f t="shared" si="20"/>
        <v>0.95</v>
      </c>
      <c r="J81">
        <f t="shared" si="13"/>
        <v>3</v>
      </c>
      <c r="K81" s="2">
        <v>1.3888888888888889E-4</v>
      </c>
      <c r="L81" s="11">
        <f t="shared" si="14"/>
        <v>13.4</v>
      </c>
      <c r="M81" s="3">
        <f t="shared" si="21"/>
        <v>0.2</v>
      </c>
      <c r="N81" s="4">
        <f t="shared" si="22"/>
        <v>12</v>
      </c>
      <c r="O81" s="2">
        <v>1.4004629629629629E-3</v>
      </c>
      <c r="P81" s="9">
        <f t="shared" si="15"/>
        <v>135.11666666666667</v>
      </c>
      <c r="Q81" s="3">
        <f t="shared" si="23"/>
        <v>2.0166666666666666</v>
      </c>
      <c r="R81" s="4">
        <f t="shared" si="24"/>
        <v>121</v>
      </c>
      <c r="S81" s="3">
        <f t="shared" si="25"/>
        <v>56</v>
      </c>
      <c r="T81" s="1">
        <v>0.83819999999999995</v>
      </c>
      <c r="U81" s="6">
        <f t="shared" si="16"/>
        <v>56.159399999999998</v>
      </c>
    </row>
    <row r="82" spans="1:21" x14ac:dyDescent="0.35">
      <c r="A82">
        <v>81</v>
      </c>
      <c r="B82" s="5">
        <v>44277</v>
      </c>
      <c r="C82" s="4">
        <f t="shared" si="17"/>
        <v>2021</v>
      </c>
      <c r="D82" s="4">
        <f t="shared" si="18"/>
        <v>3</v>
      </c>
      <c r="E82" s="14">
        <v>44277</v>
      </c>
      <c r="F82" s="4">
        <f t="shared" si="19"/>
        <v>22</v>
      </c>
      <c r="G82">
        <v>83</v>
      </c>
      <c r="H82">
        <v>82</v>
      </c>
      <c r="I82" s="13">
        <f t="shared" si="20"/>
        <v>0.98</v>
      </c>
      <c r="J82">
        <f t="shared" si="13"/>
        <v>1</v>
      </c>
      <c r="K82" s="2">
        <v>8.1018518518518516E-5</v>
      </c>
      <c r="L82" s="11">
        <f t="shared" si="14"/>
        <v>9.5666666666666664</v>
      </c>
      <c r="M82" s="3">
        <f t="shared" si="21"/>
        <v>0.11666666666666667</v>
      </c>
      <c r="N82" s="4">
        <f t="shared" si="22"/>
        <v>7</v>
      </c>
      <c r="O82" s="2">
        <v>1.4236111111111112E-3</v>
      </c>
      <c r="P82" s="9">
        <f t="shared" si="15"/>
        <v>168.1</v>
      </c>
      <c r="Q82" s="3">
        <f t="shared" si="23"/>
        <v>2.0499999999999998</v>
      </c>
      <c r="R82" s="4">
        <f t="shared" si="24"/>
        <v>122.99999999999999</v>
      </c>
      <c r="S82" s="3">
        <f t="shared" si="25"/>
        <v>78</v>
      </c>
      <c r="T82" s="1">
        <v>0.95179999999999998</v>
      </c>
      <c r="U82" s="6">
        <f t="shared" si="16"/>
        <v>78.047600000000003</v>
      </c>
    </row>
    <row r="83" spans="1:21" x14ac:dyDescent="0.35">
      <c r="A83">
        <v>82</v>
      </c>
      <c r="B83" s="5">
        <v>44278</v>
      </c>
      <c r="C83" s="4">
        <f t="shared" si="17"/>
        <v>2021</v>
      </c>
      <c r="D83" s="4">
        <f t="shared" si="18"/>
        <v>3</v>
      </c>
      <c r="E83" s="14">
        <v>44278</v>
      </c>
      <c r="F83" s="4">
        <f t="shared" si="19"/>
        <v>23</v>
      </c>
      <c r="G83">
        <v>42</v>
      </c>
      <c r="H83">
        <v>40</v>
      </c>
      <c r="I83" s="13">
        <f t="shared" si="20"/>
        <v>0.95</v>
      </c>
      <c r="J83">
        <f t="shared" si="13"/>
        <v>2</v>
      </c>
      <c r="K83" s="2">
        <v>9.2592592592592588E-5</v>
      </c>
      <c r="L83" s="11">
        <f t="shared" si="14"/>
        <v>5.333333333333333</v>
      </c>
      <c r="M83" s="3">
        <f t="shared" si="21"/>
        <v>0.13333333333333333</v>
      </c>
      <c r="N83" s="4">
        <f t="shared" si="22"/>
        <v>8</v>
      </c>
      <c r="O83" s="2">
        <v>1.2847222222222223E-3</v>
      </c>
      <c r="P83" s="9">
        <f t="shared" si="15"/>
        <v>74</v>
      </c>
      <c r="Q83" s="3">
        <f t="shared" si="23"/>
        <v>1.85</v>
      </c>
      <c r="R83" s="4">
        <f t="shared" si="24"/>
        <v>111</v>
      </c>
      <c r="S83" s="3">
        <f t="shared" si="25"/>
        <v>36</v>
      </c>
      <c r="T83" s="1">
        <v>0.90239999999999998</v>
      </c>
      <c r="U83" s="6">
        <f t="shared" si="16"/>
        <v>36.095999999999997</v>
      </c>
    </row>
    <row r="84" spans="1:21" x14ac:dyDescent="0.35">
      <c r="A84">
        <v>83</v>
      </c>
      <c r="B84" s="5">
        <v>44279</v>
      </c>
      <c r="C84" s="4">
        <f t="shared" si="17"/>
        <v>2021</v>
      </c>
      <c r="D84" s="4">
        <f t="shared" si="18"/>
        <v>3</v>
      </c>
      <c r="E84" s="14">
        <v>44279</v>
      </c>
      <c r="F84" s="4">
        <f t="shared" si="19"/>
        <v>24</v>
      </c>
      <c r="G84">
        <v>66</v>
      </c>
      <c r="H84">
        <v>64</v>
      </c>
      <c r="I84" s="13">
        <f t="shared" si="20"/>
        <v>0.96</v>
      </c>
      <c r="J84">
        <f t="shared" si="13"/>
        <v>2</v>
      </c>
      <c r="K84" s="2">
        <v>5.7870370370370373E-5</v>
      </c>
      <c r="L84" s="11">
        <f t="shared" si="14"/>
        <v>5.333333333333333</v>
      </c>
      <c r="M84" s="3">
        <f t="shared" si="21"/>
        <v>8.3333333333333329E-2</v>
      </c>
      <c r="N84" s="4">
        <f t="shared" si="22"/>
        <v>5</v>
      </c>
      <c r="O84" s="2">
        <v>1.3888888888888889E-3</v>
      </c>
      <c r="P84" s="9">
        <f t="shared" si="15"/>
        <v>128</v>
      </c>
      <c r="Q84" s="3">
        <f t="shared" si="23"/>
        <v>2</v>
      </c>
      <c r="R84" s="4">
        <f t="shared" si="24"/>
        <v>120</v>
      </c>
      <c r="S84" s="3">
        <f t="shared" si="25"/>
        <v>61</v>
      </c>
      <c r="T84" s="1">
        <v>0.95450000000000002</v>
      </c>
      <c r="U84" s="6">
        <f t="shared" si="16"/>
        <v>61.088000000000001</v>
      </c>
    </row>
    <row r="85" spans="1:21" x14ac:dyDescent="0.35">
      <c r="A85">
        <v>84</v>
      </c>
      <c r="B85" s="5">
        <v>44280</v>
      </c>
      <c r="C85" s="4">
        <f t="shared" si="17"/>
        <v>2021</v>
      </c>
      <c r="D85" s="4">
        <f t="shared" si="18"/>
        <v>3</v>
      </c>
      <c r="E85" s="14">
        <v>44280</v>
      </c>
      <c r="F85" s="4">
        <f t="shared" si="19"/>
        <v>25</v>
      </c>
      <c r="G85">
        <v>153</v>
      </c>
      <c r="H85">
        <v>146</v>
      </c>
      <c r="I85" s="13">
        <f t="shared" si="20"/>
        <v>0.95</v>
      </c>
      <c r="J85">
        <f t="shared" si="13"/>
        <v>7</v>
      </c>
      <c r="K85" s="2">
        <v>2.3148148148148149E-4</v>
      </c>
      <c r="L85" s="11">
        <f t="shared" si="14"/>
        <v>48.666666666666664</v>
      </c>
      <c r="M85" s="3">
        <f t="shared" si="21"/>
        <v>0.33333333333333331</v>
      </c>
      <c r="N85" s="4">
        <f t="shared" si="22"/>
        <v>20</v>
      </c>
      <c r="O85" s="2">
        <v>1.4814814814814814E-3</v>
      </c>
      <c r="P85" s="9">
        <f t="shared" si="15"/>
        <v>311.46666666666664</v>
      </c>
      <c r="Q85" s="3">
        <f t="shared" si="23"/>
        <v>2.1333333333333333</v>
      </c>
      <c r="R85" s="4">
        <f t="shared" si="24"/>
        <v>128</v>
      </c>
      <c r="S85" s="3">
        <f t="shared" si="25"/>
        <v>110</v>
      </c>
      <c r="T85" s="1">
        <v>0.76</v>
      </c>
      <c r="U85" s="6">
        <f t="shared" si="16"/>
        <v>110.96000000000001</v>
      </c>
    </row>
    <row r="86" spans="1:21" x14ac:dyDescent="0.35">
      <c r="A86">
        <v>85</v>
      </c>
      <c r="B86" s="5">
        <v>44281</v>
      </c>
      <c r="C86" s="4">
        <f t="shared" si="17"/>
        <v>2021</v>
      </c>
      <c r="D86" s="4">
        <f t="shared" si="18"/>
        <v>3</v>
      </c>
      <c r="E86" s="14">
        <v>44281</v>
      </c>
      <c r="F86" s="4">
        <f t="shared" si="19"/>
        <v>26</v>
      </c>
      <c r="G86">
        <v>141</v>
      </c>
      <c r="H86">
        <v>135</v>
      </c>
      <c r="I86" s="13">
        <f t="shared" si="20"/>
        <v>0.95</v>
      </c>
      <c r="J86">
        <f t="shared" si="13"/>
        <v>6</v>
      </c>
      <c r="K86" s="2">
        <v>2.6620370370370372E-4</v>
      </c>
      <c r="L86" s="11">
        <f t="shared" si="14"/>
        <v>51.75</v>
      </c>
      <c r="M86" s="3">
        <f t="shared" si="21"/>
        <v>0.38333333333333336</v>
      </c>
      <c r="N86" s="4">
        <f t="shared" si="22"/>
        <v>23</v>
      </c>
      <c r="O86" s="2">
        <v>1.4583333333333334E-3</v>
      </c>
      <c r="P86" s="9">
        <f t="shared" si="15"/>
        <v>283.5</v>
      </c>
      <c r="Q86" s="3">
        <f t="shared" si="23"/>
        <v>2.1</v>
      </c>
      <c r="R86" s="4">
        <f t="shared" si="24"/>
        <v>126</v>
      </c>
      <c r="S86" s="3">
        <f t="shared" si="25"/>
        <v>90</v>
      </c>
      <c r="T86" s="1">
        <v>0.66910000000000003</v>
      </c>
      <c r="U86" s="6">
        <f t="shared" si="16"/>
        <v>90.328500000000005</v>
      </c>
    </row>
    <row r="87" spans="1:21" x14ac:dyDescent="0.35">
      <c r="A87">
        <v>86</v>
      </c>
      <c r="B87" s="5">
        <v>44282</v>
      </c>
      <c r="C87" s="4">
        <f t="shared" si="17"/>
        <v>2021</v>
      </c>
      <c r="D87" s="4">
        <f t="shared" si="18"/>
        <v>3</v>
      </c>
      <c r="E87" s="14">
        <v>44282</v>
      </c>
      <c r="F87" s="4">
        <f t="shared" si="19"/>
        <v>27</v>
      </c>
      <c r="G87">
        <v>146</v>
      </c>
      <c r="H87">
        <v>143</v>
      </c>
      <c r="I87" s="13">
        <f t="shared" si="20"/>
        <v>0.97</v>
      </c>
      <c r="J87">
        <f t="shared" si="13"/>
        <v>3</v>
      </c>
      <c r="K87" s="2">
        <v>1.9675925925925926E-4</v>
      </c>
      <c r="L87" s="11">
        <f t="shared" si="14"/>
        <v>40.516666666666666</v>
      </c>
      <c r="M87" s="3">
        <f t="shared" si="21"/>
        <v>0.28333333333333333</v>
      </c>
      <c r="N87" s="4">
        <f t="shared" si="22"/>
        <v>17</v>
      </c>
      <c r="O87" s="2">
        <v>1.3541666666666667E-3</v>
      </c>
      <c r="P87" s="9">
        <f t="shared" si="15"/>
        <v>278.84999999999997</v>
      </c>
      <c r="Q87" s="3">
        <f t="shared" si="23"/>
        <v>1.95</v>
      </c>
      <c r="R87" s="4">
        <f t="shared" si="24"/>
        <v>117</v>
      </c>
      <c r="S87" s="3">
        <f t="shared" si="25"/>
        <v>111</v>
      </c>
      <c r="T87" s="1">
        <v>0.78320000000000001</v>
      </c>
      <c r="U87" s="6">
        <f t="shared" si="16"/>
        <v>111.99760000000001</v>
      </c>
    </row>
    <row r="88" spans="1:21" x14ac:dyDescent="0.35">
      <c r="A88">
        <v>87</v>
      </c>
      <c r="B88" s="5">
        <v>44283</v>
      </c>
      <c r="C88" s="4">
        <f t="shared" si="17"/>
        <v>2021</v>
      </c>
      <c r="D88" s="4">
        <f t="shared" si="18"/>
        <v>3</v>
      </c>
      <c r="E88" s="14">
        <v>44283</v>
      </c>
      <c r="F88" s="4">
        <f t="shared" si="19"/>
        <v>28</v>
      </c>
      <c r="G88">
        <v>144</v>
      </c>
      <c r="H88">
        <v>140</v>
      </c>
      <c r="I88" s="13">
        <f t="shared" si="20"/>
        <v>0.97</v>
      </c>
      <c r="J88">
        <f t="shared" si="13"/>
        <v>4</v>
      </c>
      <c r="K88" s="2">
        <v>1.3888888888888889E-4</v>
      </c>
      <c r="L88" s="11">
        <f t="shared" si="14"/>
        <v>28</v>
      </c>
      <c r="M88" s="3">
        <f t="shared" si="21"/>
        <v>0.2</v>
      </c>
      <c r="N88" s="4">
        <f t="shared" si="22"/>
        <v>12</v>
      </c>
      <c r="O88" s="2">
        <v>1.3078703703703703E-3</v>
      </c>
      <c r="P88" s="9">
        <f t="shared" si="15"/>
        <v>263.66666666666669</v>
      </c>
      <c r="Q88" s="3">
        <f t="shared" si="23"/>
        <v>1.8833333333333333</v>
      </c>
      <c r="R88" s="4">
        <f t="shared" si="24"/>
        <v>113</v>
      </c>
      <c r="S88" s="3">
        <f t="shared" si="25"/>
        <v>117</v>
      </c>
      <c r="T88" s="1">
        <v>0.84030000000000005</v>
      </c>
      <c r="U88" s="6">
        <f t="shared" si="16"/>
        <v>117.64200000000001</v>
      </c>
    </row>
    <row r="89" spans="1:21" x14ac:dyDescent="0.35">
      <c r="A89">
        <v>88</v>
      </c>
      <c r="B89" s="5">
        <v>44284</v>
      </c>
      <c r="C89" s="4">
        <f t="shared" si="17"/>
        <v>2021</v>
      </c>
      <c r="D89" s="4">
        <f t="shared" si="18"/>
        <v>3</v>
      </c>
      <c r="E89" s="14">
        <v>44284</v>
      </c>
      <c r="F89" s="4">
        <f t="shared" si="19"/>
        <v>29</v>
      </c>
      <c r="G89">
        <v>105</v>
      </c>
      <c r="H89">
        <v>103</v>
      </c>
      <c r="I89" s="13">
        <f t="shared" si="20"/>
        <v>0.98</v>
      </c>
      <c r="J89">
        <f t="shared" si="13"/>
        <v>2</v>
      </c>
      <c r="K89" s="2">
        <v>1.9675925925925926E-4</v>
      </c>
      <c r="L89" s="11">
        <f t="shared" si="14"/>
        <v>29.183333333333334</v>
      </c>
      <c r="M89" s="3">
        <f t="shared" si="21"/>
        <v>0.28333333333333333</v>
      </c>
      <c r="N89" s="4">
        <f t="shared" si="22"/>
        <v>17</v>
      </c>
      <c r="O89" s="2">
        <v>1.3310185185185185E-3</v>
      </c>
      <c r="P89" s="9">
        <f t="shared" si="15"/>
        <v>197.41666666666666</v>
      </c>
      <c r="Q89" s="3">
        <f t="shared" si="23"/>
        <v>1.9166666666666665</v>
      </c>
      <c r="R89" s="4">
        <f t="shared" si="24"/>
        <v>114.99999999999999</v>
      </c>
      <c r="S89" s="3">
        <f t="shared" si="25"/>
        <v>78</v>
      </c>
      <c r="T89" s="1">
        <v>0.76190000000000002</v>
      </c>
      <c r="U89" s="6">
        <f t="shared" si="16"/>
        <v>78.475700000000003</v>
      </c>
    </row>
    <row r="90" spans="1:21" x14ac:dyDescent="0.35">
      <c r="A90">
        <v>89</v>
      </c>
      <c r="B90" s="5">
        <v>44285</v>
      </c>
      <c r="C90" s="4">
        <f t="shared" si="17"/>
        <v>2021</v>
      </c>
      <c r="D90" s="4">
        <f t="shared" si="18"/>
        <v>3</v>
      </c>
      <c r="E90" s="14">
        <v>44285</v>
      </c>
      <c r="F90" s="4">
        <f t="shared" si="19"/>
        <v>30</v>
      </c>
      <c r="G90">
        <v>36</v>
      </c>
      <c r="H90">
        <v>35</v>
      </c>
      <c r="I90" s="13">
        <f t="shared" si="20"/>
        <v>0.97</v>
      </c>
      <c r="J90">
        <f t="shared" si="13"/>
        <v>1</v>
      </c>
      <c r="K90" s="2">
        <v>1.8518518518518518E-4</v>
      </c>
      <c r="L90" s="11">
        <f t="shared" si="14"/>
        <v>9.3333333333333339</v>
      </c>
      <c r="M90" s="3">
        <f t="shared" si="21"/>
        <v>0.26666666666666666</v>
      </c>
      <c r="N90" s="4">
        <f t="shared" si="22"/>
        <v>16</v>
      </c>
      <c r="O90" s="2">
        <v>1.3194444444444445E-3</v>
      </c>
      <c r="P90" s="9">
        <f t="shared" si="15"/>
        <v>66.5</v>
      </c>
      <c r="Q90" s="3">
        <f t="shared" si="23"/>
        <v>1.9</v>
      </c>
      <c r="R90" s="4">
        <f t="shared" si="24"/>
        <v>114</v>
      </c>
      <c r="S90" s="3">
        <f t="shared" si="25"/>
        <v>26</v>
      </c>
      <c r="T90" s="1">
        <v>0.77139999999999997</v>
      </c>
      <c r="U90" s="6">
        <f t="shared" si="16"/>
        <v>26.998999999999999</v>
      </c>
    </row>
    <row r="91" spans="1:21" x14ac:dyDescent="0.35">
      <c r="A91">
        <v>90</v>
      </c>
      <c r="B91" s="5">
        <v>44286</v>
      </c>
      <c r="C91" s="4">
        <f t="shared" si="17"/>
        <v>2021</v>
      </c>
      <c r="D91" s="4">
        <f t="shared" si="18"/>
        <v>3</v>
      </c>
      <c r="E91" s="14">
        <v>44286</v>
      </c>
      <c r="F91" s="4">
        <f t="shared" si="19"/>
        <v>31</v>
      </c>
      <c r="G91">
        <v>61</v>
      </c>
      <c r="H91">
        <v>57</v>
      </c>
      <c r="I91" s="13">
        <f t="shared" si="20"/>
        <v>0.93</v>
      </c>
      <c r="J91">
        <f t="shared" si="13"/>
        <v>4</v>
      </c>
      <c r="K91" s="2">
        <v>4.6296296296296294E-5</v>
      </c>
      <c r="L91" s="11">
        <f t="shared" si="14"/>
        <v>3.8</v>
      </c>
      <c r="M91" s="3">
        <f t="shared" si="21"/>
        <v>6.6666666666666666E-2</v>
      </c>
      <c r="N91" s="4">
        <f t="shared" si="22"/>
        <v>4</v>
      </c>
      <c r="O91" s="2">
        <v>1.3888888888888889E-3</v>
      </c>
      <c r="P91" s="9">
        <f t="shared" si="15"/>
        <v>114</v>
      </c>
      <c r="Q91" s="3">
        <f t="shared" si="23"/>
        <v>2</v>
      </c>
      <c r="R91" s="4">
        <f t="shared" si="24"/>
        <v>120</v>
      </c>
      <c r="S91" s="3">
        <f t="shared" si="25"/>
        <v>52</v>
      </c>
      <c r="T91" s="1">
        <v>0.91669999999999996</v>
      </c>
      <c r="U91" s="6">
        <f t="shared" si="16"/>
        <v>52.251899999999999</v>
      </c>
    </row>
    <row r="92" spans="1:21" x14ac:dyDescent="0.35">
      <c r="A92">
        <v>91</v>
      </c>
      <c r="B92" s="5">
        <v>44287</v>
      </c>
      <c r="C92" s="4">
        <f t="shared" si="17"/>
        <v>2021</v>
      </c>
      <c r="D92" s="4">
        <f t="shared" si="18"/>
        <v>4</v>
      </c>
      <c r="E92" s="14">
        <v>44287</v>
      </c>
      <c r="F92" s="4">
        <f t="shared" si="19"/>
        <v>1</v>
      </c>
      <c r="G92">
        <v>60</v>
      </c>
      <c r="H92">
        <v>58</v>
      </c>
      <c r="I92" s="13">
        <f t="shared" si="20"/>
        <v>0.96</v>
      </c>
      <c r="J92">
        <f t="shared" si="13"/>
        <v>2</v>
      </c>
      <c r="K92" s="2">
        <v>1.273148148148148E-4</v>
      </c>
      <c r="L92" s="11">
        <f t="shared" si="14"/>
        <v>10.633333333333333</v>
      </c>
      <c r="M92" s="3">
        <f t="shared" si="21"/>
        <v>0.18333333333333332</v>
      </c>
      <c r="N92" s="4">
        <f t="shared" si="22"/>
        <v>11</v>
      </c>
      <c r="O92" s="2">
        <v>1.4814814814814814E-3</v>
      </c>
      <c r="P92" s="9">
        <f t="shared" si="15"/>
        <v>123.73333333333333</v>
      </c>
      <c r="Q92" s="3">
        <f t="shared" si="23"/>
        <v>2.1333333333333333</v>
      </c>
      <c r="R92" s="4">
        <f t="shared" si="24"/>
        <v>128</v>
      </c>
      <c r="S92" s="3">
        <f t="shared" si="25"/>
        <v>49</v>
      </c>
      <c r="T92" s="1">
        <v>0.85</v>
      </c>
      <c r="U92" s="6">
        <f t="shared" si="16"/>
        <v>49.3</v>
      </c>
    </row>
    <row r="93" spans="1:21" x14ac:dyDescent="0.35">
      <c r="A93">
        <v>92</v>
      </c>
      <c r="B93" s="5">
        <v>44288</v>
      </c>
      <c r="C93" s="4">
        <f t="shared" si="17"/>
        <v>2021</v>
      </c>
      <c r="D93" s="4">
        <f t="shared" si="18"/>
        <v>4</v>
      </c>
      <c r="E93" s="14">
        <v>44288</v>
      </c>
      <c r="F93" s="4">
        <f t="shared" si="19"/>
        <v>2</v>
      </c>
      <c r="G93">
        <v>18</v>
      </c>
      <c r="H93">
        <v>17</v>
      </c>
      <c r="I93" s="13">
        <f t="shared" si="20"/>
        <v>0.94</v>
      </c>
      <c r="J93">
        <f t="shared" si="13"/>
        <v>1</v>
      </c>
      <c r="K93" s="2">
        <v>5.7870370370370373E-5</v>
      </c>
      <c r="L93" s="11">
        <f t="shared" si="14"/>
        <v>1.4166666666666665</v>
      </c>
      <c r="M93" s="3">
        <f t="shared" si="21"/>
        <v>8.3333333333333329E-2</v>
      </c>
      <c r="N93" s="4">
        <f t="shared" si="22"/>
        <v>5</v>
      </c>
      <c r="O93" s="2">
        <v>1.8402777777777777E-3</v>
      </c>
      <c r="P93" s="9">
        <f t="shared" si="15"/>
        <v>45.05</v>
      </c>
      <c r="Q93" s="3">
        <f t="shared" si="23"/>
        <v>2.65</v>
      </c>
      <c r="R93" s="4">
        <f t="shared" si="24"/>
        <v>159</v>
      </c>
      <c r="S93" s="3">
        <f t="shared" si="25"/>
        <v>17</v>
      </c>
      <c r="T93" s="1">
        <v>1</v>
      </c>
      <c r="U93" s="6">
        <f t="shared" si="16"/>
        <v>17</v>
      </c>
    </row>
    <row r="94" spans="1:21" x14ac:dyDescent="0.35">
      <c r="A94">
        <v>93</v>
      </c>
      <c r="B94" s="5">
        <v>44289</v>
      </c>
      <c r="C94" s="4">
        <f t="shared" si="17"/>
        <v>2021</v>
      </c>
      <c r="D94" s="4">
        <f t="shared" si="18"/>
        <v>4</v>
      </c>
      <c r="E94" s="14">
        <v>44289</v>
      </c>
      <c r="F94" s="4">
        <f t="shared" si="19"/>
        <v>3</v>
      </c>
      <c r="G94">
        <v>206</v>
      </c>
      <c r="H94">
        <v>202</v>
      </c>
      <c r="I94" s="13">
        <f t="shared" si="20"/>
        <v>0.98</v>
      </c>
      <c r="J94">
        <f t="shared" si="13"/>
        <v>4</v>
      </c>
      <c r="K94" s="2">
        <v>1.0416666666666667E-4</v>
      </c>
      <c r="L94" s="11">
        <f t="shared" si="14"/>
        <v>30.299999999999997</v>
      </c>
      <c r="M94" s="3">
        <f t="shared" si="21"/>
        <v>0.15</v>
      </c>
      <c r="N94" s="4">
        <f t="shared" si="22"/>
        <v>9</v>
      </c>
      <c r="O94" s="2">
        <v>1.3194444444444445E-3</v>
      </c>
      <c r="P94" s="9">
        <f t="shared" si="15"/>
        <v>383.79999999999995</v>
      </c>
      <c r="Q94" s="3">
        <f t="shared" si="23"/>
        <v>1.9</v>
      </c>
      <c r="R94" s="4">
        <f t="shared" si="24"/>
        <v>114</v>
      </c>
      <c r="S94" s="3">
        <f t="shared" si="25"/>
        <v>180</v>
      </c>
      <c r="T94" s="1">
        <v>0.89270000000000005</v>
      </c>
      <c r="U94" s="6">
        <f t="shared" si="16"/>
        <v>180.3254</v>
      </c>
    </row>
    <row r="95" spans="1:21" x14ac:dyDescent="0.35">
      <c r="A95">
        <v>94</v>
      </c>
      <c r="B95" s="5">
        <v>44290</v>
      </c>
      <c r="C95" s="4">
        <f t="shared" si="17"/>
        <v>2021</v>
      </c>
      <c r="D95" s="4">
        <f t="shared" si="18"/>
        <v>4</v>
      </c>
      <c r="E95" s="14">
        <v>44290</v>
      </c>
      <c r="F95" s="4">
        <f t="shared" si="19"/>
        <v>4</v>
      </c>
      <c r="G95">
        <v>194</v>
      </c>
      <c r="H95">
        <v>193</v>
      </c>
      <c r="I95" s="13">
        <f t="shared" si="20"/>
        <v>0.99</v>
      </c>
      <c r="J95">
        <f t="shared" si="13"/>
        <v>1</v>
      </c>
      <c r="K95" s="2">
        <v>1.273148148148148E-4</v>
      </c>
      <c r="L95" s="11">
        <f t="shared" si="14"/>
        <v>35.383333333333333</v>
      </c>
      <c r="M95" s="3">
        <f t="shared" si="21"/>
        <v>0.18333333333333332</v>
      </c>
      <c r="N95" s="4">
        <f t="shared" si="22"/>
        <v>11</v>
      </c>
      <c r="O95" s="2">
        <v>1.3541666666666667E-3</v>
      </c>
      <c r="P95" s="9">
        <f t="shared" si="15"/>
        <v>376.34999999999997</v>
      </c>
      <c r="Q95" s="3">
        <f t="shared" si="23"/>
        <v>1.95</v>
      </c>
      <c r="R95" s="4">
        <f t="shared" si="24"/>
        <v>117</v>
      </c>
      <c r="S95" s="3">
        <f t="shared" si="25"/>
        <v>163</v>
      </c>
      <c r="T95" s="1">
        <v>0.84970000000000001</v>
      </c>
      <c r="U95" s="6">
        <f t="shared" si="16"/>
        <v>163.99209999999999</v>
      </c>
    </row>
    <row r="96" spans="1:21" x14ac:dyDescent="0.35">
      <c r="A96">
        <v>95</v>
      </c>
      <c r="B96" s="5">
        <v>44291</v>
      </c>
      <c r="C96" s="4">
        <f t="shared" si="17"/>
        <v>2021</v>
      </c>
      <c r="D96" s="4">
        <f t="shared" si="18"/>
        <v>4</v>
      </c>
      <c r="E96" s="14">
        <v>44291</v>
      </c>
      <c r="F96" s="4">
        <f t="shared" si="19"/>
        <v>5</v>
      </c>
      <c r="G96">
        <v>206</v>
      </c>
      <c r="H96">
        <v>200</v>
      </c>
      <c r="I96" s="13">
        <f t="shared" si="20"/>
        <v>0.97</v>
      </c>
      <c r="J96">
        <f t="shared" si="13"/>
        <v>6</v>
      </c>
      <c r="K96" s="2">
        <v>1.1574074074074075E-4</v>
      </c>
      <c r="L96" s="11">
        <f t="shared" si="14"/>
        <v>33.333333333333329</v>
      </c>
      <c r="M96" s="3">
        <f t="shared" si="21"/>
        <v>0.16666666666666666</v>
      </c>
      <c r="N96" s="4">
        <f t="shared" si="22"/>
        <v>10</v>
      </c>
      <c r="O96" s="2">
        <v>1.4814814814814814E-3</v>
      </c>
      <c r="P96" s="9">
        <f t="shared" si="15"/>
        <v>426.66666666666669</v>
      </c>
      <c r="Q96" s="3">
        <f t="shared" si="23"/>
        <v>2.1333333333333333</v>
      </c>
      <c r="R96" s="4">
        <f t="shared" si="24"/>
        <v>128</v>
      </c>
      <c r="S96" s="3">
        <f t="shared" si="25"/>
        <v>172</v>
      </c>
      <c r="T96" s="1">
        <v>0.86270000000000002</v>
      </c>
      <c r="U96" s="6">
        <f t="shared" si="16"/>
        <v>172.54</v>
      </c>
    </row>
    <row r="97" spans="1:21" x14ac:dyDescent="0.35">
      <c r="A97">
        <v>96</v>
      </c>
      <c r="B97" s="5">
        <v>44292</v>
      </c>
      <c r="C97" s="4">
        <f t="shared" si="17"/>
        <v>2021</v>
      </c>
      <c r="D97" s="4">
        <f t="shared" si="18"/>
        <v>4</v>
      </c>
      <c r="E97" s="14">
        <v>44292</v>
      </c>
      <c r="F97" s="4">
        <f t="shared" si="19"/>
        <v>6</v>
      </c>
      <c r="G97">
        <v>53</v>
      </c>
      <c r="H97">
        <v>53</v>
      </c>
      <c r="I97" s="13">
        <f t="shared" si="20"/>
        <v>1</v>
      </c>
      <c r="J97">
        <f t="shared" si="13"/>
        <v>0</v>
      </c>
      <c r="K97" s="2">
        <v>2.0833333333333335E-4</v>
      </c>
      <c r="L97" s="11">
        <f t="shared" si="14"/>
        <v>15.899999999999999</v>
      </c>
      <c r="M97" s="3">
        <f t="shared" si="21"/>
        <v>0.3</v>
      </c>
      <c r="N97" s="4">
        <f t="shared" si="22"/>
        <v>18</v>
      </c>
      <c r="O97" s="2">
        <v>1.4814814814814814E-3</v>
      </c>
      <c r="P97" s="9">
        <f t="shared" si="15"/>
        <v>113.06666666666666</v>
      </c>
      <c r="Q97" s="3">
        <f t="shared" si="23"/>
        <v>2.1333333333333333</v>
      </c>
      <c r="R97" s="4">
        <f t="shared" si="24"/>
        <v>128</v>
      </c>
      <c r="S97" s="3">
        <f t="shared" si="25"/>
        <v>41</v>
      </c>
      <c r="T97" s="1">
        <v>0.77359999999999995</v>
      </c>
      <c r="U97" s="6">
        <f t="shared" si="16"/>
        <v>41.000799999999998</v>
      </c>
    </row>
    <row r="98" spans="1:21" x14ac:dyDescent="0.35">
      <c r="A98">
        <v>97</v>
      </c>
      <c r="B98" s="5">
        <v>44293</v>
      </c>
      <c r="C98" s="4">
        <f t="shared" si="17"/>
        <v>2021</v>
      </c>
      <c r="D98" s="4">
        <f t="shared" si="18"/>
        <v>4</v>
      </c>
      <c r="E98" s="14">
        <v>44293</v>
      </c>
      <c r="F98" s="4">
        <f t="shared" si="19"/>
        <v>7</v>
      </c>
      <c r="G98">
        <v>147</v>
      </c>
      <c r="H98">
        <v>145</v>
      </c>
      <c r="I98" s="13">
        <f t="shared" si="20"/>
        <v>0.98</v>
      </c>
      <c r="J98">
        <f t="shared" si="13"/>
        <v>2</v>
      </c>
      <c r="K98" s="2">
        <v>1.0416666666666667E-4</v>
      </c>
      <c r="L98" s="11">
        <f t="shared" si="14"/>
        <v>21.75</v>
      </c>
      <c r="M98" s="3">
        <f t="shared" si="21"/>
        <v>0.15</v>
      </c>
      <c r="N98" s="4">
        <f t="shared" si="22"/>
        <v>9</v>
      </c>
      <c r="O98" s="2">
        <v>1.2731481481481483E-3</v>
      </c>
      <c r="P98" s="9">
        <f t="shared" si="15"/>
        <v>265.83333333333337</v>
      </c>
      <c r="Q98" s="3">
        <f t="shared" si="23"/>
        <v>1.8333333333333335</v>
      </c>
      <c r="R98" s="4">
        <f t="shared" si="24"/>
        <v>110.00000000000001</v>
      </c>
      <c r="S98" s="3">
        <f t="shared" si="25"/>
        <v>128</v>
      </c>
      <c r="T98" s="1">
        <v>0.88360000000000005</v>
      </c>
      <c r="U98" s="6">
        <f t="shared" si="16"/>
        <v>128.12200000000001</v>
      </c>
    </row>
    <row r="99" spans="1:21" x14ac:dyDescent="0.35">
      <c r="A99">
        <v>98</v>
      </c>
      <c r="B99" s="5">
        <v>44294</v>
      </c>
      <c r="C99" s="4">
        <f t="shared" si="17"/>
        <v>2021</v>
      </c>
      <c r="D99" s="4">
        <f t="shared" si="18"/>
        <v>4</v>
      </c>
      <c r="E99" s="14">
        <v>44294</v>
      </c>
      <c r="F99" s="4">
        <f t="shared" si="19"/>
        <v>8</v>
      </c>
      <c r="G99">
        <v>201</v>
      </c>
      <c r="H99">
        <v>197</v>
      </c>
      <c r="I99" s="13">
        <f t="shared" si="20"/>
        <v>0.98</v>
      </c>
      <c r="J99">
        <f t="shared" si="13"/>
        <v>4</v>
      </c>
      <c r="K99" s="2">
        <v>1.0416666666666667E-4</v>
      </c>
      <c r="L99" s="11">
        <f t="shared" si="14"/>
        <v>29.549999999999997</v>
      </c>
      <c r="M99" s="3">
        <f t="shared" si="21"/>
        <v>0.15</v>
      </c>
      <c r="N99" s="4">
        <f t="shared" si="22"/>
        <v>9</v>
      </c>
      <c r="O99" s="2">
        <v>1.3773148148148147E-3</v>
      </c>
      <c r="P99" s="9">
        <f t="shared" si="15"/>
        <v>390.7166666666667</v>
      </c>
      <c r="Q99" s="3">
        <f t="shared" si="23"/>
        <v>1.9833333333333334</v>
      </c>
      <c r="R99" s="4">
        <f t="shared" si="24"/>
        <v>119</v>
      </c>
      <c r="S99" s="3">
        <f t="shared" si="25"/>
        <v>179</v>
      </c>
      <c r="T99" s="1">
        <v>0.90949999999999998</v>
      </c>
      <c r="U99" s="6">
        <f t="shared" si="16"/>
        <v>179.17150000000001</v>
      </c>
    </row>
    <row r="100" spans="1:21" x14ac:dyDescent="0.35">
      <c r="A100">
        <v>99</v>
      </c>
      <c r="B100" s="5">
        <v>44295</v>
      </c>
      <c r="C100" s="4">
        <f t="shared" si="17"/>
        <v>2021</v>
      </c>
      <c r="D100" s="4">
        <f t="shared" si="18"/>
        <v>4</v>
      </c>
      <c r="E100" s="14">
        <v>44295</v>
      </c>
      <c r="F100" s="4">
        <f t="shared" si="19"/>
        <v>9</v>
      </c>
      <c r="G100">
        <v>202</v>
      </c>
      <c r="H100">
        <v>198</v>
      </c>
      <c r="I100" s="13">
        <f t="shared" si="20"/>
        <v>0.98</v>
      </c>
      <c r="J100">
        <f t="shared" si="13"/>
        <v>4</v>
      </c>
      <c r="K100" s="2">
        <v>1.1574074074074075E-4</v>
      </c>
      <c r="L100" s="11">
        <f t="shared" si="14"/>
        <v>33</v>
      </c>
      <c r="M100" s="3">
        <f t="shared" si="21"/>
        <v>0.16666666666666666</v>
      </c>
      <c r="N100" s="4">
        <f t="shared" si="22"/>
        <v>10</v>
      </c>
      <c r="O100" s="2">
        <v>1.4930555555555556E-3</v>
      </c>
      <c r="P100" s="9">
        <f t="shared" si="15"/>
        <v>425.7</v>
      </c>
      <c r="Q100" s="3">
        <f t="shared" si="23"/>
        <v>2.15</v>
      </c>
      <c r="R100" s="4">
        <f t="shared" si="24"/>
        <v>129</v>
      </c>
      <c r="S100" s="3">
        <f t="shared" si="25"/>
        <v>175</v>
      </c>
      <c r="T100" s="1">
        <v>0.88500000000000001</v>
      </c>
      <c r="U100" s="6">
        <f t="shared" si="16"/>
        <v>175.23</v>
      </c>
    </row>
    <row r="101" spans="1:21" x14ac:dyDescent="0.35">
      <c r="A101">
        <v>100</v>
      </c>
      <c r="B101" s="5">
        <v>44296</v>
      </c>
      <c r="C101" s="4">
        <f t="shared" si="17"/>
        <v>2021</v>
      </c>
      <c r="D101" s="4">
        <f t="shared" si="18"/>
        <v>4</v>
      </c>
      <c r="E101" s="14">
        <v>44296</v>
      </c>
      <c r="F101" s="4">
        <f t="shared" si="19"/>
        <v>10</v>
      </c>
      <c r="G101">
        <v>226</v>
      </c>
      <c r="H101">
        <v>219</v>
      </c>
      <c r="I101" s="13">
        <f t="shared" si="20"/>
        <v>0.96</v>
      </c>
      <c r="J101">
        <f t="shared" si="13"/>
        <v>7</v>
      </c>
      <c r="K101" s="2">
        <v>1.1574074074074075E-4</v>
      </c>
      <c r="L101" s="11">
        <f t="shared" si="14"/>
        <v>36.5</v>
      </c>
      <c r="M101" s="3">
        <f t="shared" si="21"/>
        <v>0.16666666666666666</v>
      </c>
      <c r="N101" s="4">
        <f t="shared" si="22"/>
        <v>10</v>
      </c>
      <c r="O101" s="2">
        <v>1.5277777777777779E-3</v>
      </c>
      <c r="P101" s="9">
        <f t="shared" si="15"/>
        <v>481.8</v>
      </c>
      <c r="Q101" s="3">
        <f t="shared" si="23"/>
        <v>2.2000000000000002</v>
      </c>
      <c r="R101" s="4">
        <f t="shared" si="24"/>
        <v>132</v>
      </c>
      <c r="S101" s="3">
        <f t="shared" si="25"/>
        <v>192</v>
      </c>
      <c r="T101" s="1">
        <v>0.88</v>
      </c>
      <c r="U101" s="6">
        <f t="shared" si="16"/>
        <v>192.72</v>
      </c>
    </row>
    <row r="102" spans="1:21" x14ac:dyDescent="0.35">
      <c r="A102">
        <v>101</v>
      </c>
      <c r="B102" s="5">
        <v>44297</v>
      </c>
      <c r="C102" s="4">
        <f t="shared" si="17"/>
        <v>2021</v>
      </c>
      <c r="D102" s="4">
        <f t="shared" si="18"/>
        <v>4</v>
      </c>
      <c r="E102" s="14">
        <v>44297</v>
      </c>
      <c r="F102" s="4">
        <f t="shared" si="19"/>
        <v>11</v>
      </c>
      <c r="G102">
        <v>167</v>
      </c>
      <c r="H102">
        <v>163</v>
      </c>
      <c r="I102" s="13">
        <f t="shared" si="20"/>
        <v>0.97</v>
      </c>
      <c r="J102">
        <f t="shared" si="13"/>
        <v>4</v>
      </c>
      <c r="K102" s="2">
        <v>8.1018518518518516E-5</v>
      </c>
      <c r="L102" s="11">
        <f t="shared" si="14"/>
        <v>19.016666666666666</v>
      </c>
      <c r="M102" s="3">
        <f t="shared" si="21"/>
        <v>0.11666666666666667</v>
      </c>
      <c r="N102" s="4">
        <f t="shared" si="22"/>
        <v>7</v>
      </c>
      <c r="O102" s="2">
        <v>1.4930555555555556E-3</v>
      </c>
      <c r="P102" s="9">
        <f t="shared" si="15"/>
        <v>350.45</v>
      </c>
      <c r="Q102" s="3">
        <f t="shared" si="23"/>
        <v>2.15</v>
      </c>
      <c r="R102" s="4">
        <f t="shared" si="24"/>
        <v>129</v>
      </c>
      <c r="S102" s="3">
        <f t="shared" si="25"/>
        <v>151</v>
      </c>
      <c r="T102" s="1">
        <v>0.92769999999999997</v>
      </c>
      <c r="U102" s="6">
        <f t="shared" si="16"/>
        <v>151.21510000000001</v>
      </c>
    </row>
    <row r="103" spans="1:21" x14ac:dyDescent="0.35">
      <c r="A103">
        <v>102</v>
      </c>
      <c r="B103" s="5">
        <v>44298</v>
      </c>
      <c r="C103" s="4">
        <f t="shared" si="17"/>
        <v>2021</v>
      </c>
      <c r="D103" s="4">
        <f t="shared" si="18"/>
        <v>4</v>
      </c>
      <c r="E103" s="14">
        <v>44298</v>
      </c>
      <c r="F103" s="4">
        <f t="shared" si="19"/>
        <v>12</v>
      </c>
      <c r="G103">
        <v>164</v>
      </c>
      <c r="H103">
        <v>164</v>
      </c>
      <c r="I103" s="13">
        <f t="shared" si="20"/>
        <v>1</v>
      </c>
      <c r="J103">
        <f t="shared" si="13"/>
        <v>0</v>
      </c>
      <c r="K103" s="2">
        <v>1.273148148148148E-4</v>
      </c>
      <c r="L103" s="11">
        <f t="shared" si="14"/>
        <v>30.066666666666663</v>
      </c>
      <c r="M103" s="3">
        <f t="shared" si="21"/>
        <v>0.18333333333333332</v>
      </c>
      <c r="N103" s="4">
        <f t="shared" si="22"/>
        <v>11</v>
      </c>
      <c r="O103" s="2">
        <v>1.5856481481481481E-3</v>
      </c>
      <c r="P103" s="9">
        <f t="shared" si="15"/>
        <v>374.46666666666664</v>
      </c>
      <c r="Q103" s="3">
        <f t="shared" si="23"/>
        <v>2.2833333333333332</v>
      </c>
      <c r="R103" s="4">
        <f t="shared" si="24"/>
        <v>137</v>
      </c>
      <c r="S103" s="3">
        <f t="shared" si="25"/>
        <v>145</v>
      </c>
      <c r="T103" s="1">
        <v>0.89019999999999999</v>
      </c>
      <c r="U103" s="6">
        <f t="shared" si="16"/>
        <v>145.99279999999999</v>
      </c>
    </row>
    <row r="104" spans="1:21" x14ac:dyDescent="0.35">
      <c r="A104">
        <v>103</v>
      </c>
      <c r="B104" s="5">
        <v>44299</v>
      </c>
      <c r="C104" s="4">
        <f t="shared" si="17"/>
        <v>2021</v>
      </c>
      <c r="D104" s="4">
        <f t="shared" si="18"/>
        <v>4</v>
      </c>
      <c r="E104" s="14">
        <v>44299</v>
      </c>
      <c r="F104" s="4">
        <f t="shared" si="19"/>
        <v>13</v>
      </c>
      <c r="G104">
        <v>42</v>
      </c>
      <c r="H104">
        <v>41</v>
      </c>
      <c r="I104" s="13">
        <f t="shared" si="20"/>
        <v>0.97</v>
      </c>
      <c r="J104">
        <f t="shared" si="13"/>
        <v>1</v>
      </c>
      <c r="K104" s="2">
        <v>1.273148148148148E-4</v>
      </c>
      <c r="L104" s="11">
        <f t="shared" si="14"/>
        <v>7.5166666666666657</v>
      </c>
      <c r="M104" s="3">
        <f t="shared" si="21"/>
        <v>0.18333333333333332</v>
      </c>
      <c r="N104" s="4">
        <f t="shared" si="22"/>
        <v>11</v>
      </c>
      <c r="O104" s="2">
        <v>1.4930555555555556E-3</v>
      </c>
      <c r="P104" s="9">
        <f t="shared" si="15"/>
        <v>88.149999999999991</v>
      </c>
      <c r="Q104" s="3">
        <f t="shared" si="23"/>
        <v>2.15</v>
      </c>
      <c r="R104" s="4">
        <f t="shared" si="24"/>
        <v>129</v>
      </c>
      <c r="S104" s="3">
        <f t="shared" si="25"/>
        <v>35</v>
      </c>
      <c r="T104" s="1">
        <v>0.878</v>
      </c>
      <c r="U104" s="6">
        <f t="shared" si="16"/>
        <v>35.997999999999998</v>
      </c>
    </row>
    <row r="105" spans="1:21" x14ac:dyDescent="0.35">
      <c r="A105">
        <v>104</v>
      </c>
      <c r="B105" s="5">
        <v>44300</v>
      </c>
      <c r="C105" s="4">
        <f t="shared" si="17"/>
        <v>2021</v>
      </c>
      <c r="D105" s="4">
        <f t="shared" si="18"/>
        <v>4</v>
      </c>
      <c r="E105" s="14">
        <v>44300</v>
      </c>
      <c r="F105" s="4">
        <f t="shared" si="19"/>
        <v>14</v>
      </c>
      <c r="G105">
        <v>79</v>
      </c>
      <c r="H105">
        <v>78</v>
      </c>
      <c r="I105" s="13">
        <f t="shared" si="20"/>
        <v>0.98</v>
      </c>
      <c r="J105">
        <f t="shared" si="13"/>
        <v>1</v>
      </c>
      <c r="K105" s="2">
        <v>8.1018518518518516E-5</v>
      </c>
      <c r="L105" s="11">
        <f t="shared" si="14"/>
        <v>9.1</v>
      </c>
      <c r="M105" s="3">
        <f t="shared" si="21"/>
        <v>0.11666666666666667</v>
      </c>
      <c r="N105" s="4">
        <f t="shared" si="22"/>
        <v>7</v>
      </c>
      <c r="O105" s="2">
        <v>1.6550925925925926E-3</v>
      </c>
      <c r="P105" s="9">
        <f t="shared" si="15"/>
        <v>185.9</v>
      </c>
      <c r="Q105" s="3">
        <f t="shared" si="23"/>
        <v>2.3833333333333333</v>
      </c>
      <c r="R105" s="4">
        <f t="shared" si="24"/>
        <v>143</v>
      </c>
      <c r="S105" s="3">
        <f t="shared" si="25"/>
        <v>73</v>
      </c>
      <c r="T105" s="1">
        <v>0.94869999999999999</v>
      </c>
      <c r="U105" s="6">
        <f t="shared" si="16"/>
        <v>73.998599999999996</v>
      </c>
    </row>
    <row r="106" spans="1:21" x14ac:dyDescent="0.35">
      <c r="A106">
        <v>105</v>
      </c>
      <c r="B106" s="5">
        <v>44301</v>
      </c>
      <c r="C106" s="4">
        <f t="shared" si="17"/>
        <v>2021</v>
      </c>
      <c r="D106" s="4">
        <f t="shared" si="18"/>
        <v>4</v>
      </c>
      <c r="E106" s="14">
        <v>44301</v>
      </c>
      <c r="F106" s="4">
        <f t="shared" si="19"/>
        <v>15</v>
      </c>
      <c r="G106">
        <v>165</v>
      </c>
      <c r="H106">
        <v>162</v>
      </c>
      <c r="I106" s="13">
        <f t="shared" si="20"/>
        <v>0.98</v>
      </c>
      <c r="J106">
        <f t="shared" si="13"/>
        <v>3</v>
      </c>
      <c r="K106" s="2">
        <v>1.0416666666666667E-4</v>
      </c>
      <c r="L106" s="11">
        <f t="shared" si="14"/>
        <v>24.3</v>
      </c>
      <c r="M106" s="3">
        <f t="shared" si="21"/>
        <v>0.15</v>
      </c>
      <c r="N106" s="4">
        <f t="shared" si="22"/>
        <v>9</v>
      </c>
      <c r="O106" s="2">
        <v>1.4930555555555556E-3</v>
      </c>
      <c r="P106" s="9">
        <f t="shared" si="15"/>
        <v>348.3</v>
      </c>
      <c r="Q106" s="3">
        <f t="shared" si="23"/>
        <v>2.15</v>
      </c>
      <c r="R106" s="4">
        <f t="shared" si="24"/>
        <v>129</v>
      </c>
      <c r="S106" s="3">
        <f t="shared" si="25"/>
        <v>145</v>
      </c>
      <c r="T106" s="1">
        <v>0.89700000000000002</v>
      </c>
      <c r="U106" s="6">
        <f t="shared" si="16"/>
        <v>145.31399999999999</v>
      </c>
    </row>
    <row r="107" spans="1:21" x14ac:dyDescent="0.35">
      <c r="A107">
        <v>106</v>
      </c>
      <c r="B107" s="5">
        <v>44302</v>
      </c>
      <c r="C107" s="4">
        <f t="shared" si="17"/>
        <v>2021</v>
      </c>
      <c r="D107" s="4">
        <f t="shared" si="18"/>
        <v>4</v>
      </c>
      <c r="E107" s="14">
        <v>44302</v>
      </c>
      <c r="F107" s="4">
        <f t="shared" si="19"/>
        <v>16</v>
      </c>
      <c r="G107">
        <v>180</v>
      </c>
      <c r="H107">
        <v>174</v>
      </c>
      <c r="I107" s="13">
        <f t="shared" si="20"/>
        <v>0.96</v>
      </c>
      <c r="J107">
        <f t="shared" si="13"/>
        <v>6</v>
      </c>
      <c r="K107" s="2">
        <v>1.8518518518518518E-4</v>
      </c>
      <c r="L107" s="11">
        <f t="shared" si="14"/>
        <v>46.4</v>
      </c>
      <c r="M107" s="3">
        <f t="shared" si="21"/>
        <v>0.26666666666666666</v>
      </c>
      <c r="N107" s="4">
        <f t="shared" si="22"/>
        <v>16</v>
      </c>
      <c r="O107" s="2">
        <v>1.5740740740740741E-3</v>
      </c>
      <c r="P107" s="9">
        <f t="shared" si="15"/>
        <v>394.4</v>
      </c>
      <c r="Q107" s="3">
        <f t="shared" si="23"/>
        <v>2.2666666666666666</v>
      </c>
      <c r="R107" s="4">
        <f t="shared" si="24"/>
        <v>136</v>
      </c>
      <c r="S107" s="3">
        <f t="shared" si="25"/>
        <v>135</v>
      </c>
      <c r="T107" s="1">
        <v>0.77780000000000005</v>
      </c>
      <c r="U107" s="6">
        <f t="shared" si="16"/>
        <v>135.3372</v>
      </c>
    </row>
    <row r="108" spans="1:21" x14ac:dyDescent="0.35">
      <c r="A108">
        <v>107</v>
      </c>
      <c r="B108" s="5">
        <v>44303</v>
      </c>
      <c r="C108" s="4">
        <f t="shared" si="17"/>
        <v>2021</v>
      </c>
      <c r="D108" s="4">
        <f t="shared" si="18"/>
        <v>4</v>
      </c>
      <c r="E108" s="14">
        <v>44303</v>
      </c>
      <c r="F108" s="4">
        <f t="shared" si="19"/>
        <v>17</v>
      </c>
      <c r="G108">
        <v>179</v>
      </c>
      <c r="H108">
        <v>176</v>
      </c>
      <c r="I108" s="13">
        <f t="shared" si="20"/>
        <v>0.98</v>
      </c>
      <c r="J108">
        <f t="shared" si="13"/>
        <v>3</v>
      </c>
      <c r="K108" s="2">
        <v>1.1574074074074075E-4</v>
      </c>
      <c r="L108" s="11">
        <f t="shared" si="14"/>
        <v>29.333333333333332</v>
      </c>
      <c r="M108" s="3">
        <f t="shared" si="21"/>
        <v>0.16666666666666666</v>
      </c>
      <c r="N108" s="4">
        <f t="shared" si="22"/>
        <v>10</v>
      </c>
      <c r="O108" s="2">
        <v>1.6898148148148148E-3</v>
      </c>
      <c r="P108" s="9">
        <f t="shared" si="15"/>
        <v>428.26666666666671</v>
      </c>
      <c r="Q108" s="3">
        <f t="shared" si="23"/>
        <v>2.4333333333333336</v>
      </c>
      <c r="R108" s="4">
        <f t="shared" si="24"/>
        <v>146</v>
      </c>
      <c r="S108" s="3">
        <f t="shared" si="25"/>
        <v>154</v>
      </c>
      <c r="T108" s="1">
        <v>0.87639999999999996</v>
      </c>
      <c r="U108" s="6">
        <f t="shared" si="16"/>
        <v>154.24639999999999</v>
      </c>
    </row>
    <row r="109" spans="1:21" x14ac:dyDescent="0.35">
      <c r="A109">
        <v>108</v>
      </c>
      <c r="B109" s="5">
        <v>44304</v>
      </c>
      <c r="C109" s="4">
        <f t="shared" si="17"/>
        <v>2021</v>
      </c>
      <c r="D109" s="4">
        <f t="shared" si="18"/>
        <v>4</v>
      </c>
      <c r="E109" s="14">
        <v>44304</v>
      </c>
      <c r="F109" s="4">
        <f t="shared" si="19"/>
        <v>18</v>
      </c>
      <c r="G109">
        <v>217</v>
      </c>
      <c r="H109">
        <v>215</v>
      </c>
      <c r="I109" s="13">
        <f t="shared" si="20"/>
        <v>0.99</v>
      </c>
      <c r="J109">
        <f t="shared" si="13"/>
        <v>2</v>
      </c>
      <c r="K109" s="2">
        <v>9.2592592592592588E-5</v>
      </c>
      <c r="L109" s="11">
        <f t="shared" si="14"/>
        <v>28.666666666666668</v>
      </c>
      <c r="M109" s="3">
        <f t="shared" si="21"/>
        <v>0.13333333333333333</v>
      </c>
      <c r="N109" s="4">
        <f t="shared" si="22"/>
        <v>8</v>
      </c>
      <c r="O109" s="2">
        <v>1.4814814814814814E-3</v>
      </c>
      <c r="P109" s="9">
        <f t="shared" si="15"/>
        <v>458.66666666666669</v>
      </c>
      <c r="Q109" s="3">
        <f t="shared" si="23"/>
        <v>2.1333333333333333</v>
      </c>
      <c r="R109" s="4">
        <f t="shared" si="24"/>
        <v>128</v>
      </c>
      <c r="S109" s="3">
        <f t="shared" si="25"/>
        <v>197</v>
      </c>
      <c r="T109" s="1">
        <v>0.91710000000000003</v>
      </c>
      <c r="U109" s="6">
        <f t="shared" si="16"/>
        <v>197.1765</v>
      </c>
    </row>
    <row r="110" spans="1:21" x14ac:dyDescent="0.35">
      <c r="A110">
        <v>109</v>
      </c>
      <c r="B110" s="5">
        <v>44305</v>
      </c>
      <c r="C110" s="4">
        <f t="shared" si="17"/>
        <v>2021</v>
      </c>
      <c r="D110" s="4">
        <f t="shared" si="18"/>
        <v>4</v>
      </c>
      <c r="E110" s="14">
        <v>44305</v>
      </c>
      <c r="F110" s="4">
        <f t="shared" si="19"/>
        <v>19</v>
      </c>
      <c r="G110">
        <v>171</v>
      </c>
      <c r="H110">
        <v>167</v>
      </c>
      <c r="I110" s="13">
        <f t="shared" si="20"/>
        <v>0.97</v>
      </c>
      <c r="J110">
        <f t="shared" si="13"/>
        <v>4</v>
      </c>
      <c r="K110" s="2">
        <v>1.1574074074074075E-4</v>
      </c>
      <c r="L110" s="11">
        <f t="shared" si="14"/>
        <v>27.833333333333332</v>
      </c>
      <c r="M110" s="3">
        <f t="shared" si="21"/>
        <v>0.16666666666666666</v>
      </c>
      <c r="N110" s="4">
        <f t="shared" si="22"/>
        <v>10</v>
      </c>
      <c r="O110" s="2">
        <v>1.5625000000000001E-3</v>
      </c>
      <c r="P110" s="9">
        <f t="shared" si="15"/>
        <v>375.75</v>
      </c>
      <c r="Q110" s="3">
        <f t="shared" si="23"/>
        <v>2.25</v>
      </c>
      <c r="R110" s="4">
        <f t="shared" si="24"/>
        <v>135</v>
      </c>
      <c r="S110" s="3">
        <f t="shared" si="25"/>
        <v>144</v>
      </c>
      <c r="T110" s="1">
        <v>0.86470000000000002</v>
      </c>
      <c r="U110" s="6">
        <f t="shared" si="16"/>
        <v>144.4049</v>
      </c>
    </row>
    <row r="111" spans="1:21" x14ac:dyDescent="0.35">
      <c r="A111">
        <v>110</v>
      </c>
      <c r="B111" s="5">
        <v>44306</v>
      </c>
      <c r="C111" s="4">
        <f t="shared" si="17"/>
        <v>2021</v>
      </c>
      <c r="D111" s="4">
        <f t="shared" si="18"/>
        <v>4</v>
      </c>
      <c r="E111" s="14">
        <v>44306</v>
      </c>
      <c r="F111" s="4">
        <f t="shared" si="19"/>
        <v>20</v>
      </c>
      <c r="G111">
        <v>37</v>
      </c>
      <c r="H111">
        <v>37</v>
      </c>
      <c r="I111" s="13">
        <f t="shared" si="20"/>
        <v>1</v>
      </c>
      <c r="J111">
        <f t="shared" si="13"/>
        <v>0</v>
      </c>
      <c r="K111" s="2">
        <v>1.0416666666666667E-4</v>
      </c>
      <c r="L111" s="11">
        <f t="shared" si="14"/>
        <v>5.55</v>
      </c>
      <c r="M111" s="3">
        <f t="shared" si="21"/>
        <v>0.15</v>
      </c>
      <c r="N111" s="4">
        <f t="shared" si="22"/>
        <v>9</v>
      </c>
      <c r="O111" s="2">
        <v>1.3541666666666667E-3</v>
      </c>
      <c r="P111" s="9">
        <f t="shared" si="15"/>
        <v>72.149999999999991</v>
      </c>
      <c r="Q111" s="3">
        <f t="shared" si="23"/>
        <v>1.95</v>
      </c>
      <c r="R111" s="4">
        <f t="shared" si="24"/>
        <v>117</v>
      </c>
      <c r="S111" s="3">
        <f t="shared" si="25"/>
        <v>32</v>
      </c>
      <c r="T111" s="1">
        <v>0.8649</v>
      </c>
      <c r="U111" s="6">
        <f t="shared" si="16"/>
        <v>32.001300000000001</v>
      </c>
    </row>
    <row r="112" spans="1:21" x14ac:dyDescent="0.35">
      <c r="A112">
        <v>111</v>
      </c>
      <c r="B112" s="5">
        <v>44307</v>
      </c>
      <c r="C112" s="4">
        <f t="shared" si="17"/>
        <v>2021</v>
      </c>
      <c r="D112" s="4">
        <f t="shared" si="18"/>
        <v>4</v>
      </c>
      <c r="E112" s="14">
        <v>44307</v>
      </c>
      <c r="F112" s="4">
        <f t="shared" si="19"/>
        <v>21</v>
      </c>
      <c r="G112">
        <v>215</v>
      </c>
      <c r="H112">
        <v>206</v>
      </c>
      <c r="I112" s="13">
        <f t="shared" si="20"/>
        <v>0.95</v>
      </c>
      <c r="J112">
        <f t="shared" si="13"/>
        <v>9</v>
      </c>
      <c r="K112" s="2">
        <v>2.0833333333333335E-4</v>
      </c>
      <c r="L112" s="11">
        <f t="shared" si="14"/>
        <v>61.8</v>
      </c>
      <c r="M112" s="3">
        <f t="shared" si="21"/>
        <v>0.3</v>
      </c>
      <c r="N112" s="4">
        <f t="shared" si="22"/>
        <v>18</v>
      </c>
      <c r="O112" s="2">
        <v>1.4930555555555556E-3</v>
      </c>
      <c r="P112" s="9">
        <f t="shared" si="15"/>
        <v>442.9</v>
      </c>
      <c r="Q112" s="3">
        <f t="shared" si="23"/>
        <v>2.15</v>
      </c>
      <c r="R112" s="4">
        <f t="shared" si="24"/>
        <v>129</v>
      </c>
      <c r="S112" s="3">
        <f t="shared" si="25"/>
        <v>166</v>
      </c>
      <c r="T112" s="1">
        <v>0.8095</v>
      </c>
      <c r="U112" s="6">
        <f t="shared" si="16"/>
        <v>166.75700000000001</v>
      </c>
    </row>
    <row r="113" spans="1:21" x14ac:dyDescent="0.35">
      <c r="A113">
        <v>112</v>
      </c>
      <c r="B113" s="5">
        <v>44308</v>
      </c>
      <c r="C113" s="4">
        <f t="shared" si="17"/>
        <v>2021</v>
      </c>
      <c r="D113" s="4">
        <f t="shared" si="18"/>
        <v>4</v>
      </c>
      <c r="E113" s="14">
        <v>44308</v>
      </c>
      <c r="F113" s="4">
        <f t="shared" si="19"/>
        <v>22</v>
      </c>
      <c r="G113">
        <v>218</v>
      </c>
      <c r="H113">
        <v>212</v>
      </c>
      <c r="I113" s="13">
        <f t="shared" si="20"/>
        <v>0.97</v>
      </c>
      <c r="J113">
        <f t="shared" si="13"/>
        <v>6</v>
      </c>
      <c r="K113" s="2">
        <v>1.8518518518518518E-4</v>
      </c>
      <c r="L113" s="11">
        <f t="shared" si="14"/>
        <v>56.533333333333331</v>
      </c>
      <c r="M113" s="3">
        <f t="shared" si="21"/>
        <v>0.26666666666666666</v>
      </c>
      <c r="N113" s="4">
        <f t="shared" si="22"/>
        <v>16</v>
      </c>
      <c r="O113" s="2">
        <v>1.5856481481481481E-3</v>
      </c>
      <c r="P113" s="9">
        <f t="shared" si="15"/>
        <v>484.06666666666666</v>
      </c>
      <c r="Q113" s="3">
        <f t="shared" si="23"/>
        <v>2.2833333333333332</v>
      </c>
      <c r="R113" s="4">
        <f t="shared" si="24"/>
        <v>137</v>
      </c>
      <c r="S113" s="3">
        <f t="shared" si="25"/>
        <v>178</v>
      </c>
      <c r="T113" s="1">
        <v>0.84260000000000002</v>
      </c>
      <c r="U113" s="6">
        <f t="shared" si="16"/>
        <v>178.63120000000001</v>
      </c>
    </row>
    <row r="114" spans="1:21" x14ac:dyDescent="0.35">
      <c r="A114">
        <v>113</v>
      </c>
      <c r="B114" s="5">
        <v>44309</v>
      </c>
      <c r="C114" s="4">
        <f t="shared" si="17"/>
        <v>2021</v>
      </c>
      <c r="D114" s="4">
        <f t="shared" si="18"/>
        <v>4</v>
      </c>
      <c r="E114" s="14">
        <v>44309</v>
      </c>
      <c r="F114" s="4">
        <f t="shared" si="19"/>
        <v>23</v>
      </c>
      <c r="G114">
        <v>205</v>
      </c>
      <c r="H114">
        <v>202</v>
      </c>
      <c r="I114" s="13">
        <f t="shared" si="20"/>
        <v>0.98</v>
      </c>
      <c r="J114">
        <f t="shared" si="13"/>
        <v>3</v>
      </c>
      <c r="K114" s="2">
        <v>1.273148148148148E-4</v>
      </c>
      <c r="L114" s="11">
        <f t="shared" si="14"/>
        <v>37.033333333333331</v>
      </c>
      <c r="M114" s="3">
        <f t="shared" si="21"/>
        <v>0.18333333333333332</v>
      </c>
      <c r="N114" s="4">
        <f t="shared" si="22"/>
        <v>11</v>
      </c>
      <c r="O114" s="2">
        <v>1.6782407407407408E-3</v>
      </c>
      <c r="P114" s="9">
        <f t="shared" si="15"/>
        <v>488.16666666666663</v>
      </c>
      <c r="Q114" s="3">
        <f t="shared" si="23"/>
        <v>2.4166666666666665</v>
      </c>
      <c r="R114" s="4">
        <f t="shared" si="24"/>
        <v>145</v>
      </c>
      <c r="S114" s="3">
        <f t="shared" si="25"/>
        <v>183</v>
      </c>
      <c r="T114" s="1">
        <v>0.90690000000000004</v>
      </c>
      <c r="U114" s="6">
        <f t="shared" si="16"/>
        <v>183.19380000000001</v>
      </c>
    </row>
    <row r="115" spans="1:21" x14ac:dyDescent="0.35">
      <c r="A115">
        <v>114</v>
      </c>
      <c r="B115" s="5">
        <v>44310</v>
      </c>
      <c r="C115" s="4">
        <f t="shared" si="17"/>
        <v>2021</v>
      </c>
      <c r="D115" s="4">
        <f t="shared" si="18"/>
        <v>4</v>
      </c>
      <c r="E115" s="14">
        <v>44310</v>
      </c>
      <c r="F115" s="4">
        <f t="shared" si="19"/>
        <v>24</v>
      </c>
      <c r="G115">
        <v>195</v>
      </c>
      <c r="H115">
        <v>190</v>
      </c>
      <c r="I115" s="13">
        <f t="shared" si="20"/>
        <v>0.97</v>
      </c>
      <c r="J115">
        <f t="shared" si="13"/>
        <v>5</v>
      </c>
      <c r="K115" s="2">
        <v>1.3888888888888889E-4</v>
      </c>
      <c r="L115" s="11">
        <f t="shared" si="14"/>
        <v>38</v>
      </c>
      <c r="M115" s="3">
        <f t="shared" si="21"/>
        <v>0.2</v>
      </c>
      <c r="N115" s="4">
        <f t="shared" si="22"/>
        <v>12</v>
      </c>
      <c r="O115" s="2">
        <v>1.6435185185185185E-3</v>
      </c>
      <c r="P115" s="9">
        <f t="shared" si="15"/>
        <v>449.66666666666669</v>
      </c>
      <c r="Q115" s="3">
        <f t="shared" si="23"/>
        <v>2.3666666666666667</v>
      </c>
      <c r="R115" s="4">
        <f t="shared" si="24"/>
        <v>142</v>
      </c>
      <c r="S115" s="3">
        <f t="shared" si="25"/>
        <v>169</v>
      </c>
      <c r="T115" s="1">
        <v>0.8901</v>
      </c>
      <c r="U115" s="6">
        <f t="shared" si="16"/>
        <v>169.119</v>
      </c>
    </row>
    <row r="116" spans="1:21" x14ac:dyDescent="0.35">
      <c r="A116">
        <v>115</v>
      </c>
      <c r="B116" s="5">
        <v>44311</v>
      </c>
      <c r="C116" s="4">
        <f t="shared" si="17"/>
        <v>2021</v>
      </c>
      <c r="D116" s="4">
        <f t="shared" si="18"/>
        <v>4</v>
      </c>
      <c r="E116" s="14">
        <v>44311</v>
      </c>
      <c r="F116" s="4">
        <f t="shared" si="19"/>
        <v>25</v>
      </c>
      <c r="G116">
        <v>181</v>
      </c>
      <c r="H116">
        <v>176</v>
      </c>
      <c r="I116" s="13">
        <f t="shared" si="20"/>
        <v>0.97</v>
      </c>
      <c r="J116">
        <f t="shared" si="13"/>
        <v>5</v>
      </c>
      <c r="K116" s="2">
        <v>1.5046296296296297E-4</v>
      </c>
      <c r="L116" s="11">
        <f t="shared" si="14"/>
        <v>38.133333333333333</v>
      </c>
      <c r="M116" s="3">
        <f t="shared" si="21"/>
        <v>0.21666666666666667</v>
      </c>
      <c r="N116" s="4">
        <f t="shared" si="22"/>
        <v>13</v>
      </c>
      <c r="O116" s="2">
        <v>1.5393518518518519E-3</v>
      </c>
      <c r="P116" s="9">
        <f t="shared" si="15"/>
        <v>390.13333333333333</v>
      </c>
      <c r="Q116" s="3">
        <f t="shared" si="23"/>
        <v>2.2166666666666668</v>
      </c>
      <c r="R116" s="4">
        <f t="shared" si="24"/>
        <v>133</v>
      </c>
      <c r="S116" s="3">
        <f t="shared" si="25"/>
        <v>144</v>
      </c>
      <c r="T116" s="1">
        <v>0.82220000000000004</v>
      </c>
      <c r="U116" s="6">
        <f t="shared" si="16"/>
        <v>144.7072</v>
      </c>
    </row>
    <row r="117" spans="1:21" x14ac:dyDescent="0.35">
      <c r="A117">
        <v>116</v>
      </c>
      <c r="B117" s="5">
        <v>44312</v>
      </c>
      <c r="C117" s="4">
        <f t="shared" si="17"/>
        <v>2021</v>
      </c>
      <c r="D117" s="4">
        <f t="shared" si="18"/>
        <v>4</v>
      </c>
      <c r="E117" s="14">
        <v>44312</v>
      </c>
      <c r="F117" s="4">
        <f t="shared" si="19"/>
        <v>26</v>
      </c>
      <c r="G117">
        <v>212</v>
      </c>
      <c r="H117">
        <v>206</v>
      </c>
      <c r="I117" s="13">
        <f t="shared" si="20"/>
        <v>0.97</v>
      </c>
      <c r="J117">
        <f t="shared" si="13"/>
        <v>6</v>
      </c>
      <c r="K117" s="2">
        <v>1.273148148148148E-4</v>
      </c>
      <c r="L117" s="11">
        <f t="shared" si="14"/>
        <v>37.766666666666666</v>
      </c>
      <c r="M117" s="3">
        <f t="shared" si="21"/>
        <v>0.18333333333333332</v>
      </c>
      <c r="N117" s="4">
        <f t="shared" si="22"/>
        <v>11</v>
      </c>
      <c r="O117" s="2">
        <v>1.6203703703703703E-3</v>
      </c>
      <c r="P117" s="9">
        <f t="shared" si="15"/>
        <v>480.66666666666669</v>
      </c>
      <c r="Q117" s="3">
        <f t="shared" si="23"/>
        <v>2.3333333333333335</v>
      </c>
      <c r="R117" s="4">
        <f t="shared" si="24"/>
        <v>140</v>
      </c>
      <c r="S117" s="3">
        <f t="shared" si="25"/>
        <v>184</v>
      </c>
      <c r="T117" s="1">
        <v>0.89419999999999999</v>
      </c>
      <c r="U117" s="6">
        <f t="shared" si="16"/>
        <v>184.20519999999999</v>
      </c>
    </row>
    <row r="118" spans="1:21" x14ac:dyDescent="0.35">
      <c r="A118">
        <v>117</v>
      </c>
      <c r="B118" s="5">
        <v>44313</v>
      </c>
      <c r="C118" s="4">
        <f t="shared" si="17"/>
        <v>2021</v>
      </c>
      <c r="D118" s="4">
        <f t="shared" si="18"/>
        <v>4</v>
      </c>
      <c r="E118" s="14">
        <v>44313</v>
      </c>
      <c r="F118" s="4">
        <f t="shared" si="19"/>
        <v>27</v>
      </c>
      <c r="G118">
        <v>33</v>
      </c>
      <c r="H118">
        <v>32</v>
      </c>
      <c r="I118" s="13">
        <f t="shared" si="20"/>
        <v>0.96</v>
      </c>
      <c r="J118">
        <f t="shared" si="13"/>
        <v>1</v>
      </c>
      <c r="K118" s="2">
        <v>9.2592592592592588E-5</v>
      </c>
      <c r="L118" s="11">
        <f t="shared" si="14"/>
        <v>4.2666666666666666</v>
      </c>
      <c r="M118" s="3">
        <f t="shared" si="21"/>
        <v>0.13333333333333333</v>
      </c>
      <c r="N118" s="4">
        <f t="shared" si="22"/>
        <v>8</v>
      </c>
      <c r="O118" s="2">
        <v>1.712962962962963E-3</v>
      </c>
      <c r="P118" s="9">
        <f t="shared" si="15"/>
        <v>78.933333333333337</v>
      </c>
      <c r="Q118" s="3">
        <f t="shared" si="23"/>
        <v>2.4666666666666668</v>
      </c>
      <c r="R118" s="4">
        <f t="shared" si="24"/>
        <v>148</v>
      </c>
      <c r="S118" s="3">
        <f t="shared" si="25"/>
        <v>29</v>
      </c>
      <c r="T118" s="1">
        <v>0.90910000000000002</v>
      </c>
      <c r="U118" s="6">
        <f t="shared" si="16"/>
        <v>29.091200000000001</v>
      </c>
    </row>
    <row r="119" spans="1:21" x14ac:dyDescent="0.35">
      <c r="A119">
        <v>118</v>
      </c>
      <c r="B119" s="5">
        <v>44314</v>
      </c>
      <c r="C119" s="4">
        <f t="shared" si="17"/>
        <v>2021</v>
      </c>
      <c r="D119" s="4">
        <f t="shared" si="18"/>
        <v>4</v>
      </c>
      <c r="E119" s="14">
        <v>44314</v>
      </c>
      <c r="F119" s="4">
        <f t="shared" si="19"/>
        <v>28</v>
      </c>
      <c r="G119">
        <v>298</v>
      </c>
      <c r="H119">
        <v>287</v>
      </c>
      <c r="I119" s="13">
        <f t="shared" si="20"/>
        <v>0.96</v>
      </c>
      <c r="J119">
        <f t="shared" si="13"/>
        <v>11</v>
      </c>
      <c r="K119" s="2">
        <v>1.5046296296296297E-4</v>
      </c>
      <c r="L119" s="11">
        <f t="shared" si="14"/>
        <v>62.183333333333337</v>
      </c>
      <c r="M119" s="3">
        <f t="shared" si="21"/>
        <v>0.21666666666666667</v>
      </c>
      <c r="N119" s="4">
        <f t="shared" si="22"/>
        <v>13</v>
      </c>
      <c r="O119" s="2">
        <v>1.0995370370370371E-3</v>
      </c>
      <c r="P119" s="9">
        <f t="shared" si="15"/>
        <v>454.41666666666669</v>
      </c>
      <c r="Q119" s="3">
        <f t="shared" si="23"/>
        <v>1.5833333333333335</v>
      </c>
      <c r="R119" s="4">
        <f t="shared" si="24"/>
        <v>95.000000000000014</v>
      </c>
      <c r="S119" s="3">
        <f t="shared" si="25"/>
        <v>239</v>
      </c>
      <c r="T119" s="1">
        <v>0.83330000000000004</v>
      </c>
      <c r="U119" s="6">
        <f t="shared" si="16"/>
        <v>239.15710000000001</v>
      </c>
    </row>
    <row r="120" spans="1:21" x14ac:dyDescent="0.35">
      <c r="A120">
        <v>119</v>
      </c>
      <c r="B120" s="5">
        <v>44315</v>
      </c>
      <c r="C120" s="4">
        <f t="shared" si="17"/>
        <v>2021</v>
      </c>
      <c r="D120" s="4">
        <f t="shared" si="18"/>
        <v>4</v>
      </c>
      <c r="E120" s="14">
        <v>44315</v>
      </c>
      <c r="F120" s="4">
        <f t="shared" si="19"/>
        <v>29</v>
      </c>
      <c r="G120">
        <v>158</v>
      </c>
      <c r="H120">
        <v>156</v>
      </c>
      <c r="I120" s="13">
        <f t="shared" si="20"/>
        <v>0.98</v>
      </c>
      <c r="J120">
        <f t="shared" si="13"/>
        <v>2</v>
      </c>
      <c r="K120" s="2">
        <v>1.273148148148148E-4</v>
      </c>
      <c r="L120" s="11">
        <f t="shared" si="14"/>
        <v>28.599999999999998</v>
      </c>
      <c r="M120" s="3">
        <f t="shared" si="21"/>
        <v>0.18333333333333332</v>
      </c>
      <c r="N120" s="4">
        <f t="shared" si="22"/>
        <v>11</v>
      </c>
      <c r="O120" s="2">
        <v>1.6550925925925926E-3</v>
      </c>
      <c r="P120" s="9">
        <f t="shared" si="15"/>
        <v>371.8</v>
      </c>
      <c r="Q120" s="3">
        <f t="shared" si="23"/>
        <v>2.3833333333333333</v>
      </c>
      <c r="R120" s="4">
        <f t="shared" si="24"/>
        <v>143</v>
      </c>
      <c r="S120" s="3">
        <f t="shared" si="25"/>
        <v>140</v>
      </c>
      <c r="T120" s="1">
        <v>0.89810000000000001</v>
      </c>
      <c r="U120" s="6">
        <f t="shared" si="16"/>
        <v>140.1036</v>
      </c>
    </row>
    <row r="121" spans="1:21" x14ac:dyDescent="0.35">
      <c r="A121">
        <v>120</v>
      </c>
      <c r="B121" s="5">
        <v>44316</v>
      </c>
      <c r="C121" s="4">
        <f t="shared" si="17"/>
        <v>2021</v>
      </c>
      <c r="D121" s="4">
        <f t="shared" si="18"/>
        <v>4</v>
      </c>
      <c r="E121" s="14">
        <v>44316</v>
      </c>
      <c r="F121" s="4">
        <f t="shared" si="19"/>
        <v>30</v>
      </c>
      <c r="G121">
        <v>156</v>
      </c>
      <c r="H121">
        <v>154</v>
      </c>
      <c r="I121" s="13">
        <f t="shared" si="20"/>
        <v>0.98</v>
      </c>
      <c r="J121">
        <f t="shared" si="13"/>
        <v>2</v>
      </c>
      <c r="K121" s="2">
        <v>1.3888888888888889E-4</v>
      </c>
      <c r="L121" s="11">
        <f t="shared" si="14"/>
        <v>30.8</v>
      </c>
      <c r="M121" s="3">
        <f t="shared" si="21"/>
        <v>0.2</v>
      </c>
      <c r="N121" s="4">
        <f t="shared" si="22"/>
        <v>12</v>
      </c>
      <c r="O121" s="2">
        <v>1.5393518518518519E-3</v>
      </c>
      <c r="P121" s="9">
        <f t="shared" si="15"/>
        <v>341.36666666666667</v>
      </c>
      <c r="Q121" s="3">
        <f t="shared" si="23"/>
        <v>2.2166666666666668</v>
      </c>
      <c r="R121" s="4">
        <f t="shared" si="24"/>
        <v>133</v>
      </c>
      <c r="S121" s="3">
        <f t="shared" si="25"/>
        <v>132</v>
      </c>
      <c r="T121" s="1">
        <v>0.85809999999999997</v>
      </c>
      <c r="U121" s="6">
        <f t="shared" si="16"/>
        <v>132.1474</v>
      </c>
    </row>
    <row r="122" spans="1:21" x14ac:dyDescent="0.35">
      <c r="A122">
        <v>121</v>
      </c>
      <c r="B122" s="5">
        <v>44317</v>
      </c>
      <c r="C122" s="4">
        <f t="shared" si="17"/>
        <v>2021</v>
      </c>
      <c r="D122" s="4">
        <f t="shared" si="18"/>
        <v>5</v>
      </c>
      <c r="E122" s="14">
        <v>44317</v>
      </c>
      <c r="F122" s="4">
        <f t="shared" si="19"/>
        <v>1</v>
      </c>
      <c r="G122">
        <v>163</v>
      </c>
      <c r="H122">
        <v>163</v>
      </c>
      <c r="I122" s="13">
        <f t="shared" si="20"/>
        <v>1</v>
      </c>
      <c r="J122">
        <f t="shared" si="13"/>
        <v>0</v>
      </c>
      <c r="K122" s="2">
        <v>1.1574074074074075E-4</v>
      </c>
      <c r="L122" s="11">
        <f t="shared" si="14"/>
        <v>27.166666666666664</v>
      </c>
      <c r="M122" s="3">
        <f t="shared" si="21"/>
        <v>0.16666666666666666</v>
      </c>
      <c r="N122" s="4">
        <f t="shared" si="22"/>
        <v>10</v>
      </c>
      <c r="O122" s="2">
        <v>1.4120370370370369E-3</v>
      </c>
      <c r="P122" s="9">
        <f t="shared" si="15"/>
        <v>331.43333333333334</v>
      </c>
      <c r="Q122" s="3">
        <f t="shared" si="23"/>
        <v>2.0333333333333332</v>
      </c>
      <c r="R122" s="4">
        <f t="shared" si="24"/>
        <v>122</v>
      </c>
      <c r="S122" s="3">
        <f t="shared" si="25"/>
        <v>151</v>
      </c>
      <c r="T122" s="1">
        <v>0.9264</v>
      </c>
      <c r="U122" s="6">
        <f t="shared" si="16"/>
        <v>151.00319999999999</v>
      </c>
    </row>
    <row r="123" spans="1:21" x14ac:dyDescent="0.35">
      <c r="A123">
        <v>122</v>
      </c>
      <c r="B123" s="5">
        <v>44318</v>
      </c>
      <c r="C123" s="4">
        <f t="shared" si="17"/>
        <v>2021</v>
      </c>
      <c r="D123" s="4">
        <f t="shared" si="18"/>
        <v>5</v>
      </c>
      <c r="E123" s="14">
        <v>44318</v>
      </c>
      <c r="F123" s="4">
        <f t="shared" si="19"/>
        <v>2</v>
      </c>
      <c r="G123">
        <v>98</v>
      </c>
      <c r="H123">
        <v>98</v>
      </c>
      <c r="I123" s="13">
        <f t="shared" si="20"/>
        <v>1</v>
      </c>
      <c r="J123">
        <f t="shared" si="13"/>
        <v>0</v>
      </c>
      <c r="K123" s="2">
        <v>8.1018518518518516E-5</v>
      </c>
      <c r="L123" s="11">
        <f t="shared" si="14"/>
        <v>11.433333333333334</v>
      </c>
      <c r="M123" s="3">
        <f t="shared" si="21"/>
        <v>0.11666666666666667</v>
      </c>
      <c r="N123" s="4">
        <f t="shared" si="22"/>
        <v>7</v>
      </c>
      <c r="O123" s="2">
        <v>1.5046296296296296E-3</v>
      </c>
      <c r="P123" s="9">
        <f t="shared" si="15"/>
        <v>212.33333333333331</v>
      </c>
      <c r="Q123" s="3">
        <f t="shared" si="23"/>
        <v>2.1666666666666665</v>
      </c>
      <c r="R123" s="4">
        <f t="shared" si="24"/>
        <v>130</v>
      </c>
      <c r="S123" s="3">
        <f t="shared" si="25"/>
        <v>92</v>
      </c>
      <c r="T123" s="1">
        <v>0.93879999999999997</v>
      </c>
      <c r="U123" s="6">
        <f t="shared" si="16"/>
        <v>92.002399999999994</v>
      </c>
    </row>
    <row r="124" spans="1:21" x14ac:dyDescent="0.35">
      <c r="A124">
        <v>123</v>
      </c>
      <c r="B124" s="5">
        <v>44319</v>
      </c>
      <c r="C124" s="4">
        <f t="shared" si="17"/>
        <v>2021</v>
      </c>
      <c r="D124" s="4">
        <f t="shared" si="18"/>
        <v>5</v>
      </c>
      <c r="E124" s="14">
        <v>44319</v>
      </c>
      <c r="F124" s="4">
        <f t="shared" si="19"/>
        <v>3</v>
      </c>
      <c r="G124">
        <v>255</v>
      </c>
      <c r="H124">
        <v>249</v>
      </c>
      <c r="I124" s="13">
        <f t="shared" si="20"/>
        <v>0.97</v>
      </c>
      <c r="J124">
        <f t="shared" si="13"/>
        <v>6</v>
      </c>
      <c r="K124" s="2">
        <v>1.7361111111111112E-4</v>
      </c>
      <c r="L124" s="11">
        <f t="shared" si="14"/>
        <v>62.25</v>
      </c>
      <c r="M124" s="3">
        <f t="shared" si="21"/>
        <v>0.25</v>
      </c>
      <c r="N124" s="4">
        <f t="shared" si="22"/>
        <v>15</v>
      </c>
      <c r="O124" s="2">
        <v>1.6087962962962963E-3</v>
      </c>
      <c r="P124" s="9">
        <f t="shared" si="15"/>
        <v>576.84999999999991</v>
      </c>
      <c r="Q124" s="3">
        <f t="shared" si="23"/>
        <v>2.3166666666666664</v>
      </c>
      <c r="R124" s="4">
        <f t="shared" si="24"/>
        <v>139</v>
      </c>
      <c r="S124" s="3">
        <f t="shared" si="25"/>
        <v>205</v>
      </c>
      <c r="T124" s="1">
        <v>0.82679999999999998</v>
      </c>
      <c r="U124" s="6">
        <f t="shared" si="16"/>
        <v>205.8732</v>
      </c>
    </row>
    <row r="125" spans="1:21" x14ac:dyDescent="0.35">
      <c r="A125">
        <v>124</v>
      </c>
      <c r="B125" s="5">
        <v>44320</v>
      </c>
      <c r="C125" s="4">
        <f t="shared" si="17"/>
        <v>2021</v>
      </c>
      <c r="D125" s="4">
        <f t="shared" si="18"/>
        <v>5</v>
      </c>
      <c r="E125" s="14">
        <v>44320</v>
      </c>
      <c r="F125" s="4">
        <f t="shared" si="19"/>
        <v>4</v>
      </c>
      <c r="G125">
        <v>50</v>
      </c>
      <c r="H125">
        <v>49</v>
      </c>
      <c r="I125" s="13">
        <f t="shared" si="20"/>
        <v>0.98</v>
      </c>
      <c r="J125">
        <f t="shared" si="13"/>
        <v>1</v>
      </c>
      <c r="K125" s="2">
        <v>9.2592592592592588E-5</v>
      </c>
      <c r="L125" s="11">
        <f t="shared" si="14"/>
        <v>6.5333333333333332</v>
      </c>
      <c r="M125" s="3">
        <f t="shared" si="21"/>
        <v>0.13333333333333333</v>
      </c>
      <c r="N125" s="4">
        <f t="shared" si="22"/>
        <v>8</v>
      </c>
      <c r="O125" s="2">
        <v>1.4120370370370369E-3</v>
      </c>
      <c r="P125" s="9">
        <f t="shared" si="15"/>
        <v>99.633333333333326</v>
      </c>
      <c r="Q125" s="3">
        <f t="shared" si="23"/>
        <v>2.0333333333333332</v>
      </c>
      <c r="R125" s="4">
        <f t="shared" si="24"/>
        <v>122</v>
      </c>
      <c r="S125" s="3">
        <f t="shared" si="25"/>
        <v>45</v>
      </c>
      <c r="T125" s="1">
        <v>0.92</v>
      </c>
      <c r="U125" s="6">
        <f t="shared" si="16"/>
        <v>45.080000000000005</v>
      </c>
    </row>
    <row r="126" spans="1:21" x14ac:dyDescent="0.35">
      <c r="A126">
        <v>125</v>
      </c>
      <c r="B126" s="5">
        <v>44321</v>
      </c>
      <c r="C126" s="4">
        <f t="shared" si="17"/>
        <v>2021</v>
      </c>
      <c r="D126" s="4">
        <f t="shared" si="18"/>
        <v>5</v>
      </c>
      <c r="E126" s="14">
        <v>44321</v>
      </c>
      <c r="F126" s="4">
        <f t="shared" si="19"/>
        <v>5</v>
      </c>
      <c r="G126">
        <v>290</v>
      </c>
      <c r="H126">
        <v>289</v>
      </c>
      <c r="I126" s="13">
        <f t="shared" si="20"/>
        <v>0.99</v>
      </c>
      <c r="J126">
        <f t="shared" si="13"/>
        <v>1</v>
      </c>
      <c r="K126" s="2">
        <v>1.3888888888888889E-4</v>
      </c>
      <c r="L126" s="11">
        <f t="shared" si="14"/>
        <v>57.800000000000004</v>
      </c>
      <c r="M126" s="3">
        <f t="shared" si="21"/>
        <v>0.2</v>
      </c>
      <c r="N126" s="4">
        <f t="shared" si="22"/>
        <v>12</v>
      </c>
      <c r="O126" s="2">
        <v>1.4004629629629629E-3</v>
      </c>
      <c r="P126" s="9">
        <f t="shared" si="15"/>
        <v>582.81666666666661</v>
      </c>
      <c r="Q126" s="3">
        <f t="shared" si="23"/>
        <v>2.0166666666666666</v>
      </c>
      <c r="R126" s="4">
        <f t="shared" si="24"/>
        <v>121</v>
      </c>
      <c r="S126" s="3">
        <f t="shared" si="25"/>
        <v>257</v>
      </c>
      <c r="T126" s="1">
        <v>0.89270000000000005</v>
      </c>
      <c r="U126" s="6">
        <f t="shared" si="16"/>
        <v>257.99029999999999</v>
      </c>
    </row>
    <row r="127" spans="1:21" x14ac:dyDescent="0.35">
      <c r="A127">
        <v>126</v>
      </c>
      <c r="B127" s="5">
        <v>44322</v>
      </c>
      <c r="C127" s="4">
        <f t="shared" si="17"/>
        <v>2021</v>
      </c>
      <c r="D127" s="4">
        <f t="shared" si="18"/>
        <v>5</v>
      </c>
      <c r="E127" s="14">
        <v>44322</v>
      </c>
      <c r="F127" s="4">
        <f t="shared" si="19"/>
        <v>6</v>
      </c>
      <c r="G127">
        <v>296</v>
      </c>
      <c r="H127">
        <v>281</v>
      </c>
      <c r="I127" s="13">
        <f t="shared" si="20"/>
        <v>0.94</v>
      </c>
      <c r="J127">
        <f t="shared" si="13"/>
        <v>15</v>
      </c>
      <c r="K127" s="2">
        <v>2.5462962962962961E-4</v>
      </c>
      <c r="L127" s="11">
        <f t="shared" si="14"/>
        <v>103.03333333333333</v>
      </c>
      <c r="M127" s="3">
        <f t="shared" si="21"/>
        <v>0.36666666666666664</v>
      </c>
      <c r="N127" s="4">
        <f t="shared" si="22"/>
        <v>22</v>
      </c>
      <c r="O127" s="2">
        <v>1.4814814814814814E-3</v>
      </c>
      <c r="P127" s="9">
        <f t="shared" si="15"/>
        <v>599.4666666666667</v>
      </c>
      <c r="Q127" s="3">
        <f t="shared" si="23"/>
        <v>2.1333333333333333</v>
      </c>
      <c r="R127" s="4">
        <f t="shared" si="24"/>
        <v>128</v>
      </c>
      <c r="S127" s="3">
        <f t="shared" si="25"/>
        <v>206</v>
      </c>
      <c r="T127" s="1">
        <v>0.73540000000000005</v>
      </c>
      <c r="U127" s="6">
        <f t="shared" si="16"/>
        <v>206.6474</v>
      </c>
    </row>
    <row r="128" spans="1:21" x14ac:dyDescent="0.35">
      <c r="A128">
        <v>127</v>
      </c>
      <c r="B128" s="5">
        <v>44323</v>
      </c>
      <c r="C128" s="4">
        <f t="shared" si="17"/>
        <v>2021</v>
      </c>
      <c r="D128" s="4">
        <f t="shared" si="18"/>
        <v>5</v>
      </c>
      <c r="E128" s="14">
        <v>44323</v>
      </c>
      <c r="F128" s="4">
        <f t="shared" si="19"/>
        <v>7</v>
      </c>
      <c r="G128">
        <v>260</v>
      </c>
      <c r="H128">
        <v>257</v>
      </c>
      <c r="I128" s="13">
        <f t="shared" si="20"/>
        <v>0.98</v>
      </c>
      <c r="J128">
        <f t="shared" si="13"/>
        <v>3</v>
      </c>
      <c r="K128" s="2">
        <v>1.9675925925925926E-4</v>
      </c>
      <c r="L128" s="11">
        <f t="shared" si="14"/>
        <v>72.816666666666663</v>
      </c>
      <c r="M128" s="3">
        <f t="shared" si="21"/>
        <v>0.28333333333333333</v>
      </c>
      <c r="N128" s="4">
        <f t="shared" si="22"/>
        <v>17</v>
      </c>
      <c r="O128" s="2">
        <v>1.5393518518518519E-3</v>
      </c>
      <c r="P128" s="9">
        <f t="shared" si="15"/>
        <v>569.68333333333339</v>
      </c>
      <c r="Q128" s="3">
        <f t="shared" si="23"/>
        <v>2.2166666666666668</v>
      </c>
      <c r="R128" s="4">
        <f t="shared" si="24"/>
        <v>133</v>
      </c>
      <c r="S128" s="3">
        <f t="shared" si="25"/>
        <v>224</v>
      </c>
      <c r="T128" s="1">
        <v>0.87160000000000004</v>
      </c>
      <c r="U128" s="6">
        <f t="shared" si="16"/>
        <v>224.00120000000001</v>
      </c>
    </row>
    <row r="129" spans="1:21" x14ac:dyDescent="0.35">
      <c r="A129">
        <v>128</v>
      </c>
      <c r="B129" s="5">
        <v>44324</v>
      </c>
      <c r="C129" s="4">
        <f t="shared" si="17"/>
        <v>2021</v>
      </c>
      <c r="D129" s="4">
        <f t="shared" si="18"/>
        <v>5</v>
      </c>
      <c r="E129" s="14">
        <v>44324</v>
      </c>
      <c r="F129" s="4">
        <f t="shared" si="19"/>
        <v>8</v>
      </c>
      <c r="G129">
        <v>201</v>
      </c>
      <c r="H129">
        <v>193</v>
      </c>
      <c r="I129" s="13">
        <f t="shared" si="20"/>
        <v>0.96</v>
      </c>
      <c r="J129">
        <f t="shared" si="13"/>
        <v>8</v>
      </c>
      <c r="K129" s="2">
        <v>2.199074074074074E-4</v>
      </c>
      <c r="L129" s="11">
        <f t="shared" si="14"/>
        <v>61.116666666666667</v>
      </c>
      <c r="M129" s="3">
        <f t="shared" si="21"/>
        <v>0.31666666666666665</v>
      </c>
      <c r="N129" s="4">
        <f t="shared" si="22"/>
        <v>19</v>
      </c>
      <c r="O129" s="2">
        <v>1.6550925925925926E-3</v>
      </c>
      <c r="P129" s="9">
        <f t="shared" si="15"/>
        <v>459.98333333333335</v>
      </c>
      <c r="Q129" s="3">
        <f t="shared" si="23"/>
        <v>2.3833333333333333</v>
      </c>
      <c r="R129" s="4">
        <f t="shared" si="24"/>
        <v>143</v>
      </c>
      <c r="S129" s="3">
        <f t="shared" si="25"/>
        <v>148</v>
      </c>
      <c r="T129" s="1">
        <v>0.76770000000000005</v>
      </c>
      <c r="U129" s="6">
        <f t="shared" si="16"/>
        <v>148.1661</v>
      </c>
    </row>
    <row r="130" spans="1:21" x14ac:dyDescent="0.35">
      <c r="A130">
        <v>129</v>
      </c>
      <c r="B130" s="5">
        <v>44325</v>
      </c>
      <c r="C130" s="4">
        <f t="shared" si="17"/>
        <v>2021</v>
      </c>
      <c r="D130" s="4">
        <f t="shared" si="18"/>
        <v>5</v>
      </c>
      <c r="E130" s="14">
        <v>44325</v>
      </c>
      <c r="F130" s="4">
        <f t="shared" si="19"/>
        <v>9</v>
      </c>
      <c r="G130">
        <v>132</v>
      </c>
      <c r="H130">
        <v>131</v>
      </c>
      <c r="I130" s="13">
        <f t="shared" si="20"/>
        <v>0.99</v>
      </c>
      <c r="J130">
        <f t="shared" ref="J130:J193" si="26">G130-H130</f>
        <v>1</v>
      </c>
      <c r="K130" s="2">
        <v>1.9675925925925926E-4</v>
      </c>
      <c r="L130" s="11">
        <f t="shared" ref="L130:L193" si="27">H130*M130</f>
        <v>37.116666666666667</v>
      </c>
      <c r="M130" s="3">
        <f t="shared" si="21"/>
        <v>0.28333333333333333</v>
      </c>
      <c r="N130" s="4">
        <f t="shared" si="22"/>
        <v>17</v>
      </c>
      <c r="O130" s="2">
        <v>1.5393518518518519E-3</v>
      </c>
      <c r="P130" s="9">
        <f t="shared" ref="P130:P193" si="28">Q130*H130</f>
        <v>290.38333333333333</v>
      </c>
      <c r="Q130" s="3">
        <f t="shared" si="23"/>
        <v>2.2166666666666668</v>
      </c>
      <c r="R130" s="4">
        <f t="shared" si="24"/>
        <v>133</v>
      </c>
      <c r="S130" s="3">
        <f t="shared" si="25"/>
        <v>100</v>
      </c>
      <c r="T130" s="1">
        <v>0.76519999999999999</v>
      </c>
      <c r="U130" s="6">
        <f t="shared" ref="U130:U193" si="29">T130*H130</f>
        <v>100.24119999999999</v>
      </c>
    </row>
    <row r="131" spans="1:21" x14ac:dyDescent="0.35">
      <c r="A131">
        <v>130</v>
      </c>
      <c r="B131" s="5">
        <v>44326</v>
      </c>
      <c r="C131" s="4">
        <f t="shared" ref="C131:C194" si="30">YEAR(B131)</f>
        <v>2021</v>
      </c>
      <c r="D131" s="4">
        <f t="shared" ref="D131:D194" si="31">MONTH(B131)</f>
        <v>5</v>
      </c>
      <c r="E131" s="14">
        <v>44326</v>
      </c>
      <c r="F131" s="4">
        <f t="shared" ref="F131:F194" si="32">DAY(B131)</f>
        <v>10</v>
      </c>
      <c r="G131">
        <v>167</v>
      </c>
      <c r="H131">
        <v>165</v>
      </c>
      <c r="I131" s="13">
        <f t="shared" ref="I131:I194" si="33">TRUNC(H131/G131,2)</f>
        <v>0.98</v>
      </c>
      <c r="J131">
        <f t="shared" si="26"/>
        <v>2</v>
      </c>
      <c r="K131" s="2">
        <v>1.0416666666666667E-4</v>
      </c>
      <c r="L131" s="11">
        <f t="shared" si="27"/>
        <v>24.75</v>
      </c>
      <c r="M131" s="3">
        <f t="shared" ref="M131:M194" si="34">MINUTE(K131)+SECOND(K131)/60</f>
        <v>0.15</v>
      </c>
      <c r="N131" s="4">
        <f t="shared" ref="N131:N194" si="35">M131*60</f>
        <v>9</v>
      </c>
      <c r="O131" s="2">
        <v>1.4583333333333334E-3</v>
      </c>
      <c r="P131" s="9">
        <f t="shared" si="28"/>
        <v>346.5</v>
      </c>
      <c r="Q131" s="3">
        <f t="shared" ref="Q131:Q194" si="36">MINUTE(O131)+SECOND(O131)/60</f>
        <v>2.1</v>
      </c>
      <c r="R131" s="4">
        <f t="shared" ref="R131:R194" si="37">Q131*60</f>
        <v>126</v>
      </c>
      <c r="S131" s="3">
        <f t="shared" ref="S131:S194" si="38">TRUNC(U131,0)</f>
        <v>151</v>
      </c>
      <c r="T131" s="1">
        <v>0.92120000000000002</v>
      </c>
      <c r="U131" s="6">
        <f t="shared" si="29"/>
        <v>151.99799999999999</v>
      </c>
    </row>
    <row r="132" spans="1:21" x14ac:dyDescent="0.35">
      <c r="A132">
        <v>131</v>
      </c>
      <c r="B132" s="5">
        <v>44327</v>
      </c>
      <c r="C132" s="4">
        <f t="shared" si="30"/>
        <v>2021</v>
      </c>
      <c r="D132" s="4">
        <f t="shared" si="31"/>
        <v>5</v>
      </c>
      <c r="E132" s="14">
        <v>44327</v>
      </c>
      <c r="F132" s="4">
        <f t="shared" si="32"/>
        <v>11</v>
      </c>
      <c r="G132">
        <v>85</v>
      </c>
      <c r="H132">
        <v>79</v>
      </c>
      <c r="I132" s="13">
        <f t="shared" si="33"/>
        <v>0.92</v>
      </c>
      <c r="J132">
        <f t="shared" si="26"/>
        <v>6</v>
      </c>
      <c r="K132" s="2">
        <v>2.0833333333333335E-4</v>
      </c>
      <c r="L132" s="11">
        <f t="shared" si="27"/>
        <v>23.7</v>
      </c>
      <c r="M132" s="3">
        <f t="shared" si="34"/>
        <v>0.3</v>
      </c>
      <c r="N132" s="4">
        <f t="shared" si="35"/>
        <v>18</v>
      </c>
      <c r="O132" s="2">
        <v>1.6782407407407408E-3</v>
      </c>
      <c r="P132" s="9">
        <f t="shared" si="28"/>
        <v>190.91666666666666</v>
      </c>
      <c r="Q132" s="3">
        <f t="shared" si="36"/>
        <v>2.4166666666666665</v>
      </c>
      <c r="R132" s="4">
        <f t="shared" si="37"/>
        <v>145</v>
      </c>
      <c r="S132" s="3">
        <f t="shared" si="38"/>
        <v>61</v>
      </c>
      <c r="T132" s="1">
        <v>0.77380000000000004</v>
      </c>
      <c r="U132" s="6">
        <f t="shared" si="29"/>
        <v>61.130200000000002</v>
      </c>
    </row>
    <row r="133" spans="1:21" x14ac:dyDescent="0.35">
      <c r="A133">
        <v>132</v>
      </c>
      <c r="B133" s="5">
        <v>44328</v>
      </c>
      <c r="C133" s="4">
        <f t="shared" si="30"/>
        <v>2021</v>
      </c>
      <c r="D133" s="4">
        <f t="shared" si="31"/>
        <v>5</v>
      </c>
      <c r="E133" s="14">
        <v>44328</v>
      </c>
      <c r="F133" s="4">
        <f t="shared" si="32"/>
        <v>12</v>
      </c>
      <c r="G133">
        <v>244</v>
      </c>
      <c r="H133">
        <v>236</v>
      </c>
      <c r="I133" s="13">
        <f t="shared" si="33"/>
        <v>0.96</v>
      </c>
      <c r="J133">
        <f t="shared" si="26"/>
        <v>8</v>
      </c>
      <c r="K133" s="2">
        <v>2.4305555555555555E-4</v>
      </c>
      <c r="L133" s="11">
        <f t="shared" si="27"/>
        <v>82.6</v>
      </c>
      <c r="M133" s="3">
        <f t="shared" si="34"/>
        <v>0.35</v>
      </c>
      <c r="N133" s="4">
        <f t="shared" si="35"/>
        <v>21</v>
      </c>
      <c r="O133" s="2">
        <v>1.724537037037037E-3</v>
      </c>
      <c r="P133" s="9">
        <f t="shared" si="28"/>
        <v>586.06666666666672</v>
      </c>
      <c r="Q133" s="3">
        <f t="shared" si="36"/>
        <v>2.4833333333333334</v>
      </c>
      <c r="R133" s="4">
        <f t="shared" si="37"/>
        <v>149</v>
      </c>
      <c r="S133" s="3">
        <f t="shared" si="38"/>
        <v>178</v>
      </c>
      <c r="T133" s="1">
        <v>0.75619999999999998</v>
      </c>
      <c r="U133" s="6">
        <f t="shared" si="29"/>
        <v>178.4632</v>
      </c>
    </row>
    <row r="134" spans="1:21" x14ac:dyDescent="0.35">
      <c r="A134">
        <v>133</v>
      </c>
      <c r="B134" s="5">
        <v>44329</v>
      </c>
      <c r="C134" s="4">
        <f t="shared" si="30"/>
        <v>2021</v>
      </c>
      <c r="D134" s="4">
        <f t="shared" si="31"/>
        <v>5</v>
      </c>
      <c r="E134" s="14">
        <v>44329</v>
      </c>
      <c r="F134" s="4">
        <f t="shared" si="32"/>
        <v>13</v>
      </c>
      <c r="G134">
        <v>186</v>
      </c>
      <c r="H134">
        <v>182</v>
      </c>
      <c r="I134" s="13">
        <f t="shared" si="33"/>
        <v>0.97</v>
      </c>
      <c r="J134">
        <f t="shared" si="26"/>
        <v>4</v>
      </c>
      <c r="K134" s="2">
        <v>1.6203703703703703E-4</v>
      </c>
      <c r="L134" s="11">
        <f t="shared" si="27"/>
        <v>42.466666666666669</v>
      </c>
      <c r="M134" s="3">
        <f t="shared" si="34"/>
        <v>0.23333333333333334</v>
      </c>
      <c r="N134" s="4">
        <f t="shared" si="35"/>
        <v>14</v>
      </c>
      <c r="O134" s="2">
        <v>1.5393518518518519E-3</v>
      </c>
      <c r="P134" s="9">
        <f t="shared" si="28"/>
        <v>403.43333333333334</v>
      </c>
      <c r="Q134" s="3">
        <f t="shared" si="36"/>
        <v>2.2166666666666668</v>
      </c>
      <c r="R134" s="4">
        <f t="shared" si="37"/>
        <v>133</v>
      </c>
      <c r="S134" s="3">
        <f t="shared" si="38"/>
        <v>143</v>
      </c>
      <c r="T134" s="1">
        <v>0.7903</v>
      </c>
      <c r="U134" s="6">
        <f t="shared" si="29"/>
        <v>143.83459999999999</v>
      </c>
    </row>
    <row r="135" spans="1:21" x14ac:dyDescent="0.35">
      <c r="A135">
        <v>134</v>
      </c>
      <c r="B135" s="5">
        <v>44330</v>
      </c>
      <c r="C135" s="4">
        <f t="shared" si="30"/>
        <v>2021</v>
      </c>
      <c r="D135" s="4">
        <f t="shared" si="31"/>
        <v>5</v>
      </c>
      <c r="E135" s="14">
        <v>44330</v>
      </c>
      <c r="F135" s="4">
        <f t="shared" si="32"/>
        <v>14</v>
      </c>
      <c r="G135">
        <v>278</v>
      </c>
      <c r="H135">
        <v>264</v>
      </c>
      <c r="I135" s="13">
        <f t="shared" si="33"/>
        <v>0.94</v>
      </c>
      <c r="J135">
        <f t="shared" si="26"/>
        <v>14</v>
      </c>
      <c r="K135" s="2">
        <v>2.199074074074074E-4</v>
      </c>
      <c r="L135" s="11">
        <f t="shared" si="27"/>
        <v>83.6</v>
      </c>
      <c r="M135" s="3">
        <f t="shared" si="34"/>
        <v>0.31666666666666665</v>
      </c>
      <c r="N135" s="4">
        <f t="shared" si="35"/>
        <v>19</v>
      </c>
      <c r="O135" s="2">
        <v>1.6203703703703703E-3</v>
      </c>
      <c r="P135" s="9">
        <f t="shared" si="28"/>
        <v>616</v>
      </c>
      <c r="Q135" s="3">
        <f t="shared" si="36"/>
        <v>2.3333333333333335</v>
      </c>
      <c r="R135" s="4">
        <f t="shared" si="37"/>
        <v>140</v>
      </c>
      <c r="S135" s="3">
        <f t="shared" si="38"/>
        <v>202</v>
      </c>
      <c r="T135" s="1">
        <v>0.76839999999999997</v>
      </c>
      <c r="U135" s="6">
        <f t="shared" si="29"/>
        <v>202.85759999999999</v>
      </c>
    </row>
    <row r="136" spans="1:21" x14ac:dyDescent="0.35">
      <c r="A136">
        <v>135</v>
      </c>
      <c r="B136" s="5">
        <v>44331</v>
      </c>
      <c r="C136" s="4">
        <f t="shared" si="30"/>
        <v>2021</v>
      </c>
      <c r="D136" s="4">
        <f t="shared" si="31"/>
        <v>5</v>
      </c>
      <c r="E136" s="14">
        <v>44331</v>
      </c>
      <c r="F136" s="4">
        <f t="shared" si="32"/>
        <v>15</v>
      </c>
      <c r="G136">
        <v>272</v>
      </c>
      <c r="H136">
        <v>268</v>
      </c>
      <c r="I136" s="13">
        <f t="shared" si="33"/>
        <v>0.98</v>
      </c>
      <c r="J136">
        <f t="shared" si="26"/>
        <v>4</v>
      </c>
      <c r="K136" s="2">
        <v>1.7361111111111112E-4</v>
      </c>
      <c r="L136" s="11">
        <f t="shared" si="27"/>
        <v>67</v>
      </c>
      <c r="M136" s="3">
        <f t="shared" si="34"/>
        <v>0.25</v>
      </c>
      <c r="N136" s="4">
        <f t="shared" si="35"/>
        <v>15</v>
      </c>
      <c r="O136" s="2">
        <v>1.736111111111111E-3</v>
      </c>
      <c r="P136" s="9">
        <f t="shared" si="28"/>
        <v>670</v>
      </c>
      <c r="Q136" s="3">
        <f t="shared" si="36"/>
        <v>2.5</v>
      </c>
      <c r="R136" s="4">
        <f t="shared" si="37"/>
        <v>150</v>
      </c>
      <c r="S136" s="3">
        <f t="shared" si="38"/>
        <v>214</v>
      </c>
      <c r="T136" s="1">
        <v>0.8</v>
      </c>
      <c r="U136" s="6">
        <f t="shared" si="29"/>
        <v>214.4</v>
      </c>
    </row>
    <row r="137" spans="1:21" x14ac:dyDescent="0.35">
      <c r="A137">
        <v>136</v>
      </c>
      <c r="B137" s="5">
        <v>44332</v>
      </c>
      <c r="C137" s="4">
        <f t="shared" si="30"/>
        <v>2021</v>
      </c>
      <c r="D137" s="4">
        <f t="shared" si="31"/>
        <v>5</v>
      </c>
      <c r="E137" s="14">
        <v>44332</v>
      </c>
      <c r="F137" s="4">
        <f t="shared" si="32"/>
        <v>16</v>
      </c>
      <c r="G137">
        <v>218</v>
      </c>
      <c r="H137">
        <v>206</v>
      </c>
      <c r="I137" s="13">
        <f t="shared" si="33"/>
        <v>0.94</v>
      </c>
      <c r="J137">
        <f t="shared" si="26"/>
        <v>12</v>
      </c>
      <c r="K137" s="2">
        <v>2.8935185185185184E-4</v>
      </c>
      <c r="L137" s="11">
        <f t="shared" si="27"/>
        <v>85.833333333333343</v>
      </c>
      <c r="M137" s="3">
        <f t="shared" si="34"/>
        <v>0.41666666666666669</v>
      </c>
      <c r="N137" s="4">
        <f t="shared" si="35"/>
        <v>25</v>
      </c>
      <c r="O137" s="2">
        <v>1.6319444444444445E-3</v>
      </c>
      <c r="P137" s="9">
        <f t="shared" si="28"/>
        <v>484.1</v>
      </c>
      <c r="Q137" s="3">
        <f t="shared" si="36"/>
        <v>2.35</v>
      </c>
      <c r="R137" s="4">
        <f t="shared" si="37"/>
        <v>141</v>
      </c>
      <c r="S137" s="3">
        <f t="shared" si="38"/>
        <v>138</v>
      </c>
      <c r="T137" s="1">
        <v>0.67279999999999995</v>
      </c>
      <c r="U137" s="6">
        <f t="shared" si="29"/>
        <v>138.5968</v>
      </c>
    </row>
    <row r="138" spans="1:21" x14ac:dyDescent="0.35">
      <c r="A138">
        <v>137</v>
      </c>
      <c r="B138" s="5">
        <v>44333</v>
      </c>
      <c r="C138" s="4">
        <f t="shared" si="30"/>
        <v>2021</v>
      </c>
      <c r="D138" s="4">
        <f t="shared" si="31"/>
        <v>5</v>
      </c>
      <c r="E138" s="14">
        <v>44333</v>
      </c>
      <c r="F138" s="4">
        <f t="shared" si="32"/>
        <v>17</v>
      </c>
      <c r="G138">
        <v>152</v>
      </c>
      <c r="H138">
        <v>148</v>
      </c>
      <c r="I138" s="13">
        <f t="shared" si="33"/>
        <v>0.97</v>
      </c>
      <c r="J138">
        <f t="shared" si="26"/>
        <v>4</v>
      </c>
      <c r="K138" s="2">
        <v>1.6203703703703703E-4</v>
      </c>
      <c r="L138" s="11">
        <f t="shared" si="27"/>
        <v>34.533333333333331</v>
      </c>
      <c r="M138" s="3">
        <f t="shared" si="34"/>
        <v>0.23333333333333334</v>
      </c>
      <c r="N138" s="4">
        <f t="shared" si="35"/>
        <v>14</v>
      </c>
      <c r="O138" s="2">
        <v>1.5972222222222223E-3</v>
      </c>
      <c r="P138" s="9">
        <f t="shared" si="28"/>
        <v>340.4</v>
      </c>
      <c r="Q138" s="3">
        <f t="shared" si="36"/>
        <v>2.2999999999999998</v>
      </c>
      <c r="R138" s="4">
        <f t="shared" si="37"/>
        <v>138</v>
      </c>
      <c r="S138" s="3">
        <f t="shared" si="38"/>
        <v>123</v>
      </c>
      <c r="T138" s="1">
        <v>0.83330000000000004</v>
      </c>
      <c r="U138" s="6">
        <f t="shared" si="29"/>
        <v>123.3284</v>
      </c>
    </row>
    <row r="139" spans="1:21" x14ac:dyDescent="0.35">
      <c r="A139">
        <v>138</v>
      </c>
      <c r="B139" s="5">
        <v>44334</v>
      </c>
      <c r="C139" s="4">
        <f t="shared" si="30"/>
        <v>2021</v>
      </c>
      <c r="D139" s="4">
        <f t="shared" si="31"/>
        <v>5</v>
      </c>
      <c r="E139" s="14">
        <v>44334</v>
      </c>
      <c r="F139" s="4">
        <f t="shared" si="32"/>
        <v>18</v>
      </c>
      <c r="G139">
        <v>48</v>
      </c>
      <c r="H139">
        <v>43</v>
      </c>
      <c r="I139" s="13">
        <f t="shared" si="33"/>
        <v>0.89</v>
      </c>
      <c r="J139">
        <f t="shared" si="26"/>
        <v>5</v>
      </c>
      <c r="K139" s="2">
        <v>2.5462962962962961E-4</v>
      </c>
      <c r="L139" s="11">
        <f t="shared" si="27"/>
        <v>15.766666666666666</v>
      </c>
      <c r="M139" s="3">
        <f t="shared" si="34"/>
        <v>0.36666666666666664</v>
      </c>
      <c r="N139" s="4">
        <f t="shared" si="35"/>
        <v>22</v>
      </c>
      <c r="O139" s="2">
        <v>1.4004629629629629E-3</v>
      </c>
      <c r="P139" s="9">
        <f t="shared" si="28"/>
        <v>86.716666666666669</v>
      </c>
      <c r="Q139" s="3">
        <f t="shared" si="36"/>
        <v>2.0166666666666666</v>
      </c>
      <c r="R139" s="4">
        <f t="shared" si="37"/>
        <v>121</v>
      </c>
      <c r="S139" s="3">
        <f t="shared" si="38"/>
        <v>29</v>
      </c>
      <c r="T139" s="1">
        <v>0.69569999999999999</v>
      </c>
      <c r="U139" s="6">
        <f t="shared" si="29"/>
        <v>29.915099999999999</v>
      </c>
    </row>
    <row r="140" spans="1:21" x14ac:dyDescent="0.35">
      <c r="A140">
        <v>139</v>
      </c>
      <c r="B140" s="5">
        <v>44335</v>
      </c>
      <c r="C140" s="4">
        <f t="shared" si="30"/>
        <v>2021</v>
      </c>
      <c r="D140" s="4">
        <f t="shared" si="31"/>
        <v>5</v>
      </c>
      <c r="E140" s="14">
        <v>44335</v>
      </c>
      <c r="F140" s="4">
        <f t="shared" si="32"/>
        <v>19</v>
      </c>
      <c r="G140">
        <v>186</v>
      </c>
      <c r="H140">
        <v>181</v>
      </c>
      <c r="I140" s="13">
        <f t="shared" si="33"/>
        <v>0.97</v>
      </c>
      <c r="J140">
        <f t="shared" si="26"/>
        <v>5</v>
      </c>
      <c r="K140" s="2">
        <v>1.6203703703703703E-4</v>
      </c>
      <c r="L140" s="11">
        <f t="shared" si="27"/>
        <v>42.233333333333334</v>
      </c>
      <c r="M140" s="3">
        <f t="shared" si="34"/>
        <v>0.23333333333333334</v>
      </c>
      <c r="N140" s="4">
        <f t="shared" si="35"/>
        <v>14</v>
      </c>
      <c r="O140" s="2">
        <v>1.6203703703703703E-3</v>
      </c>
      <c r="P140" s="9">
        <f t="shared" si="28"/>
        <v>422.33333333333337</v>
      </c>
      <c r="Q140" s="3">
        <f t="shared" si="36"/>
        <v>2.3333333333333335</v>
      </c>
      <c r="R140" s="4">
        <f t="shared" si="37"/>
        <v>140</v>
      </c>
      <c r="S140" s="3">
        <f t="shared" si="38"/>
        <v>153</v>
      </c>
      <c r="T140" s="1">
        <v>0.84950000000000003</v>
      </c>
      <c r="U140" s="6">
        <f t="shared" si="29"/>
        <v>153.7595</v>
      </c>
    </row>
    <row r="141" spans="1:21" x14ac:dyDescent="0.35">
      <c r="A141">
        <v>140</v>
      </c>
      <c r="B141" s="5">
        <v>44336</v>
      </c>
      <c r="C141" s="4">
        <f t="shared" si="30"/>
        <v>2021</v>
      </c>
      <c r="D141" s="4">
        <f t="shared" si="31"/>
        <v>5</v>
      </c>
      <c r="E141" s="14">
        <v>44336</v>
      </c>
      <c r="F141" s="4">
        <f t="shared" si="32"/>
        <v>20</v>
      </c>
      <c r="G141">
        <v>182</v>
      </c>
      <c r="H141">
        <v>180</v>
      </c>
      <c r="I141" s="13">
        <f t="shared" si="33"/>
        <v>0.98</v>
      </c>
      <c r="J141">
        <f t="shared" si="26"/>
        <v>2</v>
      </c>
      <c r="K141" s="2">
        <v>9.2592592592592588E-5</v>
      </c>
      <c r="L141" s="11">
        <f t="shared" si="27"/>
        <v>24</v>
      </c>
      <c r="M141" s="3">
        <f t="shared" si="34"/>
        <v>0.13333333333333333</v>
      </c>
      <c r="N141" s="4">
        <f t="shared" si="35"/>
        <v>8</v>
      </c>
      <c r="O141" s="2">
        <v>1.5046296296296296E-3</v>
      </c>
      <c r="P141" s="9">
        <f t="shared" si="28"/>
        <v>390</v>
      </c>
      <c r="Q141" s="3">
        <f t="shared" si="36"/>
        <v>2.1666666666666665</v>
      </c>
      <c r="R141" s="4">
        <f t="shared" si="37"/>
        <v>130</v>
      </c>
      <c r="S141" s="3">
        <f t="shared" si="38"/>
        <v>168</v>
      </c>
      <c r="T141" s="1">
        <v>0.93369999999999997</v>
      </c>
      <c r="U141" s="6">
        <f t="shared" si="29"/>
        <v>168.066</v>
      </c>
    </row>
    <row r="142" spans="1:21" x14ac:dyDescent="0.35">
      <c r="A142">
        <v>141</v>
      </c>
      <c r="B142" s="5">
        <v>44337</v>
      </c>
      <c r="C142" s="4">
        <f t="shared" si="30"/>
        <v>2021</v>
      </c>
      <c r="D142" s="4">
        <f t="shared" si="31"/>
        <v>5</v>
      </c>
      <c r="E142" s="14">
        <v>44337</v>
      </c>
      <c r="F142" s="4">
        <f t="shared" si="32"/>
        <v>21</v>
      </c>
      <c r="G142">
        <v>192</v>
      </c>
      <c r="H142">
        <v>188</v>
      </c>
      <c r="I142" s="13">
        <f t="shared" si="33"/>
        <v>0.97</v>
      </c>
      <c r="J142">
        <f t="shared" si="26"/>
        <v>4</v>
      </c>
      <c r="K142" s="2">
        <v>2.3148148148148149E-4</v>
      </c>
      <c r="L142" s="11">
        <f t="shared" si="27"/>
        <v>62.666666666666664</v>
      </c>
      <c r="M142" s="3">
        <f t="shared" si="34"/>
        <v>0.33333333333333331</v>
      </c>
      <c r="N142" s="4">
        <f t="shared" si="35"/>
        <v>20</v>
      </c>
      <c r="O142" s="2">
        <v>1.3657407407407407E-3</v>
      </c>
      <c r="P142" s="9">
        <f t="shared" si="28"/>
        <v>369.73333333333335</v>
      </c>
      <c r="Q142" s="3">
        <f t="shared" si="36"/>
        <v>1.9666666666666668</v>
      </c>
      <c r="R142" s="4">
        <f t="shared" si="37"/>
        <v>118</v>
      </c>
      <c r="S142" s="3">
        <f t="shared" si="38"/>
        <v>143</v>
      </c>
      <c r="T142" s="1">
        <v>0.76190000000000002</v>
      </c>
      <c r="U142" s="6">
        <f t="shared" si="29"/>
        <v>143.2372</v>
      </c>
    </row>
    <row r="143" spans="1:21" x14ac:dyDescent="0.35">
      <c r="A143">
        <v>142</v>
      </c>
      <c r="B143" s="5">
        <v>44338</v>
      </c>
      <c r="C143" s="4">
        <f t="shared" si="30"/>
        <v>2021</v>
      </c>
      <c r="D143" s="4">
        <f t="shared" si="31"/>
        <v>5</v>
      </c>
      <c r="E143" s="14">
        <v>44338</v>
      </c>
      <c r="F143" s="4">
        <f t="shared" si="32"/>
        <v>22</v>
      </c>
      <c r="G143">
        <v>155</v>
      </c>
      <c r="H143">
        <v>148</v>
      </c>
      <c r="I143" s="13">
        <f t="shared" si="33"/>
        <v>0.95</v>
      </c>
      <c r="J143">
        <f t="shared" si="26"/>
        <v>7</v>
      </c>
      <c r="K143" s="2">
        <v>1.6203703703703703E-4</v>
      </c>
      <c r="L143" s="11">
        <f t="shared" si="27"/>
        <v>34.533333333333331</v>
      </c>
      <c r="M143" s="3">
        <f t="shared" si="34"/>
        <v>0.23333333333333334</v>
      </c>
      <c r="N143" s="4">
        <f t="shared" si="35"/>
        <v>14</v>
      </c>
      <c r="O143" s="2">
        <v>1.6666666666666668E-3</v>
      </c>
      <c r="P143" s="9">
        <f t="shared" si="28"/>
        <v>355.2</v>
      </c>
      <c r="Q143" s="3">
        <f t="shared" si="36"/>
        <v>2.4</v>
      </c>
      <c r="R143" s="4">
        <f t="shared" si="37"/>
        <v>144</v>
      </c>
      <c r="S143" s="3">
        <f t="shared" si="38"/>
        <v>126</v>
      </c>
      <c r="T143" s="1">
        <v>0.85329999999999995</v>
      </c>
      <c r="U143" s="6">
        <f t="shared" si="29"/>
        <v>126.2884</v>
      </c>
    </row>
    <row r="144" spans="1:21" x14ac:dyDescent="0.35">
      <c r="A144">
        <v>143</v>
      </c>
      <c r="B144" s="5">
        <v>44339</v>
      </c>
      <c r="C144" s="4">
        <f t="shared" si="30"/>
        <v>2021</v>
      </c>
      <c r="D144" s="4">
        <f t="shared" si="31"/>
        <v>5</v>
      </c>
      <c r="E144" s="14">
        <v>44339</v>
      </c>
      <c r="F144" s="4">
        <f t="shared" si="32"/>
        <v>23</v>
      </c>
      <c r="G144">
        <v>144</v>
      </c>
      <c r="H144">
        <v>142</v>
      </c>
      <c r="I144" s="13">
        <f t="shared" si="33"/>
        <v>0.98</v>
      </c>
      <c r="J144">
        <f t="shared" si="26"/>
        <v>2</v>
      </c>
      <c r="K144" s="2">
        <v>1.273148148148148E-4</v>
      </c>
      <c r="L144" s="11">
        <f t="shared" si="27"/>
        <v>26.033333333333331</v>
      </c>
      <c r="M144" s="3">
        <f t="shared" si="34"/>
        <v>0.18333333333333332</v>
      </c>
      <c r="N144" s="4">
        <f t="shared" si="35"/>
        <v>11</v>
      </c>
      <c r="O144" s="2">
        <v>1.6087962962962963E-3</v>
      </c>
      <c r="P144" s="9">
        <f t="shared" si="28"/>
        <v>328.96666666666664</v>
      </c>
      <c r="Q144" s="3">
        <f t="shared" si="36"/>
        <v>2.3166666666666664</v>
      </c>
      <c r="R144" s="4">
        <f t="shared" si="37"/>
        <v>139</v>
      </c>
      <c r="S144" s="3">
        <f t="shared" si="38"/>
        <v>128</v>
      </c>
      <c r="T144" s="1">
        <v>0.90210000000000001</v>
      </c>
      <c r="U144" s="6">
        <f t="shared" si="29"/>
        <v>128.09819999999999</v>
      </c>
    </row>
    <row r="145" spans="1:21" x14ac:dyDescent="0.35">
      <c r="A145">
        <v>144</v>
      </c>
      <c r="B145" s="5">
        <v>44340</v>
      </c>
      <c r="C145" s="4">
        <f t="shared" si="30"/>
        <v>2021</v>
      </c>
      <c r="D145" s="4">
        <f t="shared" si="31"/>
        <v>5</v>
      </c>
      <c r="E145" s="14">
        <v>44340</v>
      </c>
      <c r="F145" s="4">
        <f t="shared" si="32"/>
        <v>24</v>
      </c>
      <c r="G145">
        <v>164</v>
      </c>
      <c r="H145">
        <v>162</v>
      </c>
      <c r="I145" s="13">
        <f t="shared" si="33"/>
        <v>0.98</v>
      </c>
      <c r="J145">
        <f t="shared" si="26"/>
        <v>2</v>
      </c>
      <c r="K145" s="2">
        <v>1.3888888888888889E-4</v>
      </c>
      <c r="L145" s="11">
        <f t="shared" si="27"/>
        <v>32.4</v>
      </c>
      <c r="M145" s="3">
        <f t="shared" si="34"/>
        <v>0.2</v>
      </c>
      <c r="N145" s="4">
        <f t="shared" si="35"/>
        <v>12</v>
      </c>
      <c r="O145" s="2">
        <v>1.7939814814814815E-3</v>
      </c>
      <c r="P145" s="9">
        <f t="shared" si="28"/>
        <v>418.5</v>
      </c>
      <c r="Q145" s="3">
        <f t="shared" si="36"/>
        <v>2.5833333333333335</v>
      </c>
      <c r="R145" s="4">
        <f t="shared" si="37"/>
        <v>155</v>
      </c>
      <c r="S145" s="3">
        <f t="shared" si="38"/>
        <v>138</v>
      </c>
      <c r="T145" s="1">
        <v>0.85370000000000001</v>
      </c>
      <c r="U145" s="6">
        <f t="shared" si="29"/>
        <v>138.29939999999999</v>
      </c>
    </row>
    <row r="146" spans="1:21" x14ac:dyDescent="0.35">
      <c r="A146">
        <v>145</v>
      </c>
      <c r="B146" s="5">
        <v>44341</v>
      </c>
      <c r="C146" s="4">
        <f t="shared" si="30"/>
        <v>2021</v>
      </c>
      <c r="D146" s="4">
        <f t="shared" si="31"/>
        <v>5</v>
      </c>
      <c r="E146" s="14">
        <v>44341</v>
      </c>
      <c r="F146" s="4">
        <f t="shared" si="32"/>
        <v>25</v>
      </c>
      <c r="G146">
        <v>27</v>
      </c>
      <c r="H146">
        <v>26</v>
      </c>
      <c r="I146" s="13">
        <f t="shared" si="33"/>
        <v>0.96</v>
      </c>
      <c r="J146">
        <f t="shared" si="26"/>
        <v>1</v>
      </c>
      <c r="K146" s="2">
        <v>1.273148148148148E-4</v>
      </c>
      <c r="L146" s="11">
        <f t="shared" si="27"/>
        <v>4.7666666666666666</v>
      </c>
      <c r="M146" s="3">
        <f t="shared" si="34"/>
        <v>0.18333333333333332</v>
      </c>
      <c r="N146" s="4">
        <f t="shared" si="35"/>
        <v>11</v>
      </c>
      <c r="O146" s="2">
        <v>1.4351851851851852E-3</v>
      </c>
      <c r="P146" s="9">
        <f t="shared" si="28"/>
        <v>53.733333333333341</v>
      </c>
      <c r="Q146" s="3">
        <f t="shared" si="36"/>
        <v>2.0666666666666669</v>
      </c>
      <c r="R146" s="4">
        <f t="shared" si="37"/>
        <v>124.00000000000001</v>
      </c>
      <c r="S146" s="3">
        <f t="shared" si="38"/>
        <v>21</v>
      </c>
      <c r="T146" s="1">
        <v>0.81479999999999997</v>
      </c>
      <c r="U146" s="6">
        <f t="shared" si="29"/>
        <v>21.184799999999999</v>
      </c>
    </row>
    <row r="147" spans="1:21" x14ac:dyDescent="0.35">
      <c r="A147">
        <v>146</v>
      </c>
      <c r="B147" s="5">
        <v>44342</v>
      </c>
      <c r="C147" s="4">
        <f t="shared" si="30"/>
        <v>2021</v>
      </c>
      <c r="D147" s="4">
        <f t="shared" si="31"/>
        <v>5</v>
      </c>
      <c r="E147" s="14">
        <v>44342</v>
      </c>
      <c r="F147" s="4">
        <f t="shared" si="32"/>
        <v>26</v>
      </c>
      <c r="G147">
        <v>177</v>
      </c>
      <c r="H147">
        <v>175</v>
      </c>
      <c r="I147" s="13">
        <f t="shared" si="33"/>
        <v>0.98</v>
      </c>
      <c r="J147">
        <f t="shared" si="26"/>
        <v>2</v>
      </c>
      <c r="K147" s="2">
        <v>1.273148148148148E-4</v>
      </c>
      <c r="L147" s="11">
        <f t="shared" si="27"/>
        <v>32.083333333333329</v>
      </c>
      <c r="M147" s="3">
        <f t="shared" si="34"/>
        <v>0.18333333333333332</v>
      </c>
      <c r="N147" s="4">
        <f t="shared" si="35"/>
        <v>11</v>
      </c>
      <c r="O147" s="2">
        <v>1.6087962962962963E-3</v>
      </c>
      <c r="P147" s="9">
        <f t="shared" si="28"/>
        <v>405.41666666666663</v>
      </c>
      <c r="Q147" s="3">
        <f t="shared" si="36"/>
        <v>2.3166666666666664</v>
      </c>
      <c r="R147" s="4">
        <f t="shared" si="37"/>
        <v>139</v>
      </c>
      <c r="S147" s="3">
        <f t="shared" si="38"/>
        <v>159</v>
      </c>
      <c r="T147" s="1">
        <v>0.90859999999999996</v>
      </c>
      <c r="U147" s="6">
        <f t="shared" si="29"/>
        <v>159.005</v>
      </c>
    </row>
    <row r="148" spans="1:21" x14ac:dyDescent="0.35">
      <c r="A148">
        <v>147</v>
      </c>
      <c r="B148" s="5">
        <v>44343</v>
      </c>
      <c r="C148" s="4">
        <f t="shared" si="30"/>
        <v>2021</v>
      </c>
      <c r="D148" s="4">
        <f t="shared" si="31"/>
        <v>5</v>
      </c>
      <c r="E148" s="14">
        <v>44343</v>
      </c>
      <c r="F148" s="4">
        <f t="shared" si="32"/>
        <v>27</v>
      </c>
      <c r="G148">
        <v>134</v>
      </c>
      <c r="H148">
        <v>131</v>
      </c>
      <c r="I148" s="13">
        <f t="shared" si="33"/>
        <v>0.97</v>
      </c>
      <c r="J148">
        <f t="shared" si="26"/>
        <v>3</v>
      </c>
      <c r="K148" s="2">
        <v>1.6203703703703703E-4</v>
      </c>
      <c r="L148" s="11">
        <f t="shared" si="27"/>
        <v>30.566666666666666</v>
      </c>
      <c r="M148" s="3">
        <f t="shared" si="34"/>
        <v>0.23333333333333334</v>
      </c>
      <c r="N148" s="4">
        <f t="shared" si="35"/>
        <v>14</v>
      </c>
      <c r="O148" s="2">
        <v>1.6550925925925926E-3</v>
      </c>
      <c r="P148" s="9">
        <f t="shared" si="28"/>
        <v>312.21666666666664</v>
      </c>
      <c r="Q148" s="3">
        <f t="shared" si="36"/>
        <v>2.3833333333333333</v>
      </c>
      <c r="R148" s="4">
        <f t="shared" si="37"/>
        <v>143</v>
      </c>
      <c r="S148" s="3">
        <f t="shared" si="38"/>
        <v>106</v>
      </c>
      <c r="T148" s="1">
        <v>0.81340000000000001</v>
      </c>
      <c r="U148" s="6">
        <f t="shared" si="29"/>
        <v>106.55540000000001</v>
      </c>
    </row>
    <row r="149" spans="1:21" x14ac:dyDescent="0.35">
      <c r="A149">
        <v>148</v>
      </c>
      <c r="B149" s="5">
        <v>44344</v>
      </c>
      <c r="C149" s="4">
        <f t="shared" si="30"/>
        <v>2021</v>
      </c>
      <c r="D149" s="4">
        <f t="shared" si="31"/>
        <v>5</v>
      </c>
      <c r="E149" s="14">
        <v>44344</v>
      </c>
      <c r="F149" s="4">
        <f t="shared" si="32"/>
        <v>28</v>
      </c>
      <c r="G149">
        <v>125</v>
      </c>
      <c r="H149">
        <v>120</v>
      </c>
      <c r="I149" s="13">
        <f t="shared" si="33"/>
        <v>0.96</v>
      </c>
      <c r="J149">
        <f t="shared" si="26"/>
        <v>5</v>
      </c>
      <c r="K149" s="2">
        <v>1.6203703703703703E-4</v>
      </c>
      <c r="L149" s="11">
        <f t="shared" si="27"/>
        <v>28</v>
      </c>
      <c r="M149" s="3">
        <f t="shared" si="34"/>
        <v>0.23333333333333334</v>
      </c>
      <c r="N149" s="4">
        <f t="shared" si="35"/>
        <v>14</v>
      </c>
      <c r="O149" s="2">
        <v>1.6203703703703703E-3</v>
      </c>
      <c r="P149" s="9">
        <f t="shared" si="28"/>
        <v>280</v>
      </c>
      <c r="Q149" s="3">
        <f t="shared" si="36"/>
        <v>2.3333333333333335</v>
      </c>
      <c r="R149" s="4">
        <f t="shared" si="37"/>
        <v>140</v>
      </c>
      <c r="S149" s="3">
        <f t="shared" si="38"/>
        <v>101</v>
      </c>
      <c r="T149" s="1">
        <v>0.84550000000000003</v>
      </c>
      <c r="U149" s="6">
        <f t="shared" si="29"/>
        <v>101.46000000000001</v>
      </c>
    </row>
    <row r="150" spans="1:21" x14ac:dyDescent="0.35">
      <c r="A150">
        <v>149</v>
      </c>
      <c r="B150" s="5">
        <v>44345</v>
      </c>
      <c r="C150" s="4">
        <f t="shared" si="30"/>
        <v>2021</v>
      </c>
      <c r="D150" s="4">
        <f t="shared" si="31"/>
        <v>5</v>
      </c>
      <c r="E150" s="14">
        <v>44345</v>
      </c>
      <c r="F150" s="4">
        <f t="shared" si="32"/>
        <v>29</v>
      </c>
      <c r="G150">
        <v>167</v>
      </c>
      <c r="H150">
        <v>163</v>
      </c>
      <c r="I150" s="13">
        <f t="shared" si="33"/>
        <v>0.97</v>
      </c>
      <c r="J150">
        <f t="shared" si="26"/>
        <v>4</v>
      </c>
      <c r="K150" s="2">
        <v>1.8518518518518518E-4</v>
      </c>
      <c r="L150" s="11">
        <f t="shared" si="27"/>
        <v>43.466666666666669</v>
      </c>
      <c r="M150" s="3">
        <f t="shared" si="34"/>
        <v>0.26666666666666666</v>
      </c>
      <c r="N150" s="4">
        <f t="shared" si="35"/>
        <v>16</v>
      </c>
      <c r="O150" s="2">
        <v>1.6666666666666668E-3</v>
      </c>
      <c r="P150" s="9">
        <f t="shared" si="28"/>
        <v>391.2</v>
      </c>
      <c r="Q150" s="3">
        <f t="shared" si="36"/>
        <v>2.4</v>
      </c>
      <c r="R150" s="4">
        <f t="shared" si="37"/>
        <v>144</v>
      </c>
      <c r="S150" s="3">
        <f t="shared" si="38"/>
        <v>132</v>
      </c>
      <c r="T150" s="1">
        <v>0.81210000000000004</v>
      </c>
      <c r="U150" s="6">
        <f t="shared" si="29"/>
        <v>132.3723</v>
      </c>
    </row>
    <row r="151" spans="1:21" x14ac:dyDescent="0.35">
      <c r="A151">
        <v>150</v>
      </c>
      <c r="B151" s="5">
        <v>44346</v>
      </c>
      <c r="C151" s="4">
        <f t="shared" si="30"/>
        <v>2021</v>
      </c>
      <c r="D151" s="4">
        <f t="shared" si="31"/>
        <v>5</v>
      </c>
      <c r="E151" s="14">
        <v>44346</v>
      </c>
      <c r="F151" s="4">
        <f t="shared" si="32"/>
        <v>30</v>
      </c>
      <c r="G151">
        <v>169</v>
      </c>
      <c r="H151">
        <v>167</v>
      </c>
      <c r="I151" s="13">
        <f t="shared" si="33"/>
        <v>0.98</v>
      </c>
      <c r="J151">
        <f t="shared" si="26"/>
        <v>2</v>
      </c>
      <c r="K151" s="2">
        <v>1.0416666666666667E-4</v>
      </c>
      <c r="L151" s="11">
        <f t="shared" si="27"/>
        <v>25.05</v>
      </c>
      <c r="M151" s="3">
        <f t="shared" si="34"/>
        <v>0.15</v>
      </c>
      <c r="N151" s="4">
        <f t="shared" si="35"/>
        <v>9</v>
      </c>
      <c r="O151" s="2">
        <v>1.5509259259259259E-3</v>
      </c>
      <c r="P151" s="9">
        <f t="shared" si="28"/>
        <v>372.9666666666667</v>
      </c>
      <c r="Q151" s="3">
        <f t="shared" si="36"/>
        <v>2.2333333333333334</v>
      </c>
      <c r="R151" s="4">
        <f t="shared" si="37"/>
        <v>134</v>
      </c>
      <c r="S151" s="3">
        <f t="shared" si="38"/>
        <v>150</v>
      </c>
      <c r="T151" s="1">
        <v>0.89939999999999998</v>
      </c>
      <c r="U151" s="6">
        <f t="shared" si="29"/>
        <v>150.19979999999998</v>
      </c>
    </row>
    <row r="152" spans="1:21" x14ac:dyDescent="0.35">
      <c r="A152">
        <v>151</v>
      </c>
      <c r="B152" s="5">
        <v>44347</v>
      </c>
      <c r="C152" s="4">
        <f t="shared" si="30"/>
        <v>2021</v>
      </c>
      <c r="D152" s="4">
        <f t="shared" si="31"/>
        <v>5</v>
      </c>
      <c r="E152" s="14">
        <v>44347</v>
      </c>
      <c r="F152" s="4">
        <f t="shared" si="32"/>
        <v>31</v>
      </c>
      <c r="G152">
        <v>162</v>
      </c>
      <c r="H152">
        <v>160</v>
      </c>
      <c r="I152" s="13">
        <f t="shared" si="33"/>
        <v>0.98</v>
      </c>
      <c r="J152">
        <f t="shared" si="26"/>
        <v>2</v>
      </c>
      <c r="K152" s="2">
        <v>1.8518518518518518E-4</v>
      </c>
      <c r="L152" s="11">
        <f t="shared" si="27"/>
        <v>42.666666666666664</v>
      </c>
      <c r="M152" s="3">
        <f t="shared" si="34"/>
        <v>0.26666666666666666</v>
      </c>
      <c r="N152" s="4">
        <f t="shared" si="35"/>
        <v>16</v>
      </c>
      <c r="O152" s="2">
        <v>1.5625000000000001E-3</v>
      </c>
      <c r="P152" s="9">
        <f t="shared" si="28"/>
        <v>360</v>
      </c>
      <c r="Q152" s="3">
        <f t="shared" si="36"/>
        <v>2.25</v>
      </c>
      <c r="R152" s="4">
        <f t="shared" si="37"/>
        <v>135</v>
      </c>
      <c r="S152" s="3">
        <f t="shared" si="38"/>
        <v>133</v>
      </c>
      <c r="T152" s="1">
        <v>0.83130000000000004</v>
      </c>
      <c r="U152" s="6">
        <f t="shared" si="29"/>
        <v>133.00800000000001</v>
      </c>
    </row>
    <row r="153" spans="1:21" x14ac:dyDescent="0.35">
      <c r="A153">
        <v>152</v>
      </c>
      <c r="B153" s="5">
        <v>44348</v>
      </c>
      <c r="C153" s="4">
        <f t="shared" si="30"/>
        <v>2021</v>
      </c>
      <c r="D153" s="4">
        <f t="shared" si="31"/>
        <v>6</v>
      </c>
      <c r="E153" s="14">
        <v>44348</v>
      </c>
      <c r="F153" s="4">
        <f t="shared" si="32"/>
        <v>1</v>
      </c>
      <c r="G153">
        <v>25</v>
      </c>
      <c r="H153">
        <v>25</v>
      </c>
      <c r="I153" s="13">
        <f t="shared" si="33"/>
        <v>1</v>
      </c>
      <c r="J153">
        <f t="shared" si="26"/>
        <v>0</v>
      </c>
      <c r="K153" s="2">
        <v>1.8518518518518518E-4</v>
      </c>
      <c r="L153" s="11">
        <f t="shared" si="27"/>
        <v>6.666666666666667</v>
      </c>
      <c r="M153" s="3">
        <f t="shared" si="34"/>
        <v>0.26666666666666666</v>
      </c>
      <c r="N153" s="4">
        <f t="shared" si="35"/>
        <v>16</v>
      </c>
      <c r="O153" s="2">
        <v>1.7939814814814815E-3</v>
      </c>
      <c r="P153" s="9">
        <f t="shared" si="28"/>
        <v>64.583333333333343</v>
      </c>
      <c r="Q153" s="3">
        <f t="shared" si="36"/>
        <v>2.5833333333333335</v>
      </c>
      <c r="R153" s="4">
        <f t="shared" si="37"/>
        <v>155</v>
      </c>
      <c r="S153" s="3">
        <f t="shared" si="38"/>
        <v>19</v>
      </c>
      <c r="T153" s="1">
        <v>0.76</v>
      </c>
      <c r="U153" s="6">
        <f t="shared" si="29"/>
        <v>19</v>
      </c>
    </row>
    <row r="154" spans="1:21" x14ac:dyDescent="0.35">
      <c r="A154">
        <v>153</v>
      </c>
      <c r="B154" s="5">
        <v>44349</v>
      </c>
      <c r="C154" s="4">
        <f t="shared" si="30"/>
        <v>2021</v>
      </c>
      <c r="D154" s="4">
        <f t="shared" si="31"/>
        <v>6</v>
      </c>
      <c r="E154" s="14">
        <v>44349</v>
      </c>
      <c r="F154" s="4">
        <f t="shared" si="32"/>
        <v>2</v>
      </c>
      <c r="G154">
        <v>157</v>
      </c>
      <c r="H154">
        <v>146</v>
      </c>
      <c r="I154" s="13">
        <f t="shared" si="33"/>
        <v>0.92</v>
      </c>
      <c r="J154">
        <f t="shared" si="26"/>
        <v>11</v>
      </c>
      <c r="K154" s="2">
        <v>1.9675925925925926E-4</v>
      </c>
      <c r="L154" s="11">
        <f t="shared" si="27"/>
        <v>41.366666666666667</v>
      </c>
      <c r="M154" s="3">
        <f t="shared" si="34"/>
        <v>0.28333333333333333</v>
      </c>
      <c r="N154" s="4">
        <f t="shared" si="35"/>
        <v>17</v>
      </c>
      <c r="O154" s="2">
        <v>1.5856481481481481E-3</v>
      </c>
      <c r="P154" s="9">
        <f t="shared" si="28"/>
        <v>333.36666666666667</v>
      </c>
      <c r="Q154" s="3">
        <f t="shared" si="36"/>
        <v>2.2833333333333332</v>
      </c>
      <c r="R154" s="4">
        <f t="shared" si="37"/>
        <v>137</v>
      </c>
      <c r="S154" s="3">
        <f t="shared" si="38"/>
        <v>116</v>
      </c>
      <c r="T154" s="1">
        <v>0.7974</v>
      </c>
      <c r="U154" s="6">
        <f t="shared" si="29"/>
        <v>116.4204</v>
      </c>
    </row>
    <row r="155" spans="1:21" x14ac:dyDescent="0.35">
      <c r="A155">
        <v>154</v>
      </c>
      <c r="B155" s="5">
        <v>44350</v>
      </c>
      <c r="C155" s="4">
        <f t="shared" si="30"/>
        <v>2021</v>
      </c>
      <c r="D155" s="4">
        <f t="shared" si="31"/>
        <v>6</v>
      </c>
      <c r="E155" s="14">
        <v>44350</v>
      </c>
      <c r="F155" s="4">
        <f t="shared" si="32"/>
        <v>3</v>
      </c>
      <c r="G155">
        <v>166</v>
      </c>
      <c r="H155">
        <v>154</v>
      </c>
      <c r="I155" s="13">
        <f t="shared" si="33"/>
        <v>0.92</v>
      </c>
      <c r="J155">
        <f t="shared" si="26"/>
        <v>12</v>
      </c>
      <c r="K155" s="2">
        <v>2.8935185185185184E-4</v>
      </c>
      <c r="L155" s="11">
        <f t="shared" si="27"/>
        <v>64.166666666666671</v>
      </c>
      <c r="M155" s="3">
        <f t="shared" si="34"/>
        <v>0.41666666666666669</v>
      </c>
      <c r="N155" s="4">
        <f t="shared" si="35"/>
        <v>25</v>
      </c>
      <c r="O155" s="2">
        <v>1.5972222222222223E-3</v>
      </c>
      <c r="P155" s="9">
        <f t="shared" si="28"/>
        <v>354.2</v>
      </c>
      <c r="Q155" s="3">
        <f t="shared" si="36"/>
        <v>2.2999999999999998</v>
      </c>
      <c r="R155" s="4">
        <f t="shared" si="37"/>
        <v>138</v>
      </c>
      <c r="S155" s="3">
        <f t="shared" si="38"/>
        <v>102</v>
      </c>
      <c r="T155" s="1">
        <v>0.66259999999999997</v>
      </c>
      <c r="U155" s="6">
        <f t="shared" si="29"/>
        <v>102.04039999999999</v>
      </c>
    </row>
    <row r="156" spans="1:21" x14ac:dyDescent="0.35">
      <c r="A156">
        <v>155</v>
      </c>
      <c r="B156" s="5">
        <v>44351</v>
      </c>
      <c r="C156" s="4">
        <f t="shared" si="30"/>
        <v>2021</v>
      </c>
      <c r="D156" s="4">
        <f t="shared" si="31"/>
        <v>6</v>
      </c>
      <c r="E156" s="14">
        <v>44351</v>
      </c>
      <c r="F156" s="4">
        <f t="shared" si="32"/>
        <v>4</v>
      </c>
      <c r="G156">
        <v>58</v>
      </c>
      <c r="H156">
        <v>55</v>
      </c>
      <c r="I156" s="13">
        <f t="shared" si="33"/>
        <v>0.94</v>
      </c>
      <c r="J156">
        <f t="shared" si="26"/>
        <v>3</v>
      </c>
      <c r="K156" s="2">
        <v>1.8518518518518518E-4</v>
      </c>
      <c r="L156" s="11">
        <f t="shared" si="27"/>
        <v>14.666666666666666</v>
      </c>
      <c r="M156" s="3">
        <f t="shared" si="34"/>
        <v>0.26666666666666666</v>
      </c>
      <c r="N156" s="4">
        <f t="shared" si="35"/>
        <v>16</v>
      </c>
      <c r="O156" s="2">
        <v>1.5162037037037036E-3</v>
      </c>
      <c r="P156" s="9">
        <f t="shared" si="28"/>
        <v>120.08333333333333</v>
      </c>
      <c r="Q156" s="3">
        <f t="shared" si="36"/>
        <v>2.1833333333333331</v>
      </c>
      <c r="R156" s="4">
        <f t="shared" si="37"/>
        <v>131</v>
      </c>
      <c r="S156" s="3">
        <f t="shared" si="38"/>
        <v>40</v>
      </c>
      <c r="T156" s="1">
        <v>0.74139999999999995</v>
      </c>
      <c r="U156" s="6">
        <f t="shared" si="29"/>
        <v>40.776999999999994</v>
      </c>
    </row>
    <row r="157" spans="1:21" x14ac:dyDescent="0.35">
      <c r="A157">
        <v>156</v>
      </c>
      <c r="B157" s="5">
        <v>44352</v>
      </c>
      <c r="C157" s="4">
        <f t="shared" si="30"/>
        <v>2021</v>
      </c>
      <c r="D157" s="4">
        <f t="shared" si="31"/>
        <v>6</v>
      </c>
      <c r="E157" s="14">
        <v>44352</v>
      </c>
      <c r="F157" s="4">
        <f t="shared" si="32"/>
        <v>5</v>
      </c>
      <c r="G157">
        <v>75</v>
      </c>
      <c r="H157">
        <v>74</v>
      </c>
      <c r="I157" s="13">
        <f t="shared" si="33"/>
        <v>0.98</v>
      </c>
      <c r="J157">
        <f t="shared" si="26"/>
        <v>1</v>
      </c>
      <c r="K157" s="2">
        <v>1.7361111111111112E-4</v>
      </c>
      <c r="L157" s="11">
        <f t="shared" si="27"/>
        <v>18.5</v>
      </c>
      <c r="M157" s="3">
        <f t="shared" si="34"/>
        <v>0.25</v>
      </c>
      <c r="N157" s="4">
        <f t="shared" si="35"/>
        <v>15</v>
      </c>
      <c r="O157" s="2">
        <v>1.5393518518518519E-3</v>
      </c>
      <c r="P157" s="9">
        <f t="shared" si="28"/>
        <v>164.03333333333333</v>
      </c>
      <c r="Q157" s="3">
        <f t="shared" si="36"/>
        <v>2.2166666666666668</v>
      </c>
      <c r="R157" s="4">
        <f t="shared" si="37"/>
        <v>133</v>
      </c>
      <c r="S157" s="3">
        <f t="shared" si="38"/>
        <v>62</v>
      </c>
      <c r="T157" s="1">
        <v>0.84</v>
      </c>
      <c r="U157" s="6">
        <f t="shared" si="29"/>
        <v>62.16</v>
      </c>
    </row>
    <row r="158" spans="1:21" x14ac:dyDescent="0.35">
      <c r="A158">
        <v>157</v>
      </c>
      <c r="B158" s="5">
        <v>44353</v>
      </c>
      <c r="C158" s="4">
        <f t="shared" si="30"/>
        <v>2021</v>
      </c>
      <c r="D158" s="4">
        <f t="shared" si="31"/>
        <v>6</v>
      </c>
      <c r="E158" s="14">
        <v>44353</v>
      </c>
      <c r="F158" s="4">
        <f t="shared" si="32"/>
        <v>6</v>
      </c>
      <c r="G158">
        <v>28</v>
      </c>
      <c r="H158">
        <v>28</v>
      </c>
      <c r="I158" s="13">
        <f t="shared" si="33"/>
        <v>1</v>
      </c>
      <c r="J158">
        <f t="shared" si="26"/>
        <v>0</v>
      </c>
      <c r="K158" s="2">
        <v>8.1018518518518516E-5</v>
      </c>
      <c r="L158" s="11">
        <f t="shared" si="27"/>
        <v>3.2666666666666666</v>
      </c>
      <c r="M158" s="3">
        <f t="shared" si="34"/>
        <v>0.11666666666666667</v>
      </c>
      <c r="N158" s="4">
        <f t="shared" si="35"/>
        <v>7</v>
      </c>
      <c r="O158" s="2">
        <v>1.712962962962963E-3</v>
      </c>
      <c r="P158" s="9">
        <f t="shared" si="28"/>
        <v>69.066666666666663</v>
      </c>
      <c r="Q158" s="3">
        <f t="shared" si="36"/>
        <v>2.4666666666666668</v>
      </c>
      <c r="R158" s="4">
        <f t="shared" si="37"/>
        <v>148</v>
      </c>
      <c r="S158" s="3">
        <f t="shared" si="38"/>
        <v>27</v>
      </c>
      <c r="T158" s="1">
        <v>0.96430000000000005</v>
      </c>
      <c r="U158" s="6">
        <f t="shared" si="29"/>
        <v>27.000400000000003</v>
      </c>
    </row>
    <row r="159" spans="1:21" x14ac:dyDescent="0.35">
      <c r="A159">
        <v>158</v>
      </c>
      <c r="B159" s="5">
        <v>44354</v>
      </c>
      <c r="C159" s="4">
        <f t="shared" si="30"/>
        <v>2021</v>
      </c>
      <c r="D159" s="4">
        <f t="shared" si="31"/>
        <v>6</v>
      </c>
      <c r="E159" s="14">
        <v>44354</v>
      </c>
      <c r="F159" s="4">
        <f t="shared" si="32"/>
        <v>7</v>
      </c>
      <c r="G159">
        <v>108</v>
      </c>
      <c r="H159">
        <v>107</v>
      </c>
      <c r="I159" s="13">
        <f t="shared" si="33"/>
        <v>0.99</v>
      </c>
      <c r="J159">
        <f t="shared" si="26"/>
        <v>1</v>
      </c>
      <c r="K159" s="2">
        <v>1.0416666666666667E-4</v>
      </c>
      <c r="L159" s="11">
        <f t="shared" si="27"/>
        <v>16.05</v>
      </c>
      <c r="M159" s="3">
        <f t="shared" si="34"/>
        <v>0.15</v>
      </c>
      <c r="N159" s="4">
        <f t="shared" si="35"/>
        <v>9</v>
      </c>
      <c r="O159" s="2">
        <v>1.5162037037037036E-3</v>
      </c>
      <c r="P159" s="9">
        <f t="shared" si="28"/>
        <v>233.61666666666665</v>
      </c>
      <c r="Q159" s="3">
        <f t="shared" si="36"/>
        <v>2.1833333333333331</v>
      </c>
      <c r="R159" s="4">
        <f t="shared" si="37"/>
        <v>131</v>
      </c>
      <c r="S159" s="3">
        <f t="shared" si="38"/>
        <v>101</v>
      </c>
      <c r="T159" s="1">
        <v>0.94440000000000002</v>
      </c>
      <c r="U159" s="6">
        <f t="shared" si="29"/>
        <v>101.0508</v>
      </c>
    </row>
    <row r="160" spans="1:21" x14ac:dyDescent="0.35">
      <c r="A160">
        <v>159</v>
      </c>
      <c r="B160" s="5">
        <v>44355</v>
      </c>
      <c r="C160" s="4">
        <f t="shared" si="30"/>
        <v>2021</v>
      </c>
      <c r="D160" s="4">
        <f t="shared" si="31"/>
        <v>6</v>
      </c>
      <c r="E160" s="14">
        <v>44355</v>
      </c>
      <c r="F160" s="4">
        <f t="shared" si="32"/>
        <v>8</v>
      </c>
      <c r="G160">
        <v>21</v>
      </c>
      <c r="H160">
        <v>21</v>
      </c>
      <c r="I160" s="13">
        <f t="shared" si="33"/>
        <v>1</v>
      </c>
      <c r="J160">
        <f t="shared" si="26"/>
        <v>0</v>
      </c>
      <c r="K160" s="2">
        <v>8.1018518518518516E-5</v>
      </c>
      <c r="L160" s="11">
        <f t="shared" si="27"/>
        <v>2.4500000000000002</v>
      </c>
      <c r="M160" s="3">
        <f t="shared" si="34"/>
        <v>0.11666666666666667</v>
      </c>
      <c r="N160" s="4">
        <f t="shared" si="35"/>
        <v>7</v>
      </c>
      <c r="O160" s="2">
        <v>2.0601851851851853E-3</v>
      </c>
      <c r="P160" s="9">
        <f t="shared" si="28"/>
        <v>62.300000000000004</v>
      </c>
      <c r="Q160" s="3">
        <f t="shared" si="36"/>
        <v>2.9666666666666668</v>
      </c>
      <c r="R160" s="4">
        <f t="shared" si="37"/>
        <v>178</v>
      </c>
      <c r="S160" s="3">
        <f t="shared" si="38"/>
        <v>20</v>
      </c>
      <c r="T160" s="1">
        <v>0.95240000000000002</v>
      </c>
      <c r="U160" s="6">
        <f t="shared" si="29"/>
        <v>20.000399999999999</v>
      </c>
    </row>
    <row r="161" spans="1:21" x14ac:dyDescent="0.35">
      <c r="A161">
        <v>160</v>
      </c>
      <c r="B161" s="5">
        <v>44356</v>
      </c>
      <c r="C161" s="4">
        <f t="shared" si="30"/>
        <v>2021</v>
      </c>
      <c r="D161" s="4">
        <f t="shared" si="31"/>
        <v>6</v>
      </c>
      <c r="E161" s="14">
        <v>44356</v>
      </c>
      <c r="F161" s="4">
        <f t="shared" si="32"/>
        <v>9</v>
      </c>
      <c r="G161">
        <v>189</v>
      </c>
      <c r="H161">
        <v>182</v>
      </c>
      <c r="I161" s="13">
        <f t="shared" si="33"/>
        <v>0.96</v>
      </c>
      <c r="J161">
        <f t="shared" si="26"/>
        <v>7</v>
      </c>
      <c r="K161" s="2">
        <v>2.4305555555555555E-4</v>
      </c>
      <c r="L161" s="11">
        <f t="shared" si="27"/>
        <v>63.699999999999996</v>
      </c>
      <c r="M161" s="3">
        <f t="shared" si="34"/>
        <v>0.35</v>
      </c>
      <c r="N161" s="4">
        <f t="shared" si="35"/>
        <v>21</v>
      </c>
      <c r="O161" s="2">
        <v>1.5046296296296296E-3</v>
      </c>
      <c r="P161" s="9">
        <f t="shared" si="28"/>
        <v>394.33333333333331</v>
      </c>
      <c r="Q161" s="3">
        <f t="shared" si="36"/>
        <v>2.1666666666666665</v>
      </c>
      <c r="R161" s="4">
        <f t="shared" si="37"/>
        <v>130</v>
      </c>
      <c r="S161" s="3">
        <f t="shared" si="38"/>
        <v>138</v>
      </c>
      <c r="T161" s="1">
        <v>0.76339999999999997</v>
      </c>
      <c r="U161" s="6">
        <f t="shared" si="29"/>
        <v>138.93879999999999</v>
      </c>
    </row>
    <row r="162" spans="1:21" x14ac:dyDescent="0.35">
      <c r="A162">
        <v>161</v>
      </c>
      <c r="B162" s="5">
        <v>44357</v>
      </c>
      <c r="C162" s="4">
        <f t="shared" si="30"/>
        <v>2021</v>
      </c>
      <c r="D162" s="4">
        <f t="shared" si="31"/>
        <v>6</v>
      </c>
      <c r="E162" s="14">
        <v>44357</v>
      </c>
      <c r="F162" s="4">
        <f t="shared" si="32"/>
        <v>10</v>
      </c>
      <c r="G162">
        <v>161</v>
      </c>
      <c r="H162">
        <v>155</v>
      </c>
      <c r="I162" s="13">
        <f t="shared" si="33"/>
        <v>0.96</v>
      </c>
      <c r="J162">
        <f t="shared" si="26"/>
        <v>6</v>
      </c>
      <c r="K162" s="2">
        <v>2.199074074074074E-4</v>
      </c>
      <c r="L162" s="11">
        <f t="shared" si="27"/>
        <v>49.083333333333329</v>
      </c>
      <c r="M162" s="3">
        <f t="shared" si="34"/>
        <v>0.31666666666666665</v>
      </c>
      <c r="N162" s="4">
        <f t="shared" si="35"/>
        <v>19</v>
      </c>
      <c r="O162" s="2">
        <v>1.7013888888888888E-3</v>
      </c>
      <c r="P162" s="9">
        <f t="shared" si="28"/>
        <v>379.75</v>
      </c>
      <c r="Q162" s="3">
        <f t="shared" si="36"/>
        <v>2.4500000000000002</v>
      </c>
      <c r="R162" s="4">
        <f t="shared" si="37"/>
        <v>147</v>
      </c>
      <c r="S162" s="3">
        <f t="shared" si="38"/>
        <v>111</v>
      </c>
      <c r="T162" s="1">
        <v>0.71879999999999999</v>
      </c>
      <c r="U162" s="6">
        <f t="shared" si="29"/>
        <v>111.414</v>
      </c>
    </row>
    <row r="163" spans="1:21" x14ac:dyDescent="0.35">
      <c r="A163">
        <v>162</v>
      </c>
      <c r="B163" s="5">
        <v>44358</v>
      </c>
      <c r="C163" s="4">
        <f t="shared" si="30"/>
        <v>2021</v>
      </c>
      <c r="D163" s="4">
        <f t="shared" si="31"/>
        <v>6</v>
      </c>
      <c r="E163" s="14">
        <v>44358</v>
      </c>
      <c r="F163" s="4">
        <f t="shared" si="32"/>
        <v>11</v>
      </c>
      <c r="G163">
        <v>155</v>
      </c>
      <c r="H163">
        <v>151</v>
      </c>
      <c r="I163" s="13">
        <f t="shared" si="33"/>
        <v>0.97</v>
      </c>
      <c r="J163">
        <f t="shared" si="26"/>
        <v>4</v>
      </c>
      <c r="K163" s="2">
        <v>1.9675925925925926E-4</v>
      </c>
      <c r="L163" s="11">
        <f t="shared" si="27"/>
        <v>42.783333333333331</v>
      </c>
      <c r="M163" s="3">
        <f t="shared" si="34"/>
        <v>0.28333333333333333</v>
      </c>
      <c r="N163" s="4">
        <f t="shared" si="35"/>
        <v>17</v>
      </c>
      <c r="O163" s="2">
        <v>1.6203703703703703E-3</v>
      </c>
      <c r="P163" s="9">
        <f t="shared" si="28"/>
        <v>352.33333333333337</v>
      </c>
      <c r="Q163" s="3">
        <f t="shared" si="36"/>
        <v>2.3333333333333335</v>
      </c>
      <c r="R163" s="4">
        <f t="shared" si="37"/>
        <v>140</v>
      </c>
      <c r="S163" s="3">
        <f t="shared" si="38"/>
        <v>121</v>
      </c>
      <c r="T163" s="1">
        <v>0.80520000000000003</v>
      </c>
      <c r="U163" s="6">
        <f t="shared" si="29"/>
        <v>121.5852</v>
      </c>
    </row>
    <row r="164" spans="1:21" x14ac:dyDescent="0.35">
      <c r="A164">
        <v>163</v>
      </c>
      <c r="B164" s="5">
        <v>44359</v>
      </c>
      <c r="C164" s="4">
        <f t="shared" si="30"/>
        <v>2021</v>
      </c>
      <c r="D164" s="4">
        <f t="shared" si="31"/>
        <v>6</v>
      </c>
      <c r="E164" s="14">
        <v>44359</v>
      </c>
      <c r="F164" s="4">
        <f t="shared" si="32"/>
        <v>12</v>
      </c>
      <c r="G164">
        <v>161</v>
      </c>
      <c r="H164">
        <v>150</v>
      </c>
      <c r="I164" s="13">
        <f t="shared" si="33"/>
        <v>0.93</v>
      </c>
      <c r="J164">
        <f t="shared" si="26"/>
        <v>11</v>
      </c>
      <c r="K164" s="2">
        <v>1.9675925925925926E-4</v>
      </c>
      <c r="L164" s="11">
        <f t="shared" si="27"/>
        <v>42.5</v>
      </c>
      <c r="M164" s="3">
        <f t="shared" si="34"/>
        <v>0.28333333333333333</v>
      </c>
      <c r="N164" s="4">
        <f t="shared" si="35"/>
        <v>17</v>
      </c>
      <c r="O164" s="2">
        <v>1.6435185185185185E-3</v>
      </c>
      <c r="P164" s="9">
        <f t="shared" si="28"/>
        <v>355</v>
      </c>
      <c r="Q164" s="3">
        <f t="shared" si="36"/>
        <v>2.3666666666666667</v>
      </c>
      <c r="R164" s="4">
        <f t="shared" si="37"/>
        <v>142</v>
      </c>
      <c r="S164" s="3">
        <f t="shared" si="38"/>
        <v>112</v>
      </c>
      <c r="T164" s="1">
        <v>0.75319999999999998</v>
      </c>
      <c r="U164" s="6">
        <f t="shared" si="29"/>
        <v>112.98</v>
      </c>
    </row>
    <row r="165" spans="1:21" x14ac:dyDescent="0.35">
      <c r="A165">
        <v>164</v>
      </c>
      <c r="B165" s="5">
        <v>44360</v>
      </c>
      <c r="C165" s="4">
        <f t="shared" si="30"/>
        <v>2021</v>
      </c>
      <c r="D165" s="4">
        <f t="shared" si="31"/>
        <v>6</v>
      </c>
      <c r="E165" s="14">
        <v>44360</v>
      </c>
      <c r="F165" s="4">
        <f t="shared" si="32"/>
        <v>13</v>
      </c>
      <c r="G165">
        <v>132</v>
      </c>
      <c r="H165">
        <v>129</v>
      </c>
      <c r="I165" s="13">
        <f t="shared" si="33"/>
        <v>0.97</v>
      </c>
      <c r="J165">
        <f t="shared" si="26"/>
        <v>3</v>
      </c>
      <c r="K165" s="2">
        <v>3.1250000000000001E-4</v>
      </c>
      <c r="L165" s="11">
        <f t="shared" si="27"/>
        <v>58.050000000000004</v>
      </c>
      <c r="M165" s="3">
        <f t="shared" si="34"/>
        <v>0.45</v>
      </c>
      <c r="N165" s="4">
        <f t="shared" si="35"/>
        <v>27</v>
      </c>
      <c r="O165" s="2">
        <v>1.6435185185185185E-3</v>
      </c>
      <c r="P165" s="9">
        <f t="shared" si="28"/>
        <v>305.3</v>
      </c>
      <c r="Q165" s="3">
        <f t="shared" si="36"/>
        <v>2.3666666666666667</v>
      </c>
      <c r="R165" s="4">
        <f t="shared" si="37"/>
        <v>142</v>
      </c>
      <c r="S165" s="3">
        <f t="shared" si="38"/>
        <v>84</v>
      </c>
      <c r="T165" s="1">
        <v>0.65149999999999997</v>
      </c>
      <c r="U165" s="6">
        <f t="shared" si="29"/>
        <v>84.043499999999995</v>
      </c>
    </row>
    <row r="166" spans="1:21" x14ac:dyDescent="0.35">
      <c r="A166">
        <v>165</v>
      </c>
      <c r="B166" s="5">
        <v>44361</v>
      </c>
      <c r="C166" s="4">
        <f t="shared" si="30"/>
        <v>2021</v>
      </c>
      <c r="D166" s="4">
        <f t="shared" si="31"/>
        <v>6</v>
      </c>
      <c r="E166" s="14">
        <v>44361</v>
      </c>
      <c r="F166" s="4">
        <f t="shared" si="32"/>
        <v>14</v>
      </c>
      <c r="G166">
        <v>122</v>
      </c>
      <c r="H166">
        <v>119</v>
      </c>
      <c r="I166" s="13">
        <f t="shared" si="33"/>
        <v>0.97</v>
      </c>
      <c r="J166">
        <f t="shared" si="26"/>
        <v>3</v>
      </c>
      <c r="K166" s="2">
        <v>1.8518518518518518E-4</v>
      </c>
      <c r="L166" s="11">
        <f t="shared" si="27"/>
        <v>31.733333333333334</v>
      </c>
      <c r="M166" s="3">
        <f t="shared" si="34"/>
        <v>0.26666666666666666</v>
      </c>
      <c r="N166" s="4">
        <f t="shared" si="35"/>
        <v>16</v>
      </c>
      <c r="O166" s="2">
        <v>1.6666666666666668E-3</v>
      </c>
      <c r="P166" s="9">
        <f t="shared" si="28"/>
        <v>285.59999999999997</v>
      </c>
      <c r="Q166" s="3">
        <f t="shared" si="36"/>
        <v>2.4</v>
      </c>
      <c r="R166" s="4">
        <f t="shared" si="37"/>
        <v>144</v>
      </c>
      <c r="S166" s="3">
        <f t="shared" si="38"/>
        <v>95</v>
      </c>
      <c r="T166" s="1">
        <v>0.8</v>
      </c>
      <c r="U166" s="6">
        <f t="shared" si="29"/>
        <v>95.2</v>
      </c>
    </row>
    <row r="167" spans="1:21" x14ac:dyDescent="0.35">
      <c r="A167">
        <v>166</v>
      </c>
      <c r="B167" s="5">
        <v>44362</v>
      </c>
      <c r="C167" s="4">
        <f t="shared" si="30"/>
        <v>2021</v>
      </c>
      <c r="D167" s="4">
        <f t="shared" si="31"/>
        <v>6</v>
      </c>
      <c r="E167" s="14">
        <v>44362</v>
      </c>
      <c r="F167" s="4">
        <f t="shared" si="32"/>
        <v>15</v>
      </c>
      <c r="G167">
        <v>17</v>
      </c>
      <c r="H167">
        <v>17</v>
      </c>
      <c r="I167" s="13">
        <f t="shared" si="33"/>
        <v>1</v>
      </c>
      <c r="J167">
        <f t="shared" si="26"/>
        <v>0</v>
      </c>
      <c r="K167" s="2">
        <v>2.4305555555555555E-4</v>
      </c>
      <c r="L167" s="11">
        <f t="shared" si="27"/>
        <v>5.9499999999999993</v>
      </c>
      <c r="M167" s="3">
        <f t="shared" si="34"/>
        <v>0.35</v>
      </c>
      <c r="N167" s="4">
        <f t="shared" si="35"/>
        <v>21</v>
      </c>
      <c r="O167" s="2">
        <v>1.8518518518518519E-3</v>
      </c>
      <c r="P167" s="9">
        <f t="shared" si="28"/>
        <v>45.333333333333329</v>
      </c>
      <c r="Q167" s="3">
        <f t="shared" si="36"/>
        <v>2.6666666666666665</v>
      </c>
      <c r="R167" s="4">
        <f t="shared" si="37"/>
        <v>160</v>
      </c>
      <c r="S167" s="3">
        <f t="shared" si="38"/>
        <v>12</v>
      </c>
      <c r="T167" s="1">
        <v>0.76470000000000005</v>
      </c>
      <c r="U167" s="6">
        <f t="shared" si="29"/>
        <v>12.9999</v>
      </c>
    </row>
    <row r="168" spans="1:21" x14ac:dyDescent="0.35">
      <c r="A168">
        <v>167</v>
      </c>
      <c r="B168" s="5">
        <v>44363</v>
      </c>
      <c r="C168" s="4">
        <f t="shared" si="30"/>
        <v>2021</v>
      </c>
      <c r="D168" s="4">
        <f t="shared" si="31"/>
        <v>6</v>
      </c>
      <c r="E168" s="14">
        <v>44363</v>
      </c>
      <c r="F168" s="4">
        <f t="shared" si="32"/>
        <v>16</v>
      </c>
      <c r="G168">
        <v>45</v>
      </c>
      <c r="H168">
        <v>45</v>
      </c>
      <c r="I168" s="13">
        <f t="shared" si="33"/>
        <v>1</v>
      </c>
      <c r="J168">
        <f t="shared" si="26"/>
        <v>0</v>
      </c>
      <c r="K168" s="2">
        <v>6.9444444444444444E-5</v>
      </c>
      <c r="L168" s="11">
        <f t="shared" si="27"/>
        <v>4.5</v>
      </c>
      <c r="M168" s="3">
        <f t="shared" si="34"/>
        <v>0.1</v>
      </c>
      <c r="N168" s="4">
        <f t="shared" si="35"/>
        <v>6</v>
      </c>
      <c r="O168" s="2">
        <v>1.4583333333333334E-3</v>
      </c>
      <c r="P168" s="9">
        <f t="shared" si="28"/>
        <v>94.5</v>
      </c>
      <c r="Q168" s="3">
        <f t="shared" si="36"/>
        <v>2.1</v>
      </c>
      <c r="R168" s="4">
        <f t="shared" si="37"/>
        <v>126</v>
      </c>
      <c r="S168" s="3">
        <f t="shared" si="38"/>
        <v>43</v>
      </c>
      <c r="T168" s="1">
        <v>0.9556</v>
      </c>
      <c r="U168" s="6">
        <f t="shared" si="29"/>
        <v>43.002000000000002</v>
      </c>
    </row>
    <row r="169" spans="1:21" x14ac:dyDescent="0.35">
      <c r="A169">
        <v>168</v>
      </c>
      <c r="B169" s="5">
        <v>44364</v>
      </c>
      <c r="C169" s="4">
        <f t="shared" si="30"/>
        <v>2021</v>
      </c>
      <c r="D169" s="4">
        <f t="shared" si="31"/>
        <v>6</v>
      </c>
      <c r="E169" s="14">
        <v>44364</v>
      </c>
      <c r="F169" s="4">
        <f t="shared" si="32"/>
        <v>17</v>
      </c>
      <c r="G169">
        <v>177</v>
      </c>
      <c r="H169">
        <v>172</v>
      </c>
      <c r="I169" s="13">
        <f t="shared" si="33"/>
        <v>0.97</v>
      </c>
      <c r="J169">
        <f t="shared" si="26"/>
        <v>5</v>
      </c>
      <c r="K169" s="2">
        <v>2.3148148148148149E-4</v>
      </c>
      <c r="L169" s="11">
        <f t="shared" si="27"/>
        <v>57.333333333333329</v>
      </c>
      <c r="M169" s="3">
        <f t="shared" si="34"/>
        <v>0.33333333333333331</v>
      </c>
      <c r="N169" s="4">
        <f t="shared" si="35"/>
        <v>20</v>
      </c>
      <c r="O169" s="2">
        <v>1.6550925925925926E-3</v>
      </c>
      <c r="P169" s="9">
        <f t="shared" si="28"/>
        <v>409.93333333333334</v>
      </c>
      <c r="Q169" s="3">
        <f t="shared" si="36"/>
        <v>2.3833333333333333</v>
      </c>
      <c r="R169" s="4">
        <f t="shared" si="37"/>
        <v>143</v>
      </c>
      <c r="S169" s="3">
        <f t="shared" si="38"/>
        <v>130</v>
      </c>
      <c r="T169" s="1">
        <v>0.76</v>
      </c>
      <c r="U169" s="6">
        <f t="shared" si="29"/>
        <v>130.72</v>
      </c>
    </row>
    <row r="170" spans="1:21" x14ac:dyDescent="0.35">
      <c r="A170">
        <v>169</v>
      </c>
      <c r="B170" s="5">
        <v>44365</v>
      </c>
      <c r="C170" s="4">
        <f t="shared" si="30"/>
        <v>2021</v>
      </c>
      <c r="D170" s="4">
        <f t="shared" si="31"/>
        <v>6</v>
      </c>
      <c r="E170" s="14">
        <v>44365</v>
      </c>
      <c r="F170" s="4">
        <f t="shared" si="32"/>
        <v>18</v>
      </c>
      <c r="G170">
        <v>133</v>
      </c>
      <c r="H170">
        <v>132</v>
      </c>
      <c r="I170" s="13">
        <f t="shared" si="33"/>
        <v>0.99</v>
      </c>
      <c r="J170">
        <f t="shared" si="26"/>
        <v>1</v>
      </c>
      <c r="K170" s="2">
        <v>1.1574074074074075E-4</v>
      </c>
      <c r="L170" s="11">
        <f t="shared" si="27"/>
        <v>22</v>
      </c>
      <c r="M170" s="3">
        <f t="shared" si="34"/>
        <v>0.16666666666666666</v>
      </c>
      <c r="N170" s="4">
        <f t="shared" si="35"/>
        <v>10</v>
      </c>
      <c r="O170" s="2">
        <v>1.6782407407407408E-3</v>
      </c>
      <c r="P170" s="9">
        <f t="shared" si="28"/>
        <v>319</v>
      </c>
      <c r="Q170" s="3">
        <f t="shared" si="36"/>
        <v>2.4166666666666665</v>
      </c>
      <c r="R170" s="4">
        <f t="shared" si="37"/>
        <v>145</v>
      </c>
      <c r="S170" s="3">
        <f t="shared" si="38"/>
        <v>123</v>
      </c>
      <c r="T170" s="1">
        <v>0.93230000000000002</v>
      </c>
      <c r="U170" s="6">
        <f t="shared" si="29"/>
        <v>123.06360000000001</v>
      </c>
    </row>
    <row r="171" spans="1:21" x14ac:dyDescent="0.35">
      <c r="A171">
        <v>170</v>
      </c>
      <c r="B171" s="5">
        <v>44366</v>
      </c>
      <c r="C171" s="4">
        <f t="shared" si="30"/>
        <v>2021</v>
      </c>
      <c r="D171" s="4">
        <f t="shared" si="31"/>
        <v>6</v>
      </c>
      <c r="E171" s="14">
        <v>44366</v>
      </c>
      <c r="F171" s="4">
        <f t="shared" si="32"/>
        <v>19</v>
      </c>
      <c r="G171">
        <v>177</v>
      </c>
      <c r="H171">
        <v>167</v>
      </c>
      <c r="I171" s="13">
        <f t="shared" si="33"/>
        <v>0.94</v>
      </c>
      <c r="J171">
        <f t="shared" si="26"/>
        <v>10</v>
      </c>
      <c r="K171" s="2">
        <v>1.7361111111111112E-4</v>
      </c>
      <c r="L171" s="11">
        <f t="shared" si="27"/>
        <v>41.75</v>
      </c>
      <c r="M171" s="3">
        <f t="shared" si="34"/>
        <v>0.25</v>
      </c>
      <c r="N171" s="4">
        <f t="shared" si="35"/>
        <v>15</v>
      </c>
      <c r="O171" s="2">
        <v>1.6435185185185185E-3</v>
      </c>
      <c r="P171" s="9">
        <f t="shared" si="28"/>
        <v>395.23333333333335</v>
      </c>
      <c r="Q171" s="3">
        <f t="shared" si="36"/>
        <v>2.3666666666666667</v>
      </c>
      <c r="R171" s="4">
        <f t="shared" si="37"/>
        <v>142</v>
      </c>
      <c r="S171" s="3">
        <f t="shared" si="38"/>
        <v>139</v>
      </c>
      <c r="T171" s="1">
        <v>0.83240000000000003</v>
      </c>
      <c r="U171" s="6">
        <f t="shared" si="29"/>
        <v>139.01080000000002</v>
      </c>
    </row>
    <row r="172" spans="1:21" x14ac:dyDescent="0.35">
      <c r="A172">
        <v>171</v>
      </c>
      <c r="B172" s="5">
        <v>44367</v>
      </c>
      <c r="C172" s="4">
        <f t="shared" si="30"/>
        <v>2021</v>
      </c>
      <c r="D172" s="4">
        <f t="shared" si="31"/>
        <v>6</v>
      </c>
      <c r="E172" s="14">
        <v>44367</v>
      </c>
      <c r="F172" s="4">
        <f t="shared" si="32"/>
        <v>20</v>
      </c>
      <c r="G172">
        <v>127</v>
      </c>
      <c r="H172">
        <v>124</v>
      </c>
      <c r="I172" s="13">
        <f t="shared" si="33"/>
        <v>0.97</v>
      </c>
      <c r="J172">
        <f t="shared" si="26"/>
        <v>3</v>
      </c>
      <c r="K172" s="2">
        <v>1.8518518518518518E-4</v>
      </c>
      <c r="L172" s="11">
        <f t="shared" si="27"/>
        <v>33.066666666666663</v>
      </c>
      <c r="M172" s="3">
        <f t="shared" si="34"/>
        <v>0.26666666666666666</v>
      </c>
      <c r="N172" s="4">
        <f t="shared" si="35"/>
        <v>16</v>
      </c>
      <c r="O172" s="2">
        <v>1.6435185185185185E-3</v>
      </c>
      <c r="P172" s="9">
        <f t="shared" si="28"/>
        <v>293.4666666666667</v>
      </c>
      <c r="Q172" s="3">
        <f t="shared" si="36"/>
        <v>2.3666666666666667</v>
      </c>
      <c r="R172" s="4">
        <f t="shared" si="37"/>
        <v>142</v>
      </c>
      <c r="S172" s="3">
        <f t="shared" si="38"/>
        <v>101</v>
      </c>
      <c r="T172" s="1">
        <v>0.81889999999999996</v>
      </c>
      <c r="U172" s="6">
        <f t="shared" si="29"/>
        <v>101.5436</v>
      </c>
    </row>
    <row r="173" spans="1:21" x14ac:dyDescent="0.35">
      <c r="A173">
        <v>172</v>
      </c>
      <c r="B173" s="5">
        <v>44368</v>
      </c>
      <c r="C173" s="4">
        <f t="shared" si="30"/>
        <v>2021</v>
      </c>
      <c r="D173" s="4">
        <f t="shared" si="31"/>
        <v>6</v>
      </c>
      <c r="E173" s="14">
        <v>44368</v>
      </c>
      <c r="F173" s="4">
        <f t="shared" si="32"/>
        <v>21</v>
      </c>
      <c r="G173">
        <v>148</v>
      </c>
      <c r="H173">
        <v>147</v>
      </c>
      <c r="I173" s="13">
        <f t="shared" si="33"/>
        <v>0.99</v>
      </c>
      <c r="J173">
        <f t="shared" si="26"/>
        <v>1</v>
      </c>
      <c r="K173" s="2">
        <v>1.8518518518518518E-4</v>
      </c>
      <c r="L173" s="11">
        <f t="shared" si="27"/>
        <v>39.200000000000003</v>
      </c>
      <c r="M173" s="3">
        <f t="shared" si="34"/>
        <v>0.26666666666666666</v>
      </c>
      <c r="N173" s="4">
        <f t="shared" si="35"/>
        <v>16</v>
      </c>
      <c r="O173" s="2">
        <v>1.5162037037037036E-3</v>
      </c>
      <c r="P173" s="9">
        <f t="shared" si="28"/>
        <v>320.95</v>
      </c>
      <c r="Q173" s="3">
        <f t="shared" si="36"/>
        <v>2.1833333333333331</v>
      </c>
      <c r="R173" s="4">
        <f t="shared" si="37"/>
        <v>131</v>
      </c>
      <c r="S173" s="3">
        <f t="shared" si="38"/>
        <v>122</v>
      </c>
      <c r="T173" s="1">
        <v>0.83109999999999995</v>
      </c>
      <c r="U173" s="6">
        <f t="shared" si="29"/>
        <v>122.17169999999999</v>
      </c>
    </row>
    <row r="174" spans="1:21" x14ac:dyDescent="0.35">
      <c r="A174">
        <v>173</v>
      </c>
      <c r="B174" s="5">
        <v>44369</v>
      </c>
      <c r="C174" s="4">
        <f t="shared" si="30"/>
        <v>2021</v>
      </c>
      <c r="D174" s="4">
        <f t="shared" si="31"/>
        <v>6</v>
      </c>
      <c r="E174" s="14">
        <v>44369</v>
      </c>
      <c r="F174" s="4">
        <f t="shared" si="32"/>
        <v>22</v>
      </c>
      <c r="G174">
        <v>23</v>
      </c>
      <c r="H174">
        <v>23</v>
      </c>
      <c r="I174" s="13">
        <f t="shared" si="33"/>
        <v>1</v>
      </c>
      <c r="J174">
        <f t="shared" si="26"/>
        <v>0</v>
      </c>
      <c r="K174" s="2">
        <v>3.7037037037037035E-4</v>
      </c>
      <c r="L174" s="11">
        <f t="shared" si="27"/>
        <v>12.266666666666666</v>
      </c>
      <c r="M174" s="3">
        <f t="shared" si="34"/>
        <v>0.53333333333333333</v>
      </c>
      <c r="N174" s="4">
        <f t="shared" si="35"/>
        <v>32</v>
      </c>
      <c r="O174" s="2">
        <v>1.4120370370370369E-3</v>
      </c>
      <c r="P174" s="9">
        <f t="shared" si="28"/>
        <v>46.766666666666666</v>
      </c>
      <c r="Q174" s="3">
        <f t="shared" si="36"/>
        <v>2.0333333333333332</v>
      </c>
      <c r="R174" s="4">
        <f t="shared" si="37"/>
        <v>122</v>
      </c>
      <c r="S174" s="3">
        <f t="shared" si="38"/>
        <v>15</v>
      </c>
      <c r="T174" s="1">
        <v>0.6522</v>
      </c>
      <c r="U174" s="6">
        <f t="shared" si="29"/>
        <v>15.0006</v>
      </c>
    </row>
    <row r="175" spans="1:21" x14ac:dyDescent="0.35">
      <c r="A175">
        <v>174</v>
      </c>
      <c r="B175" s="5">
        <v>44370</v>
      </c>
      <c r="C175" s="4">
        <f t="shared" si="30"/>
        <v>2021</v>
      </c>
      <c r="D175" s="4">
        <f t="shared" si="31"/>
        <v>6</v>
      </c>
      <c r="E175" s="14">
        <v>44370</v>
      </c>
      <c r="F175" s="4">
        <f t="shared" si="32"/>
        <v>23</v>
      </c>
      <c r="G175">
        <v>141</v>
      </c>
      <c r="H175">
        <v>134</v>
      </c>
      <c r="I175" s="13">
        <f t="shared" si="33"/>
        <v>0.95</v>
      </c>
      <c r="J175">
        <f t="shared" si="26"/>
        <v>7</v>
      </c>
      <c r="K175" s="2">
        <v>2.7777777777777778E-4</v>
      </c>
      <c r="L175" s="11">
        <f t="shared" si="27"/>
        <v>53.6</v>
      </c>
      <c r="M175" s="3">
        <f t="shared" si="34"/>
        <v>0.4</v>
      </c>
      <c r="N175" s="4">
        <f t="shared" si="35"/>
        <v>24</v>
      </c>
      <c r="O175" s="2">
        <v>1.8287037037037037E-3</v>
      </c>
      <c r="P175" s="9">
        <f t="shared" si="28"/>
        <v>352.86666666666667</v>
      </c>
      <c r="Q175" s="3">
        <f t="shared" si="36"/>
        <v>2.6333333333333333</v>
      </c>
      <c r="R175" s="4">
        <f t="shared" si="37"/>
        <v>158</v>
      </c>
      <c r="S175" s="3">
        <f t="shared" si="38"/>
        <v>96</v>
      </c>
      <c r="T175" s="1">
        <v>0.72140000000000004</v>
      </c>
      <c r="U175" s="6">
        <f t="shared" si="29"/>
        <v>96.667600000000007</v>
      </c>
    </row>
    <row r="176" spans="1:21" x14ac:dyDescent="0.35">
      <c r="A176">
        <v>175</v>
      </c>
      <c r="B176" s="5">
        <v>44371</v>
      </c>
      <c r="C176" s="4">
        <f t="shared" si="30"/>
        <v>2021</v>
      </c>
      <c r="D176" s="4">
        <f t="shared" si="31"/>
        <v>6</v>
      </c>
      <c r="E176" s="14">
        <v>44371</v>
      </c>
      <c r="F176" s="4">
        <f t="shared" si="32"/>
        <v>24</v>
      </c>
      <c r="G176">
        <v>124</v>
      </c>
      <c r="H176">
        <v>120</v>
      </c>
      <c r="I176" s="13">
        <f t="shared" si="33"/>
        <v>0.96</v>
      </c>
      <c r="J176">
        <f t="shared" si="26"/>
        <v>4</v>
      </c>
      <c r="K176" s="2">
        <v>2.3148148148148149E-4</v>
      </c>
      <c r="L176" s="11">
        <f t="shared" si="27"/>
        <v>40</v>
      </c>
      <c r="M176" s="3">
        <f t="shared" si="34"/>
        <v>0.33333333333333331</v>
      </c>
      <c r="N176" s="4">
        <f t="shared" si="35"/>
        <v>20</v>
      </c>
      <c r="O176" s="2">
        <v>1.7708333333333332E-3</v>
      </c>
      <c r="P176" s="9">
        <f t="shared" si="28"/>
        <v>306</v>
      </c>
      <c r="Q176" s="3">
        <f t="shared" si="36"/>
        <v>2.5499999999999998</v>
      </c>
      <c r="R176" s="4">
        <f t="shared" si="37"/>
        <v>153</v>
      </c>
      <c r="S176" s="3">
        <f t="shared" si="38"/>
        <v>98</v>
      </c>
      <c r="T176" s="1">
        <v>0.8226</v>
      </c>
      <c r="U176" s="6">
        <f t="shared" si="29"/>
        <v>98.712000000000003</v>
      </c>
    </row>
    <row r="177" spans="1:21" x14ac:dyDescent="0.35">
      <c r="A177">
        <v>176</v>
      </c>
      <c r="B177" s="5">
        <v>44372</v>
      </c>
      <c r="C177" s="4">
        <f t="shared" si="30"/>
        <v>2021</v>
      </c>
      <c r="D177" s="4">
        <f t="shared" si="31"/>
        <v>6</v>
      </c>
      <c r="E177" s="14">
        <v>44372</v>
      </c>
      <c r="F177" s="4">
        <f t="shared" si="32"/>
        <v>25</v>
      </c>
      <c r="G177">
        <v>165</v>
      </c>
      <c r="H177">
        <v>156</v>
      </c>
      <c r="I177" s="13">
        <f t="shared" si="33"/>
        <v>0.94</v>
      </c>
      <c r="J177">
        <f t="shared" si="26"/>
        <v>9</v>
      </c>
      <c r="K177" s="2">
        <v>2.8935185185185184E-4</v>
      </c>
      <c r="L177" s="11">
        <f t="shared" si="27"/>
        <v>65</v>
      </c>
      <c r="M177" s="3">
        <f t="shared" si="34"/>
        <v>0.41666666666666669</v>
      </c>
      <c r="N177" s="4">
        <f t="shared" si="35"/>
        <v>25</v>
      </c>
      <c r="O177" s="2">
        <v>1.6319444444444445E-3</v>
      </c>
      <c r="P177" s="9">
        <f t="shared" si="28"/>
        <v>366.6</v>
      </c>
      <c r="Q177" s="3">
        <f t="shared" si="36"/>
        <v>2.35</v>
      </c>
      <c r="R177" s="4">
        <f t="shared" si="37"/>
        <v>141</v>
      </c>
      <c r="S177" s="3">
        <f t="shared" si="38"/>
        <v>110</v>
      </c>
      <c r="T177" s="1">
        <v>0.70550000000000002</v>
      </c>
      <c r="U177" s="6">
        <f t="shared" si="29"/>
        <v>110.05800000000001</v>
      </c>
    </row>
    <row r="178" spans="1:21" x14ac:dyDescent="0.35">
      <c r="A178">
        <v>177</v>
      </c>
      <c r="B178" s="5">
        <v>44373</v>
      </c>
      <c r="C178" s="4">
        <f t="shared" si="30"/>
        <v>2021</v>
      </c>
      <c r="D178" s="4">
        <f t="shared" si="31"/>
        <v>6</v>
      </c>
      <c r="E178" s="14">
        <v>44373</v>
      </c>
      <c r="F178" s="4">
        <f t="shared" si="32"/>
        <v>26</v>
      </c>
      <c r="G178">
        <v>168</v>
      </c>
      <c r="H178">
        <v>166</v>
      </c>
      <c r="I178" s="13">
        <f t="shared" si="33"/>
        <v>0.98</v>
      </c>
      <c r="J178">
        <f t="shared" si="26"/>
        <v>2</v>
      </c>
      <c r="K178" s="2">
        <v>2.4305555555555555E-4</v>
      </c>
      <c r="L178" s="11">
        <f t="shared" si="27"/>
        <v>58.099999999999994</v>
      </c>
      <c r="M178" s="3">
        <f t="shared" si="34"/>
        <v>0.35</v>
      </c>
      <c r="N178" s="4">
        <f t="shared" si="35"/>
        <v>21</v>
      </c>
      <c r="O178" s="2">
        <v>1.7708333333333332E-3</v>
      </c>
      <c r="P178" s="9">
        <f t="shared" si="28"/>
        <v>423.29999999999995</v>
      </c>
      <c r="Q178" s="3">
        <f t="shared" si="36"/>
        <v>2.5499999999999998</v>
      </c>
      <c r="R178" s="4">
        <f t="shared" si="37"/>
        <v>153</v>
      </c>
      <c r="S178" s="3">
        <f t="shared" si="38"/>
        <v>132</v>
      </c>
      <c r="T178" s="1">
        <v>0.80120000000000002</v>
      </c>
      <c r="U178" s="6">
        <f t="shared" si="29"/>
        <v>132.9992</v>
      </c>
    </row>
    <row r="179" spans="1:21" x14ac:dyDescent="0.35">
      <c r="A179">
        <v>178</v>
      </c>
      <c r="B179" s="5">
        <v>44374</v>
      </c>
      <c r="C179" s="4">
        <f t="shared" si="30"/>
        <v>2021</v>
      </c>
      <c r="D179" s="4">
        <f t="shared" si="31"/>
        <v>6</v>
      </c>
      <c r="E179" s="14">
        <v>44374</v>
      </c>
      <c r="F179" s="4">
        <f t="shared" si="32"/>
        <v>27</v>
      </c>
      <c r="G179">
        <v>198</v>
      </c>
      <c r="H179">
        <v>188</v>
      </c>
      <c r="I179" s="13">
        <f t="shared" si="33"/>
        <v>0.94</v>
      </c>
      <c r="J179">
        <f t="shared" si="26"/>
        <v>10</v>
      </c>
      <c r="K179" s="2">
        <v>2.5462962962962961E-4</v>
      </c>
      <c r="L179" s="11">
        <f t="shared" si="27"/>
        <v>68.933333333333323</v>
      </c>
      <c r="M179" s="3">
        <f t="shared" si="34"/>
        <v>0.36666666666666664</v>
      </c>
      <c r="N179" s="4">
        <f t="shared" si="35"/>
        <v>22</v>
      </c>
      <c r="O179" s="2">
        <v>1.7592592592592592E-3</v>
      </c>
      <c r="P179" s="9">
        <f t="shared" si="28"/>
        <v>476.26666666666665</v>
      </c>
      <c r="Q179" s="3">
        <f t="shared" si="36"/>
        <v>2.5333333333333332</v>
      </c>
      <c r="R179" s="4">
        <f t="shared" si="37"/>
        <v>152</v>
      </c>
      <c r="S179" s="3">
        <f t="shared" si="38"/>
        <v>133</v>
      </c>
      <c r="T179" s="1">
        <v>0.70920000000000005</v>
      </c>
      <c r="U179" s="6">
        <f t="shared" si="29"/>
        <v>133.3296</v>
      </c>
    </row>
    <row r="180" spans="1:21" x14ac:dyDescent="0.35">
      <c r="A180">
        <v>179</v>
      </c>
      <c r="B180" s="5">
        <v>44375</v>
      </c>
      <c r="C180" s="4">
        <f t="shared" si="30"/>
        <v>2021</v>
      </c>
      <c r="D180" s="4">
        <f t="shared" si="31"/>
        <v>6</v>
      </c>
      <c r="E180" s="14">
        <v>44375</v>
      </c>
      <c r="F180" s="4">
        <f t="shared" si="32"/>
        <v>28</v>
      </c>
      <c r="G180">
        <v>139</v>
      </c>
      <c r="H180">
        <v>133</v>
      </c>
      <c r="I180" s="13">
        <f t="shared" si="33"/>
        <v>0.95</v>
      </c>
      <c r="J180">
        <f t="shared" si="26"/>
        <v>6</v>
      </c>
      <c r="K180" s="2">
        <v>1.9675925925925926E-4</v>
      </c>
      <c r="L180" s="11">
        <f t="shared" si="27"/>
        <v>37.68333333333333</v>
      </c>
      <c r="M180" s="3">
        <f t="shared" si="34"/>
        <v>0.28333333333333333</v>
      </c>
      <c r="N180" s="4">
        <f t="shared" si="35"/>
        <v>17</v>
      </c>
      <c r="O180" s="2">
        <v>1.8518518518518519E-3</v>
      </c>
      <c r="P180" s="9">
        <f t="shared" si="28"/>
        <v>354.66666666666663</v>
      </c>
      <c r="Q180" s="3">
        <f t="shared" si="36"/>
        <v>2.6666666666666665</v>
      </c>
      <c r="R180" s="4">
        <f t="shared" si="37"/>
        <v>160</v>
      </c>
      <c r="S180" s="3">
        <f t="shared" si="38"/>
        <v>106</v>
      </c>
      <c r="T180" s="1">
        <v>0.80149999999999999</v>
      </c>
      <c r="U180" s="6">
        <f t="shared" si="29"/>
        <v>106.59949999999999</v>
      </c>
    </row>
    <row r="181" spans="1:21" x14ac:dyDescent="0.35">
      <c r="A181">
        <v>180</v>
      </c>
      <c r="B181" s="5">
        <v>44376</v>
      </c>
      <c r="C181" s="4">
        <f t="shared" si="30"/>
        <v>2021</v>
      </c>
      <c r="D181" s="4">
        <f t="shared" si="31"/>
        <v>6</v>
      </c>
      <c r="E181" s="14">
        <v>44376</v>
      </c>
      <c r="F181" s="4">
        <f t="shared" si="32"/>
        <v>29</v>
      </c>
      <c r="G181">
        <v>46</v>
      </c>
      <c r="H181">
        <v>45</v>
      </c>
      <c r="I181" s="13">
        <f t="shared" si="33"/>
        <v>0.97</v>
      </c>
      <c r="J181">
        <f t="shared" si="26"/>
        <v>1</v>
      </c>
      <c r="K181" s="2">
        <v>1.1574074074074075E-4</v>
      </c>
      <c r="L181" s="11">
        <f t="shared" si="27"/>
        <v>7.5</v>
      </c>
      <c r="M181" s="3">
        <f t="shared" si="34"/>
        <v>0.16666666666666666</v>
      </c>
      <c r="N181" s="4">
        <f t="shared" si="35"/>
        <v>10</v>
      </c>
      <c r="O181" s="2">
        <v>1.5509259259259259E-3</v>
      </c>
      <c r="P181" s="9">
        <f t="shared" si="28"/>
        <v>100.5</v>
      </c>
      <c r="Q181" s="3">
        <f t="shared" si="36"/>
        <v>2.2333333333333334</v>
      </c>
      <c r="R181" s="4">
        <f t="shared" si="37"/>
        <v>134</v>
      </c>
      <c r="S181" s="3">
        <f t="shared" si="38"/>
        <v>40</v>
      </c>
      <c r="T181" s="1">
        <v>0.88890000000000002</v>
      </c>
      <c r="U181" s="6">
        <f t="shared" si="29"/>
        <v>40.000500000000002</v>
      </c>
    </row>
    <row r="182" spans="1:21" x14ac:dyDescent="0.35">
      <c r="A182">
        <v>181</v>
      </c>
      <c r="B182" s="5">
        <v>44377</v>
      </c>
      <c r="C182" s="4">
        <f t="shared" si="30"/>
        <v>2021</v>
      </c>
      <c r="D182" s="4">
        <f t="shared" si="31"/>
        <v>6</v>
      </c>
      <c r="E182" s="14">
        <v>44377</v>
      </c>
      <c r="F182" s="4">
        <f t="shared" si="32"/>
        <v>30</v>
      </c>
      <c r="G182">
        <v>184</v>
      </c>
      <c r="H182">
        <v>174</v>
      </c>
      <c r="I182" s="13">
        <f t="shared" si="33"/>
        <v>0.94</v>
      </c>
      <c r="J182">
        <f t="shared" si="26"/>
        <v>10</v>
      </c>
      <c r="K182" s="2">
        <v>2.6620370370370372E-4</v>
      </c>
      <c r="L182" s="11">
        <f t="shared" si="27"/>
        <v>66.7</v>
      </c>
      <c r="M182" s="3">
        <f t="shared" si="34"/>
        <v>0.38333333333333336</v>
      </c>
      <c r="N182" s="4">
        <f t="shared" si="35"/>
        <v>23</v>
      </c>
      <c r="O182" s="2">
        <v>1.8171296296296297E-3</v>
      </c>
      <c r="P182" s="9">
        <f t="shared" si="28"/>
        <v>455.3</v>
      </c>
      <c r="Q182" s="3">
        <f t="shared" si="36"/>
        <v>2.6166666666666667</v>
      </c>
      <c r="R182" s="4">
        <f t="shared" si="37"/>
        <v>157</v>
      </c>
      <c r="S182" s="3">
        <f t="shared" si="38"/>
        <v>133</v>
      </c>
      <c r="T182" s="1">
        <v>0.76539999999999997</v>
      </c>
      <c r="U182" s="6">
        <f t="shared" si="29"/>
        <v>133.17959999999999</v>
      </c>
    </row>
    <row r="183" spans="1:21" x14ac:dyDescent="0.35">
      <c r="A183">
        <v>182</v>
      </c>
      <c r="B183" s="5">
        <v>44378</v>
      </c>
      <c r="C183" s="4">
        <f t="shared" si="30"/>
        <v>2021</v>
      </c>
      <c r="D183" s="4">
        <f t="shared" si="31"/>
        <v>7</v>
      </c>
      <c r="E183" s="14">
        <v>44378</v>
      </c>
      <c r="F183" s="4">
        <f t="shared" si="32"/>
        <v>1</v>
      </c>
      <c r="G183">
        <v>207</v>
      </c>
      <c r="H183">
        <v>190</v>
      </c>
      <c r="I183" s="13">
        <f t="shared" si="33"/>
        <v>0.91</v>
      </c>
      <c r="J183">
        <f t="shared" si="26"/>
        <v>17</v>
      </c>
      <c r="K183" s="2">
        <v>2.4305555555555555E-4</v>
      </c>
      <c r="L183" s="11">
        <f t="shared" si="27"/>
        <v>66.5</v>
      </c>
      <c r="M183" s="3">
        <f t="shared" si="34"/>
        <v>0.35</v>
      </c>
      <c r="N183" s="4">
        <f t="shared" si="35"/>
        <v>21</v>
      </c>
      <c r="O183" s="2">
        <v>1.6550925925925926E-3</v>
      </c>
      <c r="P183" s="9">
        <f t="shared" si="28"/>
        <v>452.83333333333331</v>
      </c>
      <c r="Q183" s="3">
        <f t="shared" si="36"/>
        <v>2.3833333333333333</v>
      </c>
      <c r="R183" s="4">
        <f t="shared" si="37"/>
        <v>143</v>
      </c>
      <c r="S183" s="3">
        <f t="shared" si="38"/>
        <v>135</v>
      </c>
      <c r="T183" s="1">
        <v>0.71360000000000001</v>
      </c>
      <c r="U183" s="6">
        <f t="shared" si="29"/>
        <v>135.584</v>
      </c>
    </row>
    <row r="184" spans="1:21" x14ac:dyDescent="0.35">
      <c r="A184">
        <v>183</v>
      </c>
      <c r="B184" s="5">
        <v>44379</v>
      </c>
      <c r="C184" s="4">
        <f t="shared" si="30"/>
        <v>2021</v>
      </c>
      <c r="D184" s="4">
        <f t="shared" si="31"/>
        <v>7</v>
      </c>
      <c r="E184" s="14">
        <v>44379</v>
      </c>
      <c r="F184" s="4">
        <f t="shared" si="32"/>
        <v>2</v>
      </c>
      <c r="G184">
        <v>191</v>
      </c>
      <c r="H184">
        <v>180</v>
      </c>
      <c r="I184" s="13">
        <f t="shared" si="33"/>
        <v>0.94</v>
      </c>
      <c r="J184">
        <f t="shared" si="26"/>
        <v>11</v>
      </c>
      <c r="K184" s="2">
        <v>2.4305555555555555E-4</v>
      </c>
      <c r="L184" s="11">
        <f t="shared" si="27"/>
        <v>62.999999999999993</v>
      </c>
      <c r="M184" s="3">
        <f t="shared" si="34"/>
        <v>0.35</v>
      </c>
      <c r="N184" s="4">
        <f t="shared" si="35"/>
        <v>21</v>
      </c>
      <c r="O184" s="2">
        <v>1.7592592592592592E-3</v>
      </c>
      <c r="P184" s="9">
        <f t="shared" si="28"/>
        <v>456</v>
      </c>
      <c r="Q184" s="3">
        <f t="shared" si="36"/>
        <v>2.5333333333333332</v>
      </c>
      <c r="R184" s="4">
        <f t="shared" si="37"/>
        <v>152</v>
      </c>
      <c r="S184" s="3">
        <f t="shared" si="38"/>
        <v>137</v>
      </c>
      <c r="T184" s="1">
        <v>0.76500000000000001</v>
      </c>
      <c r="U184" s="6">
        <f t="shared" si="29"/>
        <v>137.69999999999999</v>
      </c>
    </row>
    <row r="185" spans="1:21" x14ac:dyDescent="0.35">
      <c r="A185">
        <v>184</v>
      </c>
      <c r="B185" s="5">
        <v>44380</v>
      </c>
      <c r="C185" s="4">
        <f t="shared" si="30"/>
        <v>2021</v>
      </c>
      <c r="D185" s="4">
        <f t="shared" si="31"/>
        <v>7</v>
      </c>
      <c r="E185" s="14">
        <v>44380</v>
      </c>
      <c r="F185" s="4">
        <f t="shared" si="32"/>
        <v>3</v>
      </c>
      <c r="G185">
        <v>213</v>
      </c>
      <c r="H185">
        <v>204</v>
      </c>
      <c r="I185" s="13">
        <f t="shared" si="33"/>
        <v>0.95</v>
      </c>
      <c r="J185">
        <f t="shared" si="26"/>
        <v>9</v>
      </c>
      <c r="K185" s="2">
        <v>2.7777777777777778E-4</v>
      </c>
      <c r="L185" s="11">
        <f t="shared" si="27"/>
        <v>81.600000000000009</v>
      </c>
      <c r="M185" s="3">
        <f t="shared" si="34"/>
        <v>0.4</v>
      </c>
      <c r="N185" s="4">
        <f t="shared" si="35"/>
        <v>24</v>
      </c>
      <c r="O185" s="2">
        <v>1.6898148148148148E-3</v>
      </c>
      <c r="P185" s="9">
        <f t="shared" si="28"/>
        <v>496.40000000000003</v>
      </c>
      <c r="Q185" s="3">
        <f t="shared" si="36"/>
        <v>2.4333333333333336</v>
      </c>
      <c r="R185" s="4">
        <f t="shared" si="37"/>
        <v>146</v>
      </c>
      <c r="S185" s="3">
        <f t="shared" si="38"/>
        <v>142</v>
      </c>
      <c r="T185" s="1">
        <v>0.69669999999999999</v>
      </c>
      <c r="U185" s="6">
        <f t="shared" si="29"/>
        <v>142.1268</v>
      </c>
    </row>
    <row r="186" spans="1:21" x14ac:dyDescent="0.35">
      <c r="A186">
        <v>185</v>
      </c>
      <c r="B186" s="5">
        <v>44381</v>
      </c>
      <c r="C186" s="4">
        <f t="shared" si="30"/>
        <v>2021</v>
      </c>
      <c r="D186" s="4">
        <f t="shared" si="31"/>
        <v>7</v>
      </c>
      <c r="E186" s="14">
        <v>44381</v>
      </c>
      <c r="F186" s="4">
        <f t="shared" si="32"/>
        <v>4</v>
      </c>
      <c r="G186">
        <v>483</v>
      </c>
      <c r="H186">
        <v>451</v>
      </c>
      <c r="I186" s="13">
        <f t="shared" si="33"/>
        <v>0.93</v>
      </c>
      <c r="J186">
        <f t="shared" si="26"/>
        <v>32</v>
      </c>
      <c r="K186" s="2">
        <v>1.8518518518518518E-4</v>
      </c>
      <c r="L186" s="11">
        <f t="shared" si="27"/>
        <v>120.26666666666667</v>
      </c>
      <c r="M186" s="3">
        <f t="shared" si="34"/>
        <v>0.26666666666666666</v>
      </c>
      <c r="N186" s="4">
        <f t="shared" si="35"/>
        <v>16</v>
      </c>
      <c r="O186" s="2">
        <v>6.5972222222222224E-4</v>
      </c>
      <c r="P186" s="9">
        <f t="shared" si="28"/>
        <v>428.45</v>
      </c>
      <c r="Q186" s="3">
        <f t="shared" si="36"/>
        <v>0.95</v>
      </c>
      <c r="R186" s="4">
        <f t="shared" si="37"/>
        <v>57</v>
      </c>
      <c r="S186" s="3">
        <f t="shared" si="38"/>
        <v>357</v>
      </c>
      <c r="T186" s="1">
        <v>0.79200000000000004</v>
      </c>
      <c r="U186" s="6">
        <f t="shared" si="29"/>
        <v>357.19200000000001</v>
      </c>
    </row>
    <row r="187" spans="1:21" x14ac:dyDescent="0.35">
      <c r="A187">
        <v>186</v>
      </c>
      <c r="B187" s="5">
        <v>44382</v>
      </c>
      <c r="C187" s="4">
        <f t="shared" si="30"/>
        <v>2021</v>
      </c>
      <c r="D187" s="4">
        <f t="shared" si="31"/>
        <v>7</v>
      </c>
      <c r="E187" s="14">
        <v>44382</v>
      </c>
      <c r="F187" s="4">
        <f t="shared" si="32"/>
        <v>5</v>
      </c>
      <c r="G187">
        <v>547</v>
      </c>
      <c r="H187">
        <v>526</v>
      </c>
      <c r="I187" s="13">
        <f t="shared" si="33"/>
        <v>0.96</v>
      </c>
      <c r="J187">
        <f t="shared" si="26"/>
        <v>21</v>
      </c>
      <c r="K187" s="2">
        <v>2.199074074074074E-4</v>
      </c>
      <c r="L187" s="11">
        <f t="shared" si="27"/>
        <v>166.56666666666666</v>
      </c>
      <c r="M187" s="3">
        <f t="shared" si="34"/>
        <v>0.31666666666666665</v>
      </c>
      <c r="N187" s="4">
        <f t="shared" si="35"/>
        <v>19</v>
      </c>
      <c r="O187" s="2">
        <v>9.3749999999999997E-4</v>
      </c>
      <c r="P187" s="9">
        <f t="shared" si="28"/>
        <v>710.1</v>
      </c>
      <c r="Q187" s="3">
        <f t="shared" si="36"/>
        <v>1.35</v>
      </c>
      <c r="R187" s="4">
        <f t="shared" si="37"/>
        <v>81</v>
      </c>
      <c r="S187" s="3">
        <f t="shared" si="38"/>
        <v>429</v>
      </c>
      <c r="T187" s="1">
        <v>0.81579999999999997</v>
      </c>
      <c r="U187" s="6">
        <f t="shared" si="29"/>
        <v>429.11079999999998</v>
      </c>
    </row>
    <row r="188" spans="1:21" x14ac:dyDescent="0.35">
      <c r="A188">
        <v>187</v>
      </c>
      <c r="B188" s="5">
        <v>44383</v>
      </c>
      <c r="C188" s="4">
        <f t="shared" si="30"/>
        <v>2021</v>
      </c>
      <c r="D188" s="4">
        <f t="shared" si="31"/>
        <v>7</v>
      </c>
      <c r="E188" s="14">
        <v>44383</v>
      </c>
      <c r="F188" s="4">
        <f t="shared" si="32"/>
        <v>6</v>
      </c>
      <c r="G188">
        <v>54</v>
      </c>
      <c r="H188">
        <v>53</v>
      </c>
      <c r="I188" s="13">
        <f t="shared" si="33"/>
        <v>0.98</v>
      </c>
      <c r="J188">
        <f t="shared" si="26"/>
        <v>1</v>
      </c>
      <c r="K188" s="2">
        <v>2.8935185185185184E-4</v>
      </c>
      <c r="L188" s="11">
        <f t="shared" si="27"/>
        <v>22.083333333333336</v>
      </c>
      <c r="M188" s="3">
        <f t="shared" si="34"/>
        <v>0.41666666666666669</v>
      </c>
      <c r="N188" s="4">
        <f t="shared" si="35"/>
        <v>25</v>
      </c>
      <c r="O188" s="2">
        <v>1.8055555555555555E-3</v>
      </c>
      <c r="P188" s="9">
        <f t="shared" si="28"/>
        <v>137.80000000000001</v>
      </c>
      <c r="Q188" s="3">
        <f t="shared" si="36"/>
        <v>2.6</v>
      </c>
      <c r="R188" s="4">
        <f t="shared" si="37"/>
        <v>156</v>
      </c>
      <c r="S188" s="3">
        <f t="shared" si="38"/>
        <v>37</v>
      </c>
      <c r="T188" s="1">
        <v>0.70369999999999999</v>
      </c>
      <c r="U188" s="6">
        <f t="shared" si="29"/>
        <v>37.296100000000003</v>
      </c>
    </row>
    <row r="189" spans="1:21" x14ac:dyDescent="0.35">
      <c r="A189">
        <v>188</v>
      </c>
      <c r="B189" s="5">
        <v>44384</v>
      </c>
      <c r="C189" s="4">
        <f t="shared" si="30"/>
        <v>2021</v>
      </c>
      <c r="D189" s="4">
        <f t="shared" si="31"/>
        <v>7</v>
      </c>
      <c r="E189" s="14">
        <v>44384</v>
      </c>
      <c r="F189" s="4">
        <f t="shared" si="32"/>
        <v>7</v>
      </c>
      <c r="G189">
        <v>275</v>
      </c>
      <c r="H189">
        <v>261</v>
      </c>
      <c r="I189" s="13">
        <f t="shared" si="33"/>
        <v>0.94</v>
      </c>
      <c r="J189">
        <f t="shared" si="26"/>
        <v>14</v>
      </c>
      <c r="K189" s="2">
        <v>2.5462962962962961E-4</v>
      </c>
      <c r="L189" s="11">
        <f t="shared" si="27"/>
        <v>95.699999999999989</v>
      </c>
      <c r="M189" s="3">
        <f t="shared" si="34"/>
        <v>0.36666666666666664</v>
      </c>
      <c r="N189" s="4">
        <f t="shared" si="35"/>
        <v>22</v>
      </c>
      <c r="O189" s="2">
        <v>1.5393518518518519E-3</v>
      </c>
      <c r="P189" s="9">
        <f t="shared" si="28"/>
        <v>578.55000000000007</v>
      </c>
      <c r="Q189" s="3">
        <f t="shared" si="36"/>
        <v>2.2166666666666668</v>
      </c>
      <c r="R189" s="4">
        <f t="shared" si="37"/>
        <v>133</v>
      </c>
      <c r="S189" s="3">
        <f t="shared" si="38"/>
        <v>194</v>
      </c>
      <c r="T189" s="1">
        <v>0.74439999999999995</v>
      </c>
      <c r="U189" s="6">
        <f t="shared" si="29"/>
        <v>194.2884</v>
      </c>
    </row>
    <row r="190" spans="1:21" x14ac:dyDescent="0.35">
      <c r="A190">
        <v>189</v>
      </c>
      <c r="B190" s="5">
        <v>44385</v>
      </c>
      <c r="C190" s="4">
        <f t="shared" si="30"/>
        <v>2021</v>
      </c>
      <c r="D190" s="4">
        <f t="shared" si="31"/>
        <v>7</v>
      </c>
      <c r="E190" s="14">
        <v>44385</v>
      </c>
      <c r="F190" s="4">
        <f t="shared" si="32"/>
        <v>8</v>
      </c>
      <c r="G190">
        <v>205</v>
      </c>
      <c r="H190">
        <v>195</v>
      </c>
      <c r="I190" s="13">
        <f t="shared" si="33"/>
        <v>0.95</v>
      </c>
      <c r="J190">
        <f t="shared" si="26"/>
        <v>10</v>
      </c>
      <c r="K190" s="2">
        <v>2.7777777777777778E-4</v>
      </c>
      <c r="L190" s="11">
        <f t="shared" si="27"/>
        <v>78</v>
      </c>
      <c r="M190" s="3">
        <f t="shared" si="34"/>
        <v>0.4</v>
      </c>
      <c r="N190" s="4">
        <f t="shared" si="35"/>
        <v>24</v>
      </c>
      <c r="O190" s="2">
        <v>1.7824074074074075E-3</v>
      </c>
      <c r="P190" s="9">
        <f t="shared" si="28"/>
        <v>500.49999999999994</v>
      </c>
      <c r="Q190" s="3">
        <f t="shared" si="36"/>
        <v>2.5666666666666664</v>
      </c>
      <c r="R190" s="4">
        <f t="shared" si="37"/>
        <v>154</v>
      </c>
      <c r="S190" s="3">
        <f t="shared" si="38"/>
        <v>138</v>
      </c>
      <c r="T190" s="1">
        <v>0.70789999999999997</v>
      </c>
      <c r="U190" s="6">
        <f t="shared" si="29"/>
        <v>138.04050000000001</v>
      </c>
    </row>
    <row r="191" spans="1:21" x14ac:dyDescent="0.35">
      <c r="A191">
        <v>190</v>
      </c>
      <c r="B191" s="5">
        <v>44386</v>
      </c>
      <c r="C191" s="4">
        <f t="shared" si="30"/>
        <v>2021</v>
      </c>
      <c r="D191" s="4">
        <f t="shared" si="31"/>
        <v>7</v>
      </c>
      <c r="E191" s="14">
        <v>44386</v>
      </c>
      <c r="F191" s="4">
        <f t="shared" si="32"/>
        <v>9</v>
      </c>
      <c r="G191">
        <v>80</v>
      </c>
      <c r="H191">
        <v>77</v>
      </c>
      <c r="I191" s="13">
        <f t="shared" si="33"/>
        <v>0.96</v>
      </c>
      <c r="J191">
        <f t="shared" si="26"/>
        <v>3</v>
      </c>
      <c r="K191" s="2">
        <v>1.1574074074074075E-4</v>
      </c>
      <c r="L191" s="11">
        <f t="shared" si="27"/>
        <v>12.833333333333332</v>
      </c>
      <c r="M191" s="3">
        <f t="shared" si="34"/>
        <v>0.16666666666666666</v>
      </c>
      <c r="N191" s="4">
        <f t="shared" si="35"/>
        <v>10</v>
      </c>
      <c r="O191" s="2">
        <v>1.5162037037037036E-3</v>
      </c>
      <c r="P191" s="9">
        <f t="shared" si="28"/>
        <v>168.11666666666665</v>
      </c>
      <c r="Q191" s="3">
        <f t="shared" si="36"/>
        <v>2.1833333333333331</v>
      </c>
      <c r="R191" s="4">
        <f t="shared" si="37"/>
        <v>131</v>
      </c>
      <c r="S191" s="3">
        <f t="shared" si="38"/>
        <v>68</v>
      </c>
      <c r="T191" s="1">
        <v>0.89610000000000001</v>
      </c>
      <c r="U191" s="6">
        <f t="shared" si="29"/>
        <v>68.999700000000004</v>
      </c>
    </row>
    <row r="192" spans="1:21" x14ac:dyDescent="0.35">
      <c r="A192">
        <v>191</v>
      </c>
      <c r="B192" s="5">
        <v>44387</v>
      </c>
      <c r="C192" s="4">
        <f t="shared" si="30"/>
        <v>2021</v>
      </c>
      <c r="D192" s="4">
        <f t="shared" si="31"/>
        <v>7</v>
      </c>
      <c r="E192" s="14">
        <v>44387</v>
      </c>
      <c r="F192" s="4">
        <f t="shared" si="32"/>
        <v>10</v>
      </c>
      <c r="G192">
        <v>200</v>
      </c>
      <c r="H192">
        <v>195</v>
      </c>
      <c r="I192" s="13">
        <f t="shared" si="33"/>
        <v>0.97</v>
      </c>
      <c r="J192">
        <f t="shared" si="26"/>
        <v>5</v>
      </c>
      <c r="K192" s="2">
        <v>2.4305555555555555E-4</v>
      </c>
      <c r="L192" s="11">
        <f t="shared" si="27"/>
        <v>68.25</v>
      </c>
      <c r="M192" s="3">
        <f t="shared" si="34"/>
        <v>0.35</v>
      </c>
      <c r="N192" s="4">
        <f t="shared" si="35"/>
        <v>21</v>
      </c>
      <c r="O192" s="2">
        <v>1.736111111111111E-3</v>
      </c>
      <c r="P192" s="9">
        <f t="shared" si="28"/>
        <v>487.5</v>
      </c>
      <c r="Q192" s="3">
        <f t="shared" si="36"/>
        <v>2.5</v>
      </c>
      <c r="R192" s="4">
        <f t="shared" si="37"/>
        <v>150</v>
      </c>
      <c r="S192" s="3">
        <f t="shared" si="38"/>
        <v>146</v>
      </c>
      <c r="T192" s="1">
        <v>0.75249999999999995</v>
      </c>
      <c r="U192" s="6">
        <f t="shared" si="29"/>
        <v>146.73749999999998</v>
      </c>
    </row>
    <row r="193" spans="1:21" x14ac:dyDescent="0.35">
      <c r="A193">
        <v>192</v>
      </c>
      <c r="B193" s="5">
        <v>44388</v>
      </c>
      <c r="C193" s="4">
        <f t="shared" si="30"/>
        <v>2021</v>
      </c>
      <c r="D193" s="4">
        <f t="shared" si="31"/>
        <v>7</v>
      </c>
      <c r="E193" s="14">
        <v>44388</v>
      </c>
      <c r="F193" s="4">
        <f t="shared" si="32"/>
        <v>11</v>
      </c>
      <c r="G193">
        <v>154</v>
      </c>
      <c r="H193">
        <v>150</v>
      </c>
      <c r="I193" s="13">
        <f t="shared" si="33"/>
        <v>0.97</v>
      </c>
      <c r="J193">
        <f t="shared" si="26"/>
        <v>4</v>
      </c>
      <c r="K193" s="2">
        <v>2.4305555555555555E-4</v>
      </c>
      <c r="L193" s="11">
        <f t="shared" si="27"/>
        <v>52.5</v>
      </c>
      <c r="M193" s="3">
        <f t="shared" si="34"/>
        <v>0.35</v>
      </c>
      <c r="N193" s="4">
        <f t="shared" si="35"/>
        <v>21</v>
      </c>
      <c r="O193" s="2">
        <v>1.724537037037037E-3</v>
      </c>
      <c r="P193" s="9">
        <f t="shared" si="28"/>
        <v>372.5</v>
      </c>
      <c r="Q193" s="3">
        <f t="shared" si="36"/>
        <v>2.4833333333333334</v>
      </c>
      <c r="R193" s="4">
        <f t="shared" si="37"/>
        <v>149</v>
      </c>
      <c r="S193" s="3">
        <f t="shared" si="38"/>
        <v>111</v>
      </c>
      <c r="T193" s="1">
        <v>0.74339999999999995</v>
      </c>
      <c r="U193" s="6">
        <f t="shared" si="29"/>
        <v>111.50999999999999</v>
      </c>
    </row>
    <row r="194" spans="1:21" x14ac:dyDescent="0.35">
      <c r="A194">
        <v>193</v>
      </c>
      <c r="B194" s="5">
        <v>44389</v>
      </c>
      <c r="C194" s="4">
        <f t="shared" si="30"/>
        <v>2021</v>
      </c>
      <c r="D194" s="4">
        <f t="shared" si="31"/>
        <v>7</v>
      </c>
      <c r="E194" s="14">
        <v>44389</v>
      </c>
      <c r="F194" s="4">
        <f t="shared" si="32"/>
        <v>12</v>
      </c>
      <c r="G194">
        <v>163</v>
      </c>
      <c r="H194">
        <v>155</v>
      </c>
      <c r="I194" s="13">
        <f t="shared" si="33"/>
        <v>0.95</v>
      </c>
      <c r="J194">
        <f t="shared" ref="J194:J257" si="39">G194-H194</f>
        <v>8</v>
      </c>
      <c r="K194" s="2">
        <v>2.6620370370370372E-4</v>
      </c>
      <c r="L194" s="11">
        <f t="shared" ref="L194:L257" si="40">H194*M194</f>
        <v>59.416666666666671</v>
      </c>
      <c r="M194" s="3">
        <f t="shared" si="34"/>
        <v>0.38333333333333336</v>
      </c>
      <c r="N194" s="4">
        <f t="shared" si="35"/>
        <v>23</v>
      </c>
      <c r="O194" s="2">
        <v>1.5972222222222223E-3</v>
      </c>
      <c r="P194" s="9">
        <f t="shared" ref="P194:P257" si="41">Q194*H194</f>
        <v>356.5</v>
      </c>
      <c r="Q194" s="3">
        <f t="shared" si="36"/>
        <v>2.2999999999999998</v>
      </c>
      <c r="R194" s="4">
        <f t="shared" si="37"/>
        <v>138</v>
      </c>
      <c r="S194" s="3">
        <f t="shared" si="38"/>
        <v>115</v>
      </c>
      <c r="T194" s="1">
        <v>0.74519999999999997</v>
      </c>
      <c r="U194" s="6">
        <f t="shared" ref="U194:U257" si="42">T194*H194</f>
        <v>115.506</v>
      </c>
    </row>
    <row r="195" spans="1:21" x14ac:dyDescent="0.35">
      <c r="A195">
        <v>194</v>
      </c>
      <c r="B195" s="5">
        <v>44390</v>
      </c>
      <c r="C195" s="4">
        <f t="shared" ref="C195:C258" si="43">YEAR(B195)</f>
        <v>2021</v>
      </c>
      <c r="D195" s="4">
        <f t="shared" ref="D195:D258" si="44">MONTH(B195)</f>
        <v>7</v>
      </c>
      <c r="E195" s="14">
        <v>44390</v>
      </c>
      <c r="F195" s="4">
        <f t="shared" ref="F195:F258" si="45">DAY(B195)</f>
        <v>13</v>
      </c>
      <c r="G195">
        <v>12</v>
      </c>
      <c r="H195">
        <v>12</v>
      </c>
      <c r="I195" s="13">
        <f t="shared" ref="I195:I258" si="46">TRUNC(H195/G195,2)</f>
        <v>1</v>
      </c>
      <c r="J195">
        <f t="shared" si="39"/>
        <v>0</v>
      </c>
      <c r="K195" s="2">
        <v>2.8935185185185184E-4</v>
      </c>
      <c r="L195" s="11">
        <f t="shared" si="40"/>
        <v>5</v>
      </c>
      <c r="M195" s="3">
        <f t="shared" ref="M195:M258" si="47">MINUTE(K195)+SECOND(K195)/60</f>
        <v>0.41666666666666669</v>
      </c>
      <c r="N195" s="4">
        <f t="shared" ref="N195:N258" si="48">M195*60</f>
        <v>25</v>
      </c>
      <c r="O195" s="2">
        <v>2.5115740740740741E-3</v>
      </c>
      <c r="P195" s="9">
        <f t="shared" si="41"/>
        <v>43.4</v>
      </c>
      <c r="Q195" s="3">
        <f t="shared" ref="Q195:Q258" si="49">MINUTE(O195)+SECOND(O195)/60</f>
        <v>3.6166666666666667</v>
      </c>
      <c r="R195" s="4">
        <f t="shared" ref="R195:R258" si="50">Q195*60</f>
        <v>217</v>
      </c>
      <c r="S195" s="3">
        <f t="shared" ref="S195:S258" si="51">TRUNC(U195,0)</f>
        <v>8</v>
      </c>
      <c r="T195" s="1">
        <v>0.66669999999999996</v>
      </c>
      <c r="U195" s="6">
        <f t="shared" si="42"/>
        <v>8.0003999999999991</v>
      </c>
    </row>
    <row r="196" spans="1:21" x14ac:dyDescent="0.35">
      <c r="A196">
        <v>195</v>
      </c>
      <c r="B196" s="5">
        <v>44391</v>
      </c>
      <c r="C196" s="4">
        <f t="shared" si="43"/>
        <v>2021</v>
      </c>
      <c r="D196" s="4">
        <f t="shared" si="44"/>
        <v>7</v>
      </c>
      <c r="E196" s="14">
        <v>44391</v>
      </c>
      <c r="F196" s="4">
        <f t="shared" si="45"/>
        <v>14</v>
      </c>
      <c r="G196">
        <v>218</v>
      </c>
      <c r="H196">
        <v>212</v>
      </c>
      <c r="I196" s="13">
        <f t="shared" si="46"/>
        <v>0.97</v>
      </c>
      <c r="J196">
        <f t="shared" si="39"/>
        <v>6</v>
      </c>
      <c r="K196" s="2">
        <v>2.3148148148148149E-4</v>
      </c>
      <c r="L196" s="11">
        <f t="shared" si="40"/>
        <v>70.666666666666657</v>
      </c>
      <c r="M196" s="3">
        <f t="shared" si="47"/>
        <v>0.33333333333333331</v>
      </c>
      <c r="N196" s="4">
        <f t="shared" si="48"/>
        <v>20</v>
      </c>
      <c r="O196" s="2">
        <v>1.3425925925925925E-3</v>
      </c>
      <c r="P196" s="9">
        <f t="shared" si="41"/>
        <v>409.86666666666667</v>
      </c>
      <c r="Q196" s="3">
        <f t="shared" si="49"/>
        <v>1.9333333333333333</v>
      </c>
      <c r="R196" s="4">
        <f t="shared" si="50"/>
        <v>116</v>
      </c>
      <c r="S196" s="3">
        <f t="shared" si="51"/>
        <v>160</v>
      </c>
      <c r="T196" s="1">
        <v>0.75929999999999997</v>
      </c>
      <c r="U196" s="6">
        <f t="shared" si="42"/>
        <v>160.9716</v>
      </c>
    </row>
    <row r="197" spans="1:21" x14ac:dyDescent="0.35">
      <c r="A197">
        <v>196</v>
      </c>
      <c r="B197" s="5">
        <v>44392</v>
      </c>
      <c r="C197" s="4">
        <f t="shared" si="43"/>
        <v>2021</v>
      </c>
      <c r="D197" s="4">
        <f t="shared" si="44"/>
        <v>7</v>
      </c>
      <c r="E197" s="14">
        <v>44392</v>
      </c>
      <c r="F197" s="4">
        <f t="shared" si="45"/>
        <v>15</v>
      </c>
      <c r="G197">
        <v>172</v>
      </c>
      <c r="H197">
        <v>163</v>
      </c>
      <c r="I197" s="13">
        <f t="shared" si="46"/>
        <v>0.94</v>
      </c>
      <c r="J197">
        <f t="shared" si="39"/>
        <v>9</v>
      </c>
      <c r="K197" s="2">
        <v>2.0833333333333335E-4</v>
      </c>
      <c r="L197" s="11">
        <f t="shared" si="40"/>
        <v>48.9</v>
      </c>
      <c r="M197" s="3">
        <f t="shared" si="47"/>
        <v>0.3</v>
      </c>
      <c r="N197" s="4">
        <f t="shared" si="48"/>
        <v>18</v>
      </c>
      <c r="O197" s="2">
        <v>1.4930555555555556E-3</v>
      </c>
      <c r="P197" s="9">
        <f t="shared" si="41"/>
        <v>350.45</v>
      </c>
      <c r="Q197" s="3">
        <f t="shared" si="49"/>
        <v>2.15</v>
      </c>
      <c r="R197" s="4">
        <f t="shared" si="50"/>
        <v>129</v>
      </c>
      <c r="S197" s="3">
        <f t="shared" si="51"/>
        <v>133</v>
      </c>
      <c r="T197" s="1">
        <v>0.81930000000000003</v>
      </c>
      <c r="U197" s="6">
        <f t="shared" si="42"/>
        <v>133.54590000000002</v>
      </c>
    </row>
    <row r="198" spans="1:21" x14ac:dyDescent="0.35">
      <c r="A198">
        <v>197</v>
      </c>
      <c r="B198" s="5">
        <v>44393</v>
      </c>
      <c r="C198" s="4">
        <f t="shared" si="43"/>
        <v>2021</v>
      </c>
      <c r="D198" s="4">
        <f t="shared" si="44"/>
        <v>7</v>
      </c>
      <c r="E198" s="14">
        <v>44393</v>
      </c>
      <c r="F198" s="4">
        <f t="shared" si="45"/>
        <v>16</v>
      </c>
      <c r="G198">
        <v>205</v>
      </c>
      <c r="H198">
        <v>194</v>
      </c>
      <c r="I198" s="13">
        <f t="shared" si="46"/>
        <v>0.94</v>
      </c>
      <c r="J198">
        <f t="shared" si="39"/>
        <v>11</v>
      </c>
      <c r="K198" s="2">
        <v>2.0833333333333335E-4</v>
      </c>
      <c r="L198" s="11">
        <f t="shared" si="40"/>
        <v>58.199999999999996</v>
      </c>
      <c r="M198" s="3">
        <f t="shared" si="47"/>
        <v>0.3</v>
      </c>
      <c r="N198" s="4">
        <f t="shared" si="48"/>
        <v>18</v>
      </c>
      <c r="O198" s="2">
        <v>1.6666666666666668E-3</v>
      </c>
      <c r="P198" s="9">
        <f t="shared" si="41"/>
        <v>465.59999999999997</v>
      </c>
      <c r="Q198" s="3">
        <f t="shared" si="49"/>
        <v>2.4</v>
      </c>
      <c r="R198" s="4">
        <f t="shared" si="50"/>
        <v>144</v>
      </c>
      <c r="S198" s="3">
        <f t="shared" si="51"/>
        <v>156</v>
      </c>
      <c r="T198" s="1">
        <v>0.80600000000000005</v>
      </c>
      <c r="U198" s="6">
        <f t="shared" si="42"/>
        <v>156.364</v>
      </c>
    </row>
    <row r="199" spans="1:21" x14ac:dyDescent="0.35">
      <c r="A199">
        <v>198</v>
      </c>
      <c r="B199" s="5">
        <v>44394</v>
      </c>
      <c r="C199" s="4">
        <f t="shared" si="43"/>
        <v>2021</v>
      </c>
      <c r="D199" s="4">
        <f t="shared" si="44"/>
        <v>7</v>
      </c>
      <c r="E199" s="14">
        <v>44394</v>
      </c>
      <c r="F199" s="4">
        <f t="shared" si="45"/>
        <v>17</v>
      </c>
      <c r="G199">
        <v>178</v>
      </c>
      <c r="H199">
        <v>168</v>
      </c>
      <c r="I199" s="13">
        <f t="shared" si="46"/>
        <v>0.94</v>
      </c>
      <c r="J199">
        <f t="shared" si="39"/>
        <v>10</v>
      </c>
      <c r="K199" s="2">
        <v>2.6620370370370372E-4</v>
      </c>
      <c r="L199" s="11">
        <f t="shared" si="40"/>
        <v>64.400000000000006</v>
      </c>
      <c r="M199" s="3">
        <f t="shared" si="47"/>
        <v>0.38333333333333336</v>
      </c>
      <c r="N199" s="4">
        <f t="shared" si="48"/>
        <v>23</v>
      </c>
      <c r="O199" s="2">
        <v>1.712962962962963E-3</v>
      </c>
      <c r="P199" s="9">
        <f t="shared" si="41"/>
        <v>414.40000000000003</v>
      </c>
      <c r="Q199" s="3">
        <f t="shared" si="49"/>
        <v>2.4666666666666668</v>
      </c>
      <c r="R199" s="4">
        <f t="shared" si="50"/>
        <v>148</v>
      </c>
      <c r="S199" s="3">
        <f t="shared" si="51"/>
        <v>115</v>
      </c>
      <c r="T199" s="1">
        <v>0.68969999999999998</v>
      </c>
      <c r="U199" s="6">
        <f t="shared" si="42"/>
        <v>115.86959999999999</v>
      </c>
    </row>
    <row r="200" spans="1:21" x14ac:dyDescent="0.35">
      <c r="A200">
        <v>199</v>
      </c>
      <c r="B200" s="5">
        <v>44395</v>
      </c>
      <c r="C200" s="4">
        <f t="shared" si="43"/>
        <v>2021</v>
      </c>
      <c r="D200" s="4">
        <f t="shared" si="44"/>
        <v>7</v>
      </c>
      <c r="E200" s="14">
        <v>44395</v>
      </c>
      <c r="F200" s="4">
        <f t="shared" si="45"/>
        <v>18</v>
      </c>
      <c r="G200">
        <v>214</v>
      </c>
      <c r="H200">
        <v>201</v>
      </c>
      <c r="I200" s="13">
        <f t="shared" si="46"/>
        <v>0.93</v>
      </c>
      <c r="J200">
        <f t="shared" si="39"/>
        <v>13</v>
      </c>
      <c r="K200" s="2">
        <v>2.6620370370370372E-4</v>
      </c>
      <c r="L200" s="11">
        <f t="shared" si="40"/>
        <v>77.050000000000011</v>
      </c>
      <c r="M200" s="3">
        <f t="shared" si="47"/>
        <v>0.38333333333333336</v>
      </c>
      <c r="N200" s="4">
        <f t="shared" si="48"/>
        <v>23</v>
      </c>
      <c r="O200" s="2">
        <v>1.5162037037037036E-3</v>
      </c>
      <c r="P200" s="9">
        <f t="shared" si="41"/>
        <v>438.84999999999997</v>
      </c>
      <c r="Q200" s="3">
        <f t="shared" si="49"/>
        <v>2.1833333333333331</v>
      </c>
      <c r="R200" s="4">
        <f t="shared" si="50"/>
        <v>131</v>
      </c>
      <c r="S200" s="3">
        <f t="shared" si="51"/>
        <v>132</v>
      </c>
      <c r="T200" s="1">
        <v>0.6603</v>
      </c>
      <c r="U200" s="6">
        <f t="shared" si="42"/>
        <v>132.72030000000001</v>
      </c>
    </row>
    <row r="201" spans="1:21" x14ac:dyDescent="0.35">
      <c r="A201">
        <v>200</v>
      </c>
      <c r="B201" s="5">
        <v>44396</v>
      </c>
      <c r="C201" s="4">
        <f t="shared" si="43"/>
        <v>2021</v>
      </c>
      <c r="D201" s="4">
        <f t="shared" si="44"/>
        <v>7</v>
      </c>
      <c r="E201" s="14">
        <v>44396</v>
      </c>
      <c r="F201" s="4">
        <f t="shared" si="45"/>
        <v>19</v>
      </c>
      <c r="G201">
        <v>169</v>
      </c>
      <c r="H201">
        <v>161</v>
      </c>
      <c r="I201" s="13">
        <f t="shared" si="46"/>
        <v>0.95</v>
      </c>
      <c r="J201">
        <f t="shared" si="39"/>
        <v>8</v>
      </c>
      <c r="K201" s="2">
        <v>2.6620370370370372E-4</v>
      </c>
      <c r="L201" s="11">
        <f t="shared" si="40"/>
        <v>61.716666666666669</v>
      </c>
      <c r="M201" s="3">
        <f t="shared" si="47"/>
        <v>0.38333333333333336</v>
      </c>
      <c r="N201" s="4">
        <f t="shared" si="48"/>
        <v>23</v>
      </c>
      <c r="O201" s="2">
        <v>1.5856481481481481E-3</v>
      </c>
      <c r="P201" s="9">
        <f t="shared" si="41"/>
        <v>367.61666666666667</v>
      </c>
      <c r="Q201" s="3">
        <f t="shared" si="49"/>
        <v>2.2833333333333332</v>
      </c>
      <c r="R201" s="4">
        <f t="shared" si="50"/>
        <v>137</v>
      </c>
      <c r="S201" s="3">
        <f t="shared" si="51"/>
        <v>115</v>
      </c>
      <c r="T201" s="1">
        <v>0.71689999999999998</v>
      </c>
      <c r="U201" s="6">
        <f t="shared" si="42"/>
        <v>115.4209</v>
      </c>
    </row>
    <row r="202" spans="1:21" x14ac:dyDescent="0.35">
      <c r="A202">
        <v>201</v>
      </c>
      <c r="B202" s="5">
        <v>44397</v>
      </c>
      <c r="C202" s="4">
        <f t="shared" si="43"/>
        <v>2021</v>
      </c>
      <c r="D202" s="4">
        <f t="shared" si="44"/>
        <v>7</v>
      </c>
      <c r="E202" s="14">
        <v>44397</v>
      </c>
      <c r="F202" s="4">
        <f t="shared" si="45"/>
        <v>20</v>
      </c>
      <c r="G202">
        <v>46</v>
      </c>
      <c r="H202">
        <v>46</v>
      </c>
      <c r="I202" s="13">
        <f t="shared" si="46"/>
        <v>1</v>
      </c>
      <c r="J202">
        <f t="shared" si="39"/>
        <v>0</v>
      </c>
      <c r="K202" s="2">
        <v>2.8935185185185184E-4</v>
      </c>
      <c r="L202" s="11">
        <f t="shared" si="40"/>
        <v>19.166666666666668</v>
      </c>
      <c r="M202" s="3">
        <f t="shared" si="47"/>
        <v>0.41666666666666669</v>
      </c>
      <c r="N202" s="4">
        <f t="shared" si="48"/>
        <v>25</v>
      </c>
      <c r="O202" s="2">
        <v>1.6666666666666668E-3</v>
      </c>
      <c r="P202" s="9">
        <f t="shared" si="41"/>
        <v>110.39999999999999</v>
      </c>
      <c r="Q202" s="3">
        <f t="shared" si="49"/>
        <v>2.4</v>
      </c>
      <c r="R202" s="4">
        <f t="shared" si="50"/>
        <v>144</v>
      </c>
      <c r="S202" s="3">
        <f t="shared" si="51"/>
        <v>33</v>
      </c>
      <c r="T202" s="1">
        <v>0.71740000000000004</v>
      </c>
      <c r="U202" s="6">
        <f t="shared" si="42"/>
        <v>33.000399999999999</v>
      </c>
    </row>
    <row r="203" spans="1:21" x14ac:dyDescent="0.35">
      <c r="A203">
        <v>202</v>
      </c>
      <c r="B203" s="5">
        <v>44398</v>
      </c>
      <c r="C203" s="4">
        <f t="shared" si="43"/>
        <v>2021</v>
      </c>
      <c r="D203" s="4">
        <f t="shared" si="44"/>
        <v>7</v>
      </c>
      <c r="E203" s="14">
        <v>44398</v>
      </c>
      <c r="F203" s="4">
        <f t="shared" si="45"/>
        <v>21</v>
      </c>
      <c r="G203">
        <v>183</v>
      </c>
      <c r="H203">
        <v>177</v>
      </c>
      <c r="I203" s="13">
        <f t="shared" si="46"/>
        <v>0.96</v>
      </c>
      <c r="J203">
        <f t="shared" si="39"/>
        <v>6</v>
      </c>
      <c r="K203" s="2">
        <v>2.0833333333333335E-4</v>
      </c>
      <c r="L203" s="11">
        <f t="shared" si="40"/>
        <v>53.1</v>
      </c>
      <c r="M203" s="3">
        <f t="shared" si="47"/>
        <v>0.3</v>
      </c>
      <c r="N203" s="4">
        <f t="shared" si="48"/>
        <v>18</v>
      </c>
      <c r="O203" s="2">
        <v>1.736111111111111E-3</v>
      </c>
      <c r="P203" s="9">
        <f t="shared" si="41"/>
        <v>442.5</v>
      </c>
      <c r="Q203" s="3">
        <f t="shared" si="49"/>
        <v>2.5</v>
      </c>
      <c r="R203" s="4">
        <f t="shared" si="50"/>
        <v>150</v>
      </c>
      <c r="S203" s="3">
        <f t="shared" si="51"/>
        <v>143</v>
      </c>
      <c r="T203" s="1">
        <v>0.81110000000000004</v>
      </c>
      <c r="U203" s="6">
        <f t="shared" si="42"/>
        <v>143.56470000000002</v>
      </c>
    </row>
    <row r="204" spans="1:21" x14ac:dyDescent="0.35">
      <c r="A204">
        <v>203</v>
      </c>
      <c r="B204" s="5">
        <v>44399</v>
      </c>
      <c r="C204" s="4">
        <f t="shared" si="43"/>
        <v>2021</v>
      </c>
      <c r="D204" s="4">
        <f t="shared" si="44"/>
        <v>7</v>
      </c>
      <c r="E204" s="14">
        <v>44399</v>
      </c>
      <c r="F204" s="4">
        <f t="shared" si="45"/>
        <v>22</v>
      </c>
      <c r="G204">
        <v>208</v>
      </c>
      <c r="H204">
        <v>190</v>
      </c>
      <c r="I204" s="13">
        <f t="shared" si="46"/>
        <v>0.91</v>
      </c>
      <c r="J204">
        <f t="shared" si="39"/>
        <v>18</v>
      </c>
      <c r="K204" s="2">
        <v>2.4305555555555555E-4</v>
      </c>
      <c r="L204" s="11">
        <f t="shared" si="40"/>
        <v>66.5</v>
      </c>
      <c r="M204" s="3">
        <f t="shared" si="47"/>
        <v>0.35</v>
      </c>
      <c r="N204" s="4">
        <f t="shared" si="48"/>
        <v>21</v>
      </c>
      <c r="O204" s="2">
        <v>1.6782407407407408E-3</v>
      </c>
      <c r="P204" s="9">
        <f t="shared" si="41"/>
        <v>459.16666666666663</v>
      </c>
      <c r="Q204" s="3">
        <f t="shared" si="49"/>
        <v>2.4166666666666665</v>
      </c>
      <c r="R204" s="4">
        <f t="shared" si="50"/>
        <v>145</v>
      </c>
      <c r="S204" s="3">
        <f t="shared" si="51"/>
        <v>140</v>
      </c>
      <c r="T204" s="1">
        <v>0.74109999999999998</v>
      </c>
      <c r="U204" s="6">
        <f t="shared" si="42"/>
        <v>140.809</v>
      </c>
    </row>
    <row r="205" spans="1:21" x14ac:dyDescent="0.35">
      <c r="A205">
        <v>204</v>
      </c>
      <c r="B205" s="5">
        <v>44400</v>
      </c>
      <c r="C205" s="4">
        <f t="shared" si="43"/>
        <v>2021</v>
      </c>
      <c r="D205" s="4">
        <f t="shared" si="44"/>
        <v>7</v>
      </c>
      <c r="E205" s="14">
        <v>44400</v>
      </c>
      <c r="F205" s="4">
        <f t="shared" si="45"/>
        <v>23</v>
      </c>
      <c r="G205">
        <v>234</v>
      </c>
      <c r="H205">
        <v>224</v>
      </c>
      <c r="I205" s="13">
        <f t="shared" si="46"/>
        <v>0.95</v>
      </c>
      <c r="J205">
        <f t="shared" si="39"/>
        <v>10</v>
      </c>
      <c r="K205" s="2">
        <v>2.5462962962962961E-4</v>
      </c>
      <c r="L205" s="11">
        <f t="shared" si="40"/>
        <v>82.133333333333326</v>
      </c>
      <c r="M205" s="3">
        <f t="shared" si="47"/>
        <v>0.36666666666666664</v>
      </c>
      <c r="N205" s="4">
        <f t="shared" si="48"/>
        <v>22</v>
      </c>
      <c r="O205" s="2">
        <v>1.5625000000000001E-3</v>
      </c>
      <c r="P205" s="9">
        <f t="shared" si="41"/>
        <v>504</v>
      </c>
      <c r="Q205" s="3">
        <f t="shared" si="49"/>
        <v>2.25</v>
      </c>
      <c r="R205" s="4">
        <f t="shared" si="50"/>
        <v>135</v>
      </c>
      <c r="S205" s="3">
        <f t="shared" si="51"/>
        <v>166</v>
      </c>
      <c r="T205" s="1">
        <v>0.74139999999999995</v>
      </c>
      <c r="U205" s="6">
        <f t="shared" si="42"/>
        <v>166.0736</v>
      </c>
    </row>
    <row r="206" spans="1:21" x14ac:dyDescent="0.35">
      <c r="A206">
        <v>205</v>
      </c>
      <c r="B206" s="5">
        <v>44401</v>
      </c>
      <c r="C206" s="4">
        <f t="shared" si="43"/>
        <v>2021</v>
      </c>
      <c r="D206" s="4">
        <f t="shared" si="44"/>
        <v>7</v>
      </c>
      <c r="E206" s="14">
        <v>44401</v>
      </c>
      <c r="F206" s="4">
        <f t="shared" si="45"/>
        <v>24</v>
      </c>
      <c r="G206">
        <v>204</v>
      </c>
      <c r="H206">
        <v>194</v>
      </c>
      <c r="I206" s="13">
        <f t="shared" si="46"/>
        <v>0.95</v>
      </c>
      <c r="J206">
        <f t="shared" si="39"/>
        <v>10</v>
      </c>
      <c r="K206" s="2">
        <v>2.0833333333333335E-4</v>
      </c>
      <c r="L206" s="11">
        <f t="shared" si="40"/>
        <v>58.199999999999996</v>
      </c>
      <c r="M206" s="3">
        <f t="shared" si="47"/>
        <v>0.3</v>
      </c>
      <c r="N206" s="4">
        <f t="shared" si="48"/>
        <v>18</v>
      </c>
      <c r="O206" s="2">
        <v>1.5856481481481481E-3</v>
      </c>
      <c r="P206" s="9">
        <f t="shared" si="41"/>
        <v>442.96666666666664</v>
      </c>
      <c r="Q206" s="3">
        <f t="shared" si="49"/>
        <v>2.2833333333333332</v>
      </c>
      <c r="R206" s="4">
        <f t="shared" si="50"/>
        <v>137</v>
      </c>
      <c r="S206" s="3">
        <f t="shared" si="51"/>
        <v>152</v>
      </c>
      <c r="T206" s="1">
        <v>0.78710000000000002</v>
      </c>
      <c r="U206" s="6">
        <f t="shared" si="42"/>
        <v>152.69740000000002</v>
      </c>
    </row>
    <row r="207" spans="1:21" x14ac:dyDescent="0.35">
      <c r="A207">
        <v>206</v>
      </c>
      <c r="B207" s="5">
        <v>44402</v>
      </c>
      <c r="C207" s="4">
        <f t="shared" si="43"/>
        <v>2021</v>
      </c>
      <c r="D207" s="4">
        <f t="shared" si="44"/>
        <v>7</v>
      </c>
      <c r="E207" s="14">
        <v>44402</v>
      </c>
      <c r="F207" s="4">
        <f t="shared" si="45"/>
        <v>25</v>
      </c>
      <c r="G207">
        <v>204</v>
      </c>
      <c r="H207">
        <v>189</v>
      </c>
      <c r="I207" s="13">
        <f t="shared" si="46"/>
        <v>0.92</v>
      </c>
      <c r="J207">
        <f t="shared" si="39"/>
        <v>15</v>
      </c>
      <c r="K207" s="2">
        <v>2.4305555555555555E-4</v>
      </c>
      <c r="L207" s="11">
        <f t="shared" si="40"/>
        <v>66.149999999999991</v>
      </c>
      <c r="M207" s="3">
        <f t="shared" si="47"/>
        <v>0.35</v>
      </c>
      <c r="N207" s="4">
        <f t="shared" si="48"/>
        <v>21</v>
      </c>
      <c r="O207" s="2">
        <v>1.5625000000000001E-3</v>
      </c>
      <c r="P207" s="9">
        <f t="shared" si="41"/>
        <v>425.25</v>
      </c>
      <c r="Q207" s="3">
        <f t="shared" si="49"/>
        <v>2.25</v>
      </c>
      <c r="R207" s="4">
        <f t="shared" si="50"/>
        <v>135</v>
      </c>
      <c r="S207" s="3">
        <f t="shared" si="51"/>
        <v>133</v>
      </c>
      <c r="T207" s="1">
        <v>0.70789999999999997</v>
      </c>
      <c r="U207" s="6">
        <f t="shared" si="42"/>
        <v>133.79309999999998</v>
      </c>
    </row>
    <row r="208" spans="1:21" x14ac:dyDescent="0.35">
      <c r="A208">
        <v>207</v>
      </c>
      <c r="B208" s="5">
        <v>44403</v>
      </c>
      <c r="C208" s="4">
        <f t="shared" si="43"/>
        <v>2021</v>
      </c>
      <c r="D208" s="4">
        <f t="shared" si="44"/>
        <v>7</v>
      </c>
      <c r="E208" s="14">
        <v>44403</v>
      </c>
      <c r="F208" s="4">
        <f t="shared" si="45"/>
        <v>26</v>
      </c>
      <c r="G208">
        <v>99</v>
      </c>
      <c r="H208">
        <v>99</v>
      </c>
      <c r="I208" s="13">
        <f t="shared" si="46"/>
        <v>1</v>
      </c>
      <c r="J208">
        <f t="shared" si="39"/>
        <v>0</v>
      </c>
      <c r="K208" s="2">
        <v>1.8518518518518518E-4</v>
      </c>
      <c r="L208" s="11">
        <f t="shared" si="40"/>
        <v>26.4</v>
      </c>
      <c r="M208" s="3">
        <f t="shared" si="47"/>
        <v>0.26666666666666666</v>
      </c>
      <c r="N208" s="4">
        <f t="shared" si="48"/>
        <v>16</v>
      </c>
      <c r="O208" s="2">
        <v>1.6782407407407408E-3</v>
      </c>
      <c r="P208" s="9">
        <f t="shared" si="41"/>
        <v>239.24999999999997</v>
      </c>
      <c r="Q208" s="3">
        <f t="shared" si="49"/>
        <v>2.4166666666666665</v>
      </c>
      <c r="R208" s="4">
        <f t="shared" si="50"/>
        <v>145</v>
      </c>
      <c r="S208" s="3">
        <f t="shared" si="51"/>
        <v>82</v>
      </c>
      <c r="T208" s="1">
        <v>0.82830000000000004</v>
      </c>
      <c r="U208" s="6">
        <f t="shared" si="42"/>
        <v>82.0017</v>
      </c>
    </row>
    <row r="209" spans="1:21" x14ac:dyDescent="0.35">
      <c r="A209">
        <v>208</v>
      </c>
      <c r="B209" s="5">
        <v>44404</v>
      </c>
      <c r="C209" s="4">
        <f t="shared" si="43"/>
        <v>2021</v>
      </c>
      <c r="D209" s="4">
        <f t="shared" si="44"/>
        <v>7</v>
      </c>
      <c r="E209" s="14">
        <v>44404</v>
      </c>
      <c r="F209" s="4">
        <f t="shared" si="45"/>
        <v>27</v>
      </c>
      <c r="G209">
        <v>29</v>
      </c>
      <c r="H209">
        <v>27</v>
      </c>
      <c r="I209" s="13">
        <f t="shared" si="46"/>
        <v>0.93</v>
      </c>
      <c r="J209">
        <f t="shared" si="39"/>
        <v>2</v>
      </c>
      <c r="K209" s="2">
        <v>2.199074074074074E-4</v>
      </c>
      <c r="L209" s="11">
        <f t="shared" si="40"/>
        <v>8.5499999999999989</v>
      </c>
      <c r="M209" s="3">
        <f t="shared" si="47"/>
        <v>0.31666666666666665</v>
      </c>
      <c r="N209" s="4">
        <f t="shared" si="48"/>
        <v>19</v>
      </c>
      <c r="O209" s="2">
        <v>1.9328703703703704E-3</v>
      </c>
      <c r="P209" s="9">
        <f t="shared" si="41"/>
        <v>75.149999999999991</v>
      </c>
      <c r="Q209" s="3">
        <f t="shared" si="49"/>
        <v>2.7833333333333332</v>
      </c>
      <c r="R209" s="4">
        <f t="shared" si="50"/>
        <v>167</v>
      </c>
      <c r="S209" s="3">
        <f t="shared" si="51"/>
        <v>21</v>
      </c>
      <c r="T209" s="1">
        <v>0.78569999999999995</v>
      </c>
      <c r="U209" s="6">
        <f t="shared" si="42"/>
        <v>21.213899999999999</v>
      </c>
    </row>
    <row r="210" spans="1:21" x14ac:dyDescent="0.35">
      <c r="A210">
        <v>209</v>
      </c>
      <c r="B210" s="5">
        <v>44405</v>
      </c>
      <c r="C210" s="4">
        <f t="shared" si="43"/>
        <v>2021</v>
      </c>
      <c r="D210" s="4">
        <f t="shared" si="44"/>
        <v>7</v>
      </c>
      <c r="E210" s="14">
        <v>44405</v>
      </c>
      <c r="F210" s="4">
        <f t="shared" si="45"/>
        <v>28</v>
      </c>
      <c r="G210">
        <v>167</v>
      </c>
      <c r="H210">
        <v>159</v>
      </c>
      <c r="I210" s="13">
        <f t="shared" si="46"/>
        <v>0.95</v>
      </c>
      <c r="J210">
        <f t="shared" si="39"/>
        <v>8</v>
      </c>
      <c r="K210" s="2">
        <v>2.6620370370370372E-4</v>
      </c>
      <c r="L210" s="11">
        <f t="shared" si="40"/>
        <v>60.95</v>
      </c>
      <c r="M210" s="3">
        <f t="shared" si="47"/>
        <v>0.38333333333333336</v>
      </c>
      <c r="N210" s="4">
        <f t="shared" si="48"/>
        <v>23</v>
      </c>
      <c r="O210" s="2">
        <v>1.712962962962963E-3</v>
      </c>
      <c r="P210" s="9">
        <f t="shared" si="41"/>
        <v>392.20000000000005</v>
      </c>
      <c r="Q210" s="3">
        <f t="shared" si="49"/>
        <v>2.4666666666666668</v>
      </c>
      <c r="R210" s="4">
        <f t="shared" si="50"/>
        <v>148</v>
      </c>
      <c r="S210" s="3">
        <f t="shared" si="51"/>
        <v>112</v>
      </c>
      <c r="T210" s="1">
        <v>0.70479999999999998</v>
      </c>
      <c r="U210" s="6">
        <f t="shared" si="42"/>
        <v>112.06319999999999</v>
      </c>
    </row>
    <row r="211" spans="1:21" x14ac:dyDescent="0.35">
      <c r="A211">
        <v>210</v>
      </c>
      <c r="B211" s="5">
        <v>44406</v>
      </c>
      <c r="C211" s="4">
        <f t="shared" si="43"/>
        <v>2021</v>
      </c>
      <c r="D211" s="4">
        <f t="shared" si="44"/>
        <v>7</v>
      </c>
      <c r="E211" s="14">
        <v>44406</v>
      </c>
      <c r="F211" s="4">
        <f t="shared" si="45"/>
        <v>29</v>
      </c>
      <c r="G211">
        <v>164</v>
      </c>
      <c r="H211">
        <v>161</v>
      </c>
      <c r="I211" s="13">
        <f t="shared" si="46"/>
        <v>0.98</v>
      </c>
      <c r="J211">
        <f t="shared" si="39"/>
        <v>3</v>
      </c>
      <c r="K211" s="2">
        <v>1.9675925925925926E-4</v>
      </c>
      <c r="L211" s="11">
        <f t="shared" si="40"/>
        <v>45.616666666666667</v>
      </c>
      <c r="M211" s="3">
        <f t="shared" si="47"/>
        <v>0.28333333333333333</v>
      </c>
      <c r="N211" s="4">
        <f t="shared" si="48"/>
        <v>17</v>
      </c>
      <c r="O211" s="2">
        <v>1.7939814814814815E-3</v>
      </c>
      <c r="P211" s="9">
        <f t="shared" si="41"/>
        <v>415.91666666666669</v>
      </c>
      <c r="Q211" s="3">
        <f t="shared" si="49"/>
        <v>2.5833333333333335</v>
      </c>
      <c r="R211" s="4">
        <f t="shared" si="50"/>
        <v>155</v>
      </c>
      <c r="S211" s="3">
        <f t="shared" si="51"/>
        <v>131</v>
      </c>
      <c r="T211" s="1">
        <v>0.81710000000000005</v>
      </c>
      <c r="U211" s="6">
        <f t="shared" si="42"/>
        <v>131.5531</v>
      </c>
    </row>
    <row r="212" spans="1:21" x14ac:dyDescent="0.35">
      <c r="A212">
        <v>211</v>
      </c>
      <c r="B212" s="5">
        <v>44407</v>
      </c>
      <c r="C212" s="4">
        <f t="shared" si="43"/>
        <v>2021</v>
      </c>
      <c r="D212" s="4">
        <f t="shared" si="44"/>
        <v>7</v>
      </c>
      <c r="E212" s="14">
        <v>44407</v>
      </c>
      <c r="F212" s="4">
        <f t="shared" si="45"/>
        <v>30</v>
      </c>
      <c r="G212">
        <v>158</v>
      </c>
      <c r="H212">
        <v>147</v>
      </c>
      <c r="I212" s="13">
        <f t="shared" si="46"/>
        <v>0.93</v>
      </c>
      <c r="J212">
        <f t="shared" si="39"/>
        <v>11</v>
      </c>
      <c r="K212" s="2">
        <v>2.4305555555555555E-4</v>
      </c>
      <c r="L212" s="11">
        <f t="shared" si="40"/>
        <v>51.449999999999996</v>
      </c>
      <c r="M212" s="3">
        <f t="shared" si="47"/>
        <v>0.35</v>
      </c>
      <c r="N212" s="4">
        <f t="shared" si="48"/>
        <v>21</v>
      </c>
      <c r="O212" s="2">
        <v>1.7824074074074075E-3</v>
      </c>
      <c r="P212" s="9">
        <f t="shared" si="41"/>
        <v>377.29999999999995</v>
      </c>
      <c r="Q212" s="3">
        <f t="shared" si="49"/>
        <v>2.5666666666666664</v>
      </c>
      <c r="R212" s="4">
        <f t="shared" si="50"/>
        <v>154</v>
      </c>
      <c r="S212" s="3">
        <f t="shared" si="51"/>
        <v>106</v>
      </c>
      <c r="T212" s="1">
        <v>0.72440000000000004</v>
      </c>
      <c r="U212" s="6">
        <f t="shared" si="42"/>
        <v>106.4868</v>
      </c>
    </row>
    <row r="213" spans="1:21" x14ac:dyDescent="0.35">
      <c r="A213">
        <v>212</v>
      </c>
      <c r="B213" s="5">
        <v>44408</v>
      </c>
      <c r="C213" s="4">
        <f t="shared" si="43"/>
        <v>2021</v>
      </c>
      <c r="D213" s="4">
        <f t="shared" si="44"/>
        <v>7</v>
      </c>
      <c r="E213" s="14">
        <v>44408</v>
      </c>
      <c r="F213" s="4">
        <f t="shared" si="45"/>
        <v>31</v>
      </c>
      <c r="G213">
        <v>165</v>
      </c>
      <c r="H213">
        <v>161</v>
      </c>
      <c r="I213" s="13">
        <f t="shared" si="46"/>
        <v>0.97</v>
      </c>
      <c r="J213">
        <f t="shared" si="39"/>
        <v>4</v>
      </c>
      <c r="K213" s="2">
        <v>1.9675925925925926E-4</v>
      </c>
      <c r="L213" s="11">
        <f t="shared" si="40"/>
        <v>45.616666666666667</v>
      </c>
      <c r="M213" s="3">
        <f t="shared" si="47"/>
        <v>0.28333333333333333</v>
      </c>
      <c r="N213" s="4">
        <f t="shared" si="48"/>
        <v>17</v>
      </c>
      <c r="O213" s="2">
        <v>1.6898148148148148E-3</v>
      </c>
      <c r="P213" s="9">
        <f t="shared" si="41"/>
        <v>391.76666666666671</v>
      </c>
      <c r="Q213" s="3">
        <f t="shared" si="49"/>
        <v>2.4333333333333336</v>
      </c>
      <c r="R213" s="4">
        <f t="shared" si="50"/>
        <v>146</v>
      </c>
      <c r="S213" s="3">
        <f t="shared" si="51"/>
        <v>125</v>
      </c>
      <c r="T213" s="1">
        <v>0.77910000000000001</v>
      </c>
      <c r="U213" s="6">
        <f t="shared" si="42"/>
        <v>125.43510000000001</v>
      </c>
    </row>
    <row r="214" spans="1:21" x14ac:dyDescent="0.35">
      <c r="A214">
        <v>213</v>
      </c>
      <c r="B214" s="5">
        <v>44409</v>
      </c>
      <c r="C214" s="4">
        <f t="shared" si="43"/>
        <v>2021</v>
      </c>
      <c r="D214" s="4">
        <f t="shared" si="44"/>
        <v>8</v>
      </c>
      <c r="E214" s="14">
        <v>44409</v>
      </c>
      <c r="F214" s="4">
        <f t="shared" si="45"/>
        <v>1</v>
      </c>
      <c r="G214">
        <v>129</v>
      </c>
      <c r="H214">
        <v>124</v>
      </c>
      <c r="I214" s="13">
        <f t="shared" si="46"/>
        <v>0.96</v>
      </c>
      <c r="J214">
        <f t="shared" si="39"/>
        <v>5</v>
      </c>
      <c r="K214" s="2">
        <v>2.6620370370370372E-4</v>
      </c>
      <c r="L214" s="11">
        <f t="shared" si="40"/>
        <v>47.533333333333339</v>
      </c>
      <c r="M214" s="3">
        <f t="shared" si="47"/>
        <v>0.38333333333333336</v>
      </c>
      <c r="N214" s="4">
        <f t="shared" si="48"/>
        <v>23</v>
      </c>
      <c r="O214" s="2">
        <v>1.712962962962963E-3</v>
      </c>
      <c r="P214" s="9">
        <f t="shared" si="41"/>
        <v>305.86666666666667</v>
      </c>
      <c r="Q214" s="3">
        <f t="shared" si="49"/>
        <v>2.4666666666666668</v>
      </c>
      <c r="R214" s="4">
        <f t="shared" si="50"/>
        <v>148</v>
      </c>
      <c r="S214" s="3">
        <f t="shared" si="51"/>
        <v>87</v>
      </c>
      <c r="T214" s="1">
        <v>0.7087</v>
      </c>
      <c r="U214" s="6">
        <f t="shared" si="42"/>
        <v>87.878799999999998</v>
      </c>
    </row>
    <row r="215" spans="1:21" x14ac:dyDescent="0.35">
      <c r="A215">
        <v>214</v>
      </c>
      <c r="B215" s="5">
        <v>44410</v>
      </c>
      <c r="C215" s="4">
        <f t="shared" si="43"/>
        <v>2021</v>
      </c>
      <c r="D215" s="4">
        <f t="shared" si="44"/>
        <v>8</v>
      </c>
      <c r="E215" s="14">
        <v>44410</v>
      </c>
      <c r="F215" s="4">
        <f t="shared" si="45"/>
        <v>2</v>
      </c>
      <c r="G215">
        <v>155</v>
      </c>
      <c r="H215">
        <v>149</v>
      </c>
      <c r="I215" s="13">
        <f t="shared" si="46"/>
        <v>0.96</v>
      </c>
      <c r="J215">
        <f t="shared" si="39"/>
        <v>6</v>
      </c>
      <c r="K215" s="2">
        <v>2.6620370370370372E-4</v>
      </c>
      <c r="L215" s="11">
        <f t="shared" si="40"/>
        <v>57.116666666666667</v>
      </c>
      <c r="M215" s="3">
        <f t="shared" si="47"/>
        <v>0.38333333333333336</v>
      </c>
      <c r="N215" s="4">
        <f t="shared" si="48"/>
        <v>23</v>
      </c>
      <c r="O215" s="2">
        <v>1.6898148148148148E-3</v>
      </c>
      <c r="P215" s="9">
        <f t="shared" si="41"/>
        <v>362.56666666666672</v>
      </c>
      <c r="Q215" s="3">
        <f t="shared" si="49"/>
        <v>2.4333333333333336</v>
      </c>
      <c r="R215" s="4">
        <f t="shared" si="50"/>
        <v>146</v>
      </c>
      <c r="S215" s="3">
        <f t="shared" si="51"/>
        <v>111</v>
      </c>
      <c r="T215" s="1">
        <v>0.74509999999999998</v>
      </c>
      <c r="U215" s="6">
        <f t="shared" si="42"/>
        <v>111.01989999999999</v>
      </c>
    </row>
    <row r="216" spans="1:21" x14ac:dyDescent="0.35">
      <c r="A216">
        <v>215</v>
      </c>
      <c r="B216" s="5">
        <v>44411</v>
      </c>
      <c r="C216" s="4">
        <f t="shared" si="43"/>
        <v>2021</v>
      </c>
      <c r="D216" s="4">
        <f t="shared" si="44"/>
        <v>8</v>
      </c>
      <c r="E216" s="14">
        <v>44411</v>
      </c>
      <c r="F216" s="4">
        <f t="shared" si="45"/>
        <v>3</v>
      </c>
      <c r="G216">
        <v>24</v>
      </c>
      <c r="H216">
        <v>22</v>
      </c>
      <c r="I216" s="13">
        <f t="shared" si="46"/>
        <v>0.91</v>
      </c>
      <c r="J216">
        <f t="shared" si="39"/>
        <v>2</v>
      </c>
      <c r="K216" s="2">
        <v>3.2407407407407406E-4</v>
      </c>
      <c r="L216" s="11">
        <f t="shared" si="40"/>
        <v>10.266666666666667</v>
      </c>
      <c r="M216" s="3">
        <f t="shared" si="47"/>
        <v>0.46666666666666667</v>
      </c>
      <c r="N216" s="4">
        <f t="shared" si="48"/>
        <v>28</v>
      </c>
      <c r="O216" s="2">
        <v>1.6666666666666668E-3</v>
      </c>
      <c r="P216" s="9">
        <f t="shared" si="41"/>
        <v>52.8</v>
      </c>
      <c r="Q216" s="3">
        <f t="shared" si="49"/>
        <v>2.4</v>
      </c>
      <c r="R216" s="4">
        <f t="shared" si="50"/>
        <v>144</v>
      </c>
      <c r="S216" s="3">
        <f t="shared" si="51"/>
        <v>11</v>
      </c>
      <c r="T216" s="1">
        <v>0.54169999999999996</v>
      </c>
      <c r="U216" s="6">
        <f t="shared" si="42"/>
        <v>11.917399999999999</v>
      </c>
    </row>
    <row r="217" spans="1:21" x14ac:dyDescent="0.35">
      <c r="A217">
        <v>216</v>
      </c>
      <c r="B217" s="5">
        <v>44412</v>
      </c>
      <c r="C217" s="4">
        <f t="shared" si="43"/>
        <v>2021</v>
      </c>
      <c r="D217" s="4">
        <f t="shared" si="44"/>
        <v>8</v>
      </c>
      <c r="E217" s="14">
        <v>44412</v>
      </c>
      <c r="F217" s="4">
        <f t="shared" si="45"/>
        <v>4</v>
      </c>
      <c r="G217">
        <v>209</v>
      </c>
      <c r="H217">
        <v>200</v>
      </c>
      <c r="I217" s="13">
        <f t="shared" si="46"/>
        <v>0.95</v>
      </c>
      <c r="J217">
        <f t="shared" si="39"/>
        <v>9</v>
      </c>
      <c r="K217" s="2">
        <v>2.6620370370370372E-4</v>
      </c>
      <c r="L217" s="11">
        <f t="shared" si="40"/>
        <v>76.666666666666671</v>
      </c>
      <c r="M217" s="3">
        <f t="shared" si="47"/>
        <v>0.38333333333333336</v>
      </c>
      <c r="N217" s="4">
        <f t="shared" si="48"/>
        <v>23</v>
      </c>
      <c r="O217" s="2">
        <v>1.6666666666666668E-3</v>
      </c>
      <c r="P217" s="9">
        <f t="shared" si="41"/>
        <v>480</v>
      </c>
      <c r="Q217" s="3">
        <f t="shared" si="49"/>
        <v>2.4</v>
      </c>
      <c r="R217" s="4">
        <f t="shared" si="50"/>
        <v>144</v>
      </c>
      <c r="S217" s="3">
        <f t="shared" si="51"/>
        <v>133</v>
      </c>
      <c r="T217" s="1">
        <v>0.66669999999999996</v>
      </c>
      <c r="U217" s="6">
        <f t="shared" si="42"/>
        <v>133.34</v>
      </c>
    </row>
    <row r="218" spans="1:21" x14ac:dyDescent="0.35">
      <c r="A218">
        <v>217</v>
      </c>
      <c r="B218" s="5">
        <v>44413</v>
      </c>
      <c r="C218" s="4">
        <f t="shared" si="43"/>
        <v>2021</v>
      </c>
      <c r="D218" s="4">
        <f t="shared" si="44"/>
        <v>8</v>
      </c>
      <c r="E218" s="14">
        <v>44413</v>
      </c>
      <c r="F218" s="4">
        <f t="shared" si="45"/>
        <v>5</v>
      </c>
      <c r="G218">
        <v>239</v>
      </c>
      <c r="H218">
        <v>226</v>
      </c>
      <c r="I218" s="13">
        <f t="shared" si="46"/>
        <v>0.94</v>
      </c>
      <c r="J218">
        <f t="shared" si="39"/>
        <v>13</v>
      </c>
      <c r="K218" s="2">
        <v>3.0092592592592595E-4</v>
      </c>
      <c r="L218" s="11">
        <f t="shared" si="40"/>
        <v>97.933333333333337</v>
      </c>
      <c r="M218" s="3">
        <f t="shared" si="47"/>
        <v>0.43333333333333335</v>
      </c>
      <c r="N218" s="4">
        <f t="shared" si="48"/>
        <v>26</v>
      </c>
      <c r="O218" s="2">
        <v>1.6087962962962963E-3</v>
      </c>
      <c r="P218" s="9">
        <f t="shared" si="41"/>
        <v>523.56666666666661</v>
      </c>
      <c r="Q218" s="3">
        <f t="shared" si="49"/>
        <v>2.3166666666666664</v>
      </c>
      <c r="R218" s="4">
        <f t="shared" si="50"/>
        <v>139</v>
      </c>
      <c r="S218" s="3">
        <f t="shared" si="51"/>
        <v>151</v>
      </c>
      <c r="T218" s="1">
        <v>0.67230000000000001</v>
      </c>
      <c r="U218" s="6">
        <f t="shared" si="42"/>
        <v>151.93979999999999</v>
      </c>
    </row>
    <row r="219" spans="1:21" x14ac:dyDescent="0.35">
      <c r="A219">
        <v>218</v>
      </c>
      <c r="B219" s="5">
        <v>44414</v>
      </c>
      <c r="C219" s="4">
        <f t="shared" si="43"/>
        <v>2021</v>
      </c>
      <c r="D219" s="4">
        <f t="shared" si="44"/>
        <v>8</v>
      </c>
      <c r="E219" s="14">
        <v>44414</v>
      </c>
      <c r="F219" s="4">
        <f t="shared" si="45"/>
        <v>6</v>
      </c>
      <c r="G219">
        <v>229</v>
      </c>
      <c r="H219">
        <v>210</v>
      </c>
      <c r="I219" s="13">
        <f t="shared" si="46"/>
        <v>0.91</v>
      </c>
      <c r="J219">
        <f t="shared" si="39"/>
        <v>19</v>
      </c>
      <c r="K219" s="2">
        <v>3.3564814814814812E-4</v>
      </c>
      <c r="L219" s="11">
        <f t="shared" si="40"/>
        <v>101.5</v>
      </c>
      <c r="M219" s="3">
        <f t="shared" si="47"/>
        <v>0.48333333333333334</v>
      </c>
      <c r="N219" s="4">
        <f t="shared" si="48"/>
        <v>29</v>
      </c>
      <c r="O219" s="2">
        <v>1.6550925925925926E-3</v>
      </c>
      <c r="P219" s="9">
        <f t="shared" si="41"/>
        <v>500.5</v>
      </c>
      <c r="Q219" s="3">
        <f t="shared" si="49"/>
        <v>2.3833333333333333</v>
      </c>
      <c r="R219" s="4">
        <f t="shared" si="50"/>
        <v>143</v>
      </c>
      <c r="S219" s="3">
        <f t="shared" si="51"/>
        <v>134</v>
      </c>
      <c r="T219" s="1">
        <v>0.64159999999999995</v>
      </c>
      <c r="U219" s="6">
        <f t="shared" si="42"/>
        <v>134.73599999999999</v>
      </c>
    </row>
    <row r="220" spans="1:21" x14ac:dyDescent="0.35">
      <c r="A220">
        <v>219</v>
      </c>
      <c r="B220" s="5">
        <v>44415</v>
      </c>
      <c r="C220" s="4">
        <f t="shared" si="43"/>
        <v>2021</v>
      </c>
      <c r="D220" s="4">
        <f t="shared" si="44"/>
        <v>8</v>
      </c>
      <c r="E220" s="14">
        <v>44415</v>
      </c>
      <c r="F220" s="4">
        <f t="shared" si="45"/>
        <v>7</v>
      </c>
      <c r="G220">
        <v>194</v>
      </c>
      <c r="H220">
        <v>172</v>
      </c>
      <c r="I220" s="13">
        <f t="shared" si="46"/>
        <v>0.88</v>
      </c>
      <c r="J220">
        <f t="shared" si="39"/>
        <v>22</v>
      </c>
      <c r="K220" s="2">
        <v>2.6620370370370372E-4</v>
      </c>
      <c r="L220" s="11">
        <f t="shared" si="40"/>
        <v>65.933333333333337</v>
      </c>
      <c r="M220" s="3">
        <f t="shared" si="47"/>
        <v>0.38333333333333336</v>
      </c>
      <c r="N220" s="4">
        <f t="shared" si="48"/>
        <v>23</v>
      </c>
      <c r="O220" s="2">
        <v>1.6203703703703703E-3</v>
      </c>
      <c r="P220" s="9">
        <f t="shared" si="41"/>
        <v>401.33333333333337</v>
      </c>
      <c r="Q220" s="3">
        <f t="shared" si="49"/>
        <v>2.3333333333333335</v>
      </c>
      <c r="R220" s="4">
        <f t="shared" si="50"/>
        <v>140</v>
      </c>
      <c r="S220" s="3">
        <f t="shared" si="51"/>
        <v>113</v>
      </c>
      <c r="T220" s="1">
        <v>0.66139999999999999</v>
      </c>
      <c r="U220" s="6">
        <f t="shared" si="42"/>
        <v>113.7608</v>
      </c>
    </row>
    <row r="221" spans="1:21" x14ac:dyDescent="0.35">
      <c r="A221">
        <v>220</v>
      </c>
      <c r="B221" s="5">
        <v>44416</v>
      </c>
      <c r="C221" s="4">
        <f t="shared" si="43"/>
        <v>2021</v>
      </c>
      <c r="D221" s="4">
        <f t="shared" si="44"/>
        <v>8</v>
      </c>
      <c r="E221" s="14">
        <v>44416</v>
      </c>
      <c r="F221" s="4">
        <f t="shared" si="45"/>
        <v>8</v>
      </c>
      <c r="G221">
        <v>202</v>
      </c>
      <c r="H221">
        <v>179</v>
      </c>
      <c r="I221" s="13">
        <f t="shared" si="46"/>
        <v>0.88</v>
      </c>
      <c r="J221">
        <f t="shared" si="39"/>
        <v>23</v>
      </c>
      <c r="K221" s="2">
        <v>2.7777777777777778E-4</v>
      </c>
      <c r="L221" s="11">
        <f t="shared" si="40"/>
        <v>71.600000000000009</v>
      </c>
      <c r="M221" s="3">
        <f t="shared" si="47"/>
        <v>0.4</v>
      </c>
      <c r="N221" s="4">
        <f t="shared" si="48"/>
        <v>24</v>
      </c>
      <c r="O221" s="2">
        <v>1.5740740740740741E-3</v>
      </c>
      <c r="P221" s="9">
        <f t="shared" si="41"/>
        <v>405.73333333333335</v>
      </c>
      <c r="Q221" s="3">
        <f t="shared" si="49"/>
        <v>2.2666666666666666</v>
      </c>
      <c r="R221" s="4">
        <f t="shared" si="50"/>
        <v>136</v>
      </c>
      <c r="S221" s="3">
        <f t="shared" si="51"/>
        <v>115</v>
      </c>
      <c r="T221" s="1">
        <v>0.64429999999999998</v>
      </c>
      <c r="U221" s="6">
        <f t="shared" si="42"/>
        <v>115.3297</v>
      </c>
    </row>
    <row r="222" spans="1:21" x14ac:dyDescent="0.35">
      <c r="A222">
        <v>221</v>
      </c>
      <c r="B222" s="5">
        <v>44417</v>
      </c>
      <c r="C222" s="4">
        <f t="shared" si="43"/>
        <v>2021</v>
      </c>
      <c r="D222" s="4">
        <f t="shared" si="44"/>
        <v>8</v>
      </c>
      <c r="E222" s="14">
        <v>44417</v>
      </c>
      <c r="F222" s="4">
        <f t="shared" si="45"/>
        <v>9</v>
      </c>
      <c r="G222">
        <v>268</v>
      </c>
      <c r="H222">
        <v>254</v>
      </c>
      <c r="I222" s="13">
        <f t="shared" si="46"/>
        <v>0.94</v>
      </c>
      <c r="J222">
        <f t="shared" si="39"/>
        <v>14</v>
      </c>
      <c r="K222" s="2">
        <v>1.7361111111111112E-4</v>
      </c>
      <c r="L222" s="11">
        <f t="shared" si="40"/>
        <v>63.5</v>
      </c>
      <c r="M222" s="3">
        <f t="shared" si="47"/>
        <v>0.25</v>
      </c>
      <c r="N222" s="4">
        <f t="shared" si="48"/>
        <v>15</v>
      </c>
      <c r="O222" s="2">
        <v>1.2847222222222223E-3</v>
      </c>
      <c r="P222" s="9">
        <f t="shared" si="41"/>
        <v>469.90000000000003</v>
      </c>
      <c r="Q222" s="3">
        <f t="shared" si="49"/>
        <v>1.85</v>
      </c>
      <c r="R222" s="4">
        <f t="shared" si="50"/>
        <v>111</v>
      </c>
      <c r="S222" s="3">
        <f t="shared" si="51"/>
        <v>206</v>
      </c>
      <c r="T222" s="1">
        <v>0.81130000000000002</v>
      </c>
      <c r="U222" s="6">
        <f t="shared" si="42"/>
        <v>206.0702</v>
      </c>
    </row>
    <row r="223" spans="1:21" x14ac:dyDescent="0.35">
      <c r="A223">
        <v>222</v>
      </c>
      <c r="B223" s="5">
        <v>44418</v>
      </c>
      <c r="C223" s="4">
        <f t="shared" si="43"/>
        <v>2021</v>
      </c>
      <c r="D223" s="4">
        <f t="shared" si="44"/>
        <v>8</v>
      </c>
      <c r="E223" s="14">
        <v>44418</v>
      </c>
      <c r="F223" s="4">
        <f t="shared" si="45"/>
        <v>10</v>
      </c>
      <c r="G223">
        <v>52</v>
      </c>
      <c r="H223">
        <v>49</v>
      </c>
      <c r="I223" s="13">
        <f t="shared" si="46"/>
        <v>0.94</v>
      </c>
      <c r="J223">
        <f t="shared" si="39"/>
        <v>3</v>
      </c>
      <c r="K223" s="2">
        <v>2.0833333333333335E-4</v>
      </c>
      <c r="L223" s="11">
        <f t="shared" si="40"/>
        <v>14.7</v>
      </c>
      <c r="M223" s="3">
        <f t="shared" si="47"/>
        <v>0.3</v>
      </c>
      <c r="N223" s="4">
        <f t="shared" si="48"/>
        <v>18</v>
      </c>
      <c r="O223" s="2">
        <v>1.5972222222222223E-3</v>
      </c>
      <c r="P223" s="9">
        <f t="shared" si="41"/>
        <v>112.69999999999999</v>
      </c>
      <c r="Q223" s="3">
        <f t="shared" si="49"/>
        <v>2.2999999999999998</v>
      </c>
      <c r="R223" s="4">
        <f t="shared" si="50"/>
        <v>138</v>
      </c>
      <c r="S223" s="3">
        <f t="shared" si="51"/>
        <v>37</v>
      </c>
      <c r="T223" s="1">
        <v>0.76470000000000005</v>
      </c>
      <c r="U223" s="6">
        <f t="shared" si="42"/>
        <v>37.470300000000002</v>
      </c>
    </row>
    <row r="224" spans="1:21" x14ac:dyDescent="0.35">
      <c r="A224">
        <v>223</v>
      </c>
      <c r="B224" s="5">
        <v>44419</v>
      </c>
      <c r="C224" s="4">
        <f t="shared" si="43"/>
        <v>2021</v>
      </c>
      <c r="D224" s="4">
        <f t="shared" si="44"/>
        <v>8</v>
      </c>
      <c r="E224" s="14">
        <v>44419</v>
      </c>
      <c r="F224" s="4">
        <f t="shared" si="45"/>
        <v>11</v>
      </c>
      <c r="G224">
        <v>414</v>
      </c>
      <c r="H224">
        <v>397</v>
      </c>
      <c r="I224" s="13">
        <f t="shared" si="46"/>
        <v>0.95</v>
      </c>
      <c r="J224">
        <f t="shared" si="39"/>
        <v>17</v>
      </c>
      <c r="K224" s="2">
        <v>2.6620370370370372E-4</v>
      </c>
      <c r="L224" s="11">
        <f t="shared" si="40"/>
        <v>152.18333333333334</v>
      </c>
      <c r="M224" s="3">
        <f t="shared" si="47"/>
        <v>0.38333333333333336</v>
      </c>
      <c r="N224" s="4">
        <f t="shared" si="48"/>
        <v>23</v>
      </c>
      <c r="O224" s="2">
        <v>1.3657407407407407E-3</v>
      </c>
      <c r="P224" s="9">
        <f t="shared" si="41"/>
        <v>780.76666666666677</v>
      </c>
      <c r="Q224" s="3">
        <f t="shared" si="49"/>
        <v>1.9666666666666668</v>
      </c>
      <c r="R224" s="4">
        <f t="shared" si="50"/>
        <v>118</v>
      </c>
      <c r="S224" s="3">
        <f t="shared" si="51"/>
        <v>280</v>
      </c>
      <c r="T224" s="1">
        <v>0.70730000000000004</v>
      </c>
      <c r="U224" s="6">
        <f t="shared" si="42"/>
        <v>280.79810000000003</v>
      </c>
    </row>
    <row r="225" spans="1:21" x14ac:dyDescent="0.35">
      <c r="A225">
        <v>224</v>
      </c>
      <c r="B225" s="5">
        <v>44420</v>
      </c>
      <c r="C225" s="4">
        <f t="shared" si="43"/>
        <v>2021</v>
      </c>
      <c r="D225" s="4">
        <f t="shared" si="44"/>
        <v>8</v>
      </c>
      <c r="E225" s="14">
        <v>44420</v>
      </c>
      <c r="F225" s="4">
        <f t="shared" si="45"/>
        <v>12</v>
      </c>
      <c r="G225">
        <v>346</v>
      </c>
      <c r="H225">
        <v>325</v>
      </c>
      <c r="I225" s="13">
        <f t="shared" si="46"/>
        <v>0.93</v>
      </c>
      <c r="J225">
        <f t="shared" si="39"/>
        <v>21</v>
      </c>
      <c r="K225" s="2">
        <v>3.1250000000000001E-4</v>
      </c>
      <c r="L225" s="11">
        <f t="shared" si="40"/>
        <v>146.25</v>
      </c>
      <c r="M225" s="3">
        <f t="shared" si="47"/>
        <v>0.45</v>
      </c>
      <c r="N225" s="4">
        <f t="shared" si="48"/>
        <v>27</v>
      </c>
      <c r="O225" s="2">
        <v>1.6435185185185185E-3</v>
      </c>
      <c r="P225" s="9">
        <f t="shared" si="41"/>
        <v>769.16666666666663</v>
      </c>
      <c r="Q225" s="3">
        <f t="shared" si="49"/>
        <v>2.3666666666666667</v>
      </c>
      <c r="R225" s="4">
        <f t="shared" si="50"/>
        <v>142</v>
      </c>
      <c r="S225" s="3">
        <f t="shared" si="51"/>
        <v>213</v>
      </c>
      <c r="T225" s="1">
        <v>0.65690000000000004</v>
      </c>
      <c r="U225" s="6">
        <f t="shared" si="42"/>
        <v>213.49250000000001</v>
      </c>
    </row>
    <row r="226" spans="1:21" x14ac:dyDescent="0.35">
      <c r="A226">
        <v>225</v>
      </c>
      <c r="B226" s="5">
        <v>44421</v>
      </c>
      <c r="C226" s="4">
        <f t="shared" si="43"/>
        <v>2021</v>
      </c>
      <c r="D226" s="4">
        <f t="shared" si="44"/>
        <v>8</v>
      </c>
      <c r="E226" s="14">
        <v>44421</v>
      </c>
      <c r="F226" s="4">
        <f t="shared" si="45"/>
        <v>13</v>
      </c>
      <c r="G226">
        <v>187</v>
      </c>
      <c r="H226">
        <v>179</v>
      </c>
      <c r="I226" s="13">
        <f t="shared" si="46"/>
        <v>0.95</v>
      </c>
      <c r="J226">
        <f t="shared" si="39"/>
        <v>8</v>
      </c>
      <c r="K226" s="2">
        <v>2.8935185185185184E-4</v>
      </c>
      <c r="L226" s="11">
        <f t="shared" si="40"/>
        <v>74.583333333333343</v>
      </c>
      <c r="M226" s="3">
        <f t="shared" si="47"/>
        <v>0.41666666666666669</v>
      </c>
      <c r="N226" s="4">
        <f t="shared" si="48"/>
        <v>25</v>
      </c>
      <c r="O226" s="2">
        <v>1.5509259259259259E-3</v>
      </c>
      <c r="P226" s="9">
        <f t="shared" si="41"/>
        <v>399.76666666666665</v>
      </c>
      <c r="Q226" s="3">
        <f t="shared" si="49"/>
        <v>2.2333333333333334</v>
      </c>
      <c r="R226" s="4">
        <f t="shared" si="50"/>
        <v>134</v>
      </c>
      <c r="S226" s="3">
        <f t="shared" si="51"/>
        <v>119</v>
      </c>
      <c r="T226" s="1">
        <v>0.67030000000000001</v>
      </c>
      <c r="U226" s="6">
        <f t="shared" si="42"/>
        <v>119.9837</v>
      </c>
    </row>
    <row r="227" spans="1:21" x14ac:dyDescent="0.35">
      <c r="A227">
        <v>226</v>
      </c>
      <c r="B227" s="5">
        <v>44422</v>
      </c>
      <c r="C227" s="4">
        <f t="shared" si="43"/>
        <v>2021</v>
      </c>
      <c r="D227" s="4">
        <f t="shared" si="44"/>
        <v>8</v>
      </c>
      <c r="E227" s="14">
        <v>44422</v>
      </c>
      <c r="F227" s="4">
        <f t="shared" si="45"/>
        <v>14</v>
      </c>
      <c r="G227">
        <v>203</v>
      </c>
      <c r="H227">
        <v>186</v>
      </c>
      <c r="I227" s="13">
        <f t="shared" si="46"/>
        <v>0.91</v>
      </c>
      <c r="J227">
        <f t="shared" si="39"/>
        <v>17</v>
      </c>
      <c r="K227" s="2">
        <v>2.7777777777777778E-4</v>
      </c>
      <c r="L227" s="11">
        <f t="shared" si="40"/>
        <v>74.400000000000006</v>
      </c>
      <c r="M227" s="3">
        <f t="shared" si="47"/>
        <v>0.4</v>
      </c>
      <c r="N227" s="4">
        <f t="shared" si="48"/>
        <v>24</v>
      </c>
      <c r="O227" s="2">
        <v>1.8287037037037037E-3</v>
      </c>
      <c r="P227" s="9">
        <f t="shared" si="41"/>
        <v>489.8</v>
      </c>
      <c r="Q227" s="3">
        <f t="shared" si="49"/>
        <v>2.6333333333333333</v>
      </c>
      <c r="R227" s="4">
        <f t="shared" si="50"/>
        <v>158</v>
      </c>
      <c r="S227" s="3">
        <f t="shared" si="51"/>
        <v>129</v>
      </c>
      <c r="T227" s="1">
        <v>0.69589999999999996</v>
      </c>
      <c r="U227" s="6">
        <f t="shared" si="42"/>
        <v>129.4374</v>
      </c>
    </row>
    <row r="228" spans="1:21" x14ac:dyDescent="0.35">
      <c r="A228">
        <v>227</v>
      </c>
      <c r="B228" s="5">
        <v>44423</v>
      </c>
      <c r="C228" s="4">
        <f t="shared" si="43"/>
        <v>2021</v>
      </c>
      <c r="D228" s="4">
        <f t="shared" si="44"/>
        <v>8</v>
      </c>
      <c r="E228" s="14">
        <v>44423</v>
      </c>
      <c r="F228" s="4">
        <f t="shared" si="45"/>
        <v>15</v>
      </c>
      <c r="G228">
        <v>204</v>
      </c>
      <c r="H228">
        <v>194</v>
      </c>
      <c r="I228" s="13">
        <f t="shared" si="46"/>
        <v>0.95</v>
      </c>
      <c r="J228">
        <f t="shared" si="39"/>
        <v>10</v>
      </c>
      <c r="K228" s="2">
        <v>2.0833333333333335E-4</v>
      </c>
      <c r="L228" s="11">
        <f t="shared" si="40"/>
        <v>58.199999999999996</v>
      </c>
      <c r="M228" s="3">
        <f t="shared" si="47"/>
        <v>0.3</v>
      </c>
      <c r="N228" s="4">
        <f t="shared" si="48"/>
        <v>18</v>
      </c>
      <c r="O228" s="2">
        <v>1.7708333333333332E-3</v>
      </c>
      <c r="P228" s="9">
        <f t="shared" si="41"/>
        <v>494.7</v>
      </c>
      <c r="Q228" s="3">
        <f t="shared" si="49"/>
        <v>2.5499999999999998</v>
      </c>
      <c r="R228" s="4">
        <f t="shared" si="50"/>
        <v>153</v>
      </c>
      <c r="S228" s="3">
        <f t="shared" si="51"/>
        <v>159</v>
      </c>
      <c r="T228" s="1">
        <v>0.82410000000000005</v>
      </c>
      <c r="U228" s="6">
        <f t="shared" si="42"/>
        <v>159.87540000000001</v>
      </c>
    </row>
    <row r="229" spans="1:21" x14ac:dyDescent="0.35">
      <c r="A229">
        <v>228</v>
      </c>
      <c r="B229" s="5">
        <v>44424</v>
      </c>
      <c r="C229" s="4">
        <f t="shared" si="43"/>
        <v>2021</v>
      </c>
      <c r="D229" s="4">
        <f t="shared" si="44"/>
        <v>8</v>
      </c>
      <c r="E229" s="14">
        <v>44424</v>
      </c>
      <c r="F229" s="4">
        <f t="shared" si="45"/>
        <v>16</v>
      </c>
      <c r="G229">
        <v>126</v>
      </c>
      <c r="H229">
        <v>121</v>
      </c>
      <c r="I229" s="13">
        <f t="shared" si="46"/>
        <v>0.96</v>
      </c>
      <c r="J229">
        <f t="shared" si="39"/>
        <v>5</v>
      </c>
      <c r="K229" s="2">
        <v>2.4305555555555555E-4</v>
      </c>
      <c r="L229" s="11">
        <f t="shared" si="40"/>
        <v>42.349999999999994</v>
      </c>
      <c r="M229" s="3">
        <f t="shared" si="47"/>
        <v>0.35</v>
      </c>
      <c r="N229" s="4">
        <f t="shared" si="48"/>
        <v>21</v>
      </c>
      <c r="O229" s="2">
        <v>1.7592592592592592E-3</v>
      </c>
      <c r="P229" s="9">
        <f t="shared" si="41"/>
        <v>306.5333333333333</v>
      </c>
      <c r="Q229" s="3">
        <f t="shared" si="49"/>
        <v>2.5333333333333332</v>
      </c>
      <c r="R229" s="4">
        <f t="shared" si="50"/>
        <v>152</v>
      </c>
      <c r="S229" s="3">
        <f t="shared" si="51"/>
        <v>85</v>
      </c>
      <c r="T229" s="1">
        <v>0.70630000000000004</v>
      </c>
      <c r="U229" s="6">
        <f t="shared" si="42"/>
        <v>85.462299999999999</v>
      </c>
    </row>
    <row r="230" spans="1:21" x14ac:dyDescent="0.35">
      <c r="A230">
        <v>229</v>
      </c>
      <c r="B230" s="5">
        <v>44425</v>
      </c>
      <c r="C230" s="4">
        <f t="shared" si="43"/>
        <v>2021</v>
      </c>
      <c r="D230" s="4">
        <f t="shared" si="44"/>
        <v>8</v>
      </c>
      <c r="E230" s="14">
        <v>44425</v>
      </c>
      <c r="F230" s="4">
        <f t="shared" si="45"/>
        <v>17</v>
      </c>
      <c r="G230">
        <v>36</v>
      </c>
      <c r="H230">
        <v>36</v>
      </c>
      <c r="I230" s="13">
        <f t="shared" si="46"/>
        <v>1</v>
      </c>
      <c r="J230">
        <f t="shared" si="39"/>
        <v>0</v>
      </c>
      <c r="K230" s="2">
        <v>1.9675925925925926E-4</v>
      </c>
      <c r="L230" s="11">
        <f t="shared" si="40"/>
        <v>10.199999999999999</v>
      </c>
      <c r="M230" s="3">
        <f t="shared" si="47"/>
        <v>0.28333333333333333</v>
      </c>
      <c r="N230" s="4">
        <f t="shared" si="48"/>
        <v>17</v>
      </c>
      <c r="O230" s="2">
        <v>1.4699074074074074E-3</v>
      </c>
      <c r="P230" s="9">
        <f t="shared" si="41"/>
        <v>76.2</v>
      </c>
      <c r="Q230" s="3">
        <f t="shared" si="49"/>
        <v>2.1166666666666667</v>
      </c>
      <c r="R230" s="4">
        <f t="shared" si="50"/>
        <v>127</v>
      </c>
      <c r="S230" s="3">
        <f t="shared" si="51"/>
        <v>28</v>
      </c>
      <c r="T230" s="1">
        <v>0.77780000000000005</v>
      </c>
      <c r="U230" s="6">
        <f t="shared" si="42"/>
        <v>28.000800000000002</v>
      </c>
    </row>
    <row r="231" spans="1:21" x14ac:dyDescent="0.35">
      <c r="A231">
        <v>230</v>
      </c>
      <c r="B231" s="5">
        <v>44426</v>
      </c>
      <c r="C231" s="4">
        <f t="shared" si="43"/>
        <v>2021</v>
      </c>
      <c r="D231" s="4">
        <f t="shared" si="44"/>
        <v>8</v>
      </c>
      <c r="E231" s="14">
        <v>44426</v>
      </c>
      <c r="F231" s="4">
        <f t="shared" si="45"/>
        <v>18</v>
      </c>
      <c r="G231">
        <v>180</v>
      </c>
      <c r="H231">
        <v>165</v>
      </c>
      <c r="I231" s="13">
        <f t="shared" si="46"/>
        <v>0.91</v>
      </c>
      <c r="J231">
        <f t="shared" si="39"/>
        <v>15</v>
      </c>
      <c r="K231" s="2">
        <v>3.1250000000000001E-4</v>
      </c>
      <c r="L231" s="11">
        <f t="shared" si="40"/>
        <v>74.25</v>
      </c>
      <c r="M231" s="3">
        <f t="shared" si="47"/>
        <v>0.45</v>
      </c>
      <c r="N231" s="4">
        <f t="shared" si="48"/>
        <v>27</v>
      </c>
      <c r="O231" s="2">
        <v>1.736111111111111E-3</v>
      </c>
      <c r="P231" s="9">
        <f t="shared" si="41"/>
        <v>412.5</v>
      </c>
      <c r="Q231" s="3">
        <f t="shared" si="49"/>
        <v>2.5</v>
      </c>
      <c r="R231" s="4">
        <f t="shared" si="50"/>
        <v>150</v>
      </c>
      <c r="S231" s="3">
        <f t="shared" si="51"/>
        <v>109</v>
      </c>
      <c r="T231" s="1">
        <v>0.66090000000000004</v>
      </c>
      <c r="U231" s="6">
        <f t="shared" si="42"/>
        <v>109.0485</v>
      </c>
    </row>
    <row r="232" spans="1:21" x14ac:dyDescent="0.35">
      <c r="A232">
        <v>231</v>
      </c>
      <c r="B232" s="5">
        <v>44427</v>
      </c>
      <c r="C232" s="4">
        <f t="shared" si="43"/>
        <v>2021</v>
      </c>
      <c r="D232" s="4">
        <f t="shared" si="44"/>
        <v>8</v>
      </c>
      <c r="E232" s="14">
        <v>44427</v>
      </c>
      <c r="F232" s="4">
        <f t="shared" si="45"/>
        <v>19</v>
      </c>
      <c r="G232">
        <v>169</v>
      </c>
      <c r="H232">
        <v>162</v>
      </c>
      <c r="I232" s="13">
        <f t="shared" si="46"/>
        <v>0.95</v>
      </c>
      <c r="J232">
        <f t="shared" si="39"/>
        <v>7</v>
      </c>
      <c r="K232" s="2">
        <v>2.3148148148148149E-4</v>
      </c>
      <c r="L232" s="11">
        <f t="shared" si="40"/>
        <v>54</v>
      </c>
      <c r="M232" s="3">
        <f t="shared" si="47"/>
        <v>0.33333333333333331</v>
      </c>
      <c r="N232" s="4">
        <f t="shared" si="48"/>
        <v>20</v>
      </c>
      <c r="O232" s="2">
        <v>1.6782407407407408E-3</v>
      </c>
      <c r="P232" s="9">
        <f t="shared" si="41"/>
        <v>391.5</v>
      </c>
      <c r="Q232" s="3">
        <f t="shared" si="49"/>
        <v>2.4166666666666665</v>
      </c>
      <c r="R232" s="4">
        <f t="shared" si="50"/>
        <v>145</v>
      </c>
      <c r="S232" s="3">
        <f t="shared" si="51"/>
        <v>120</v>
      </c>
      <c r="T232" s="1">
        <v>0.74560000000000004</v>
      </c>
      <c r="U232" s="6">
        <f t="shared" si="42"/>
        <v>120.78720000000001</v>
      </c>
    </row>
    <row r="233" spans="1:21" x14ac:dyDescent="0.35">
      <c r="A233">
        <v>232</v>
      </c>
      <c r="B233" s="5">
        <v>44428</v>
      </c>
      <c r="C233" s="4">
        <f t="shared" si="43"/>
        <v>2021</v>
      </c>
      <c r="D233" s="4">
        <f t="shared" si="44"/>
        <v>8</v>
      </c>
      <c r="E233" s="14">
        <v>44428</v>
      </c>
      <c r="F233" s="4">
        <f t="shared" si="45"/>
        <v>20</v>
      </c>
      <c r="G233">
        <v>155</v>
      </c>
      <c r="H233">
        <v>151</v>
      </c>
      <c r="I233" s="13">
        <f t="shared" si="46"/>
        <v>0.97</v>
      </c>
      <c r="J233">
        <f t="shared" si="39"/>
        <v>4</v>
      </c>
      <c r="K233" s="2">
        <v>2.4305555555555555E-4</v>
      </c>
      <c r="L233" s="11">
        <f t="shared" si="40"/>
        <v>52.849999999999994</v>
      </c>
      <c r="M233" s="3">
        <f t="shared" si="47"/>
        <v>0.35</v>
      </c>
      <c r="N233" s="4">
        <f t="shared" si="48"/>
        <v>21</v>
      </c>
      <c r="O233" s="2">
        <v>1.6203703703703703E-3</v>
      </c>
      <c r="P233" s="9">
        <f t="shared" si="41"/>
        <v>352.33333333333337</v>
      </c>
      <c r="Q233" s="3">
        <f t="shared" si="49"/>
        <v>2.3333333333333335</v>
      </c>
      <c r="R233" s="4">
        <f t="shared" si="50"/>
        <v>140</v>
      </c>
      <c r="S233" s="3">
        <f t="shared" si="51"/>
        <v>107</v>
      </c>
      <c r="T233" s="1">
        <v>0.7097</v>
      </c>
      <c r="U233" s="6">
        <f t="shared" si="42"/>
        <v>107.1647</v>
      </c>
    </row>
    <row r="234" spans="1:21" x14ac:dyDescent="0.35">
      <c r="A234">
        <v>233</v>
      </c>
      <c r="B234" s="5">
        <v>44429</v>
      </c>
      <c r="C234" s="4">
        <f t="shared" si="43"/>
        <v>2021</v>
      </c>
      <c r="D234" s="4">
        <f t="shared" si="44"/>
        <v>8</v>
      </c>
      <c r="E234" s="14">
        <v>44429</v>
      </c>
      <c r="F234" s="4">
        <f t="shared" si="45"/>
        <v>21</v>
      </c>
      <c r="G234">
        <v>169</v>
      </c>
      <c r="H234">
        <v>137</v>
      </c>
      <c r="I234" s="13">
        <f t="shared" si="46"/>
        <v>0.81</v>
      </c>
      <c r="J234">
        <f t="shared" si="39"/>
        <v>32</v>
      </c>
      <c r="K234" s="2">
        <v>4.3981481481481481E-4</v>
      </c>
      <c r="L234" s="11">
        <f t="shared" si="40"/>
        <v>86.766666666666666</v>
      </c>
      <c r="M234" s="3">
        <f t="shared" si="47"/>
        <v>0.6333333333333333</v>
      </c>
      <c r="N234" s="4">
        <f t="shared" si="48"/>
        <v>38</v>
      </c>
      <c r="O234" s="2">
        <v>1.6666666666666668E-3</v>
      </c>
      <c r="P234" s="9">
        <f t="shared" si="41"/>
        <v>328.8</v>
      </c>
      <c r="Q234" s="3">
        <f t="shared" si="49"/>
        <v>2.4</v>
      </c>
      <c r="R234" s="4">
        <f t="shared" si="50"/>
        <v>144</v>
      </c>
      <c r="S234" s="3">
        <f t="shared" si="51"/>
        <v>55</v>
      </c>
      <c r="T234" s="1">
        <v>0.40360000000000001</v>
      </c>
      <c r="U234" s="6">
        <f t="shared" si="42"/>
        <v>55.293199999999999</v>
      </c>
    </row>
    <row r="235" spans="1:21" x14ac:dyDescent="0.35">
      <c r="A235">
        <v>234</v>
      </c>
      <c r="B235" s="5">
        <v>44430</v>
      </c>
      <c r="C235" s="4">
        <f t="shared" si="43"/>
        <v>2021</v>
      </c>
      <c r="D235" s="4">
        <f t="shared" si="44"/>
        <v>8</v>
      </c>
      <c r="E235" s="14">
        <v>44430</v>
      </c>
      <c r="F235" s="4">
        <f t="shared" si="45"/>
        <v>22</v>
      </c>
      <c r="G235">
        <v>61</v>
      </c>
      <c r="H235">
        <v>45</v>
      </c>
      <c r="I235" s="13">
        <f t="shared" si="46"/>
        <v>0.73</v>
      </c>
      <c r="J235">
        <f t="shared" si="39"/>
        <v>16</v>
      </c>
      <c r="K235" s="2">
        <v>3.7037037037037035E-4</v>
      </c>
      <c r="L235" s="11">
        <f t="shared" si="40"/>
        <v>24</v>
      </c>
      <c r="M235" s="3">
        <f t="shared" si="47"/>
        <v>0.53333333333333333</v>
      </c>
      <c r="N235" s="4">
        <f t="shared" si="48"/>
        <v>32</v>
      </c>
      <c r="O235" s="2">
        <v>1.9560185185185184E-3</v>
      </c>
      <c r="P235" s="9">
        <f t="shared" si="41"/>
        <v>126.74999999999999</v>
      </c>
      <c r="Q235" s="3">
        <f t="shared" si="49"/>
        <v>2.8166666666666664</v>
      </c>
      <c r="R235" s="4">
        <f t="shared" si="50"/>
        <v>169</v>
      </c>
      <c r="S235" s="3">
        <f t="shared" si="51"/>
        <v>18</v>
      </c>
      <c r="T235" s="1">
        <v>0.4098</v>
      </c>
      <c r="U235" s="6">
        <f t="shared" si="42"/>
        <v>18.440999999999999</v>
      </c>
    </row>
    <row r="236" spans="1:21" x14ac:dyDescent="0.35">
      <c r="A236">
        <v>235</v>
      </c>
      <c r="B236" s="5">
        <v>44431</v>
      </c>
      <c r="C236" s="4">
        <f t="shared" si="43"/>
        <v>2021</v>
      </c>
      <c r="D236" s="4">
        <f t="shared" si="44"/>
        <v>8</v>
      </c>
      <c r="E236" s="14">
        <v>44431</v>
      </c>
      <c r="F236" s="4">
        <f t="shared" si="45"/>
        <v>23</v>
      </c>
      <c r="G236">
        <v>167</v>
      </c>
      <c r="H236">
        <v>136</v>
      </c>
      <c r="I236" s="13">
        <f t="shared" si="46"/>
        <v>0.81</v>
      </c>
      <c r="J236">
        <f t="shared" si="39"/>
        <v>31</v>
      </c>
      <c r="K236" s="2">
        <v>4.861111111111111E-4</v>
      </c>
      <c r="L236" s="11">
        <f t="shared" si="40"/>
        <v>95.199999999999989</v>
      </c>
      <c r="M236" s="3">
        <f t="shared" si="47"/>
        <v>0.7</v>
      </c>
      <c r="N236" s="4">
        <f t="shared" si="48"/>
        <v>42</v>
      </c>
      <c r="O236" s="2">
        <v>1.8055555555555555E-3</v>
      </c>
      <c r="P236" s="9">
        <f t="shared" si="41"/>
        <v>353.6</v>
      </c>
      <c r="Q236" s="3">
        <f t="shared" si="49"/>
        <v>2.6</v>
      </c>
      <c r="R236" s="4">
        <f t="shared" si="50"/>
        <v>156</v>
      </c>
      <c r="S236" s="3">
        <f t="shared" si="51"/>
        <v>48</v>
      </c>
      <c r="T236" s="1">
        <v>0.35980000000000001</v>
      </c>
      <c r="U236" s="6">
        <f t="shared" si="42"/>
        <v>48.9328</v>
      </c>
    </row>
    <row r="237" spans="1:21" x14ac:dyDescent="0.35">
      <c r="A237">
        <v>236</v>
      </c>
      <c r="B237" s="5">
        <v>44432</v>
      </c>
      <c r="C237" s="4">
        <f t="shared" si="43"/>
        <v>2021</v>
      </c>
      <c r="D237" s="4">
        <f t="shared" si="44"/>
        <v>8</v>
      </c>
      <c r="E237" s="14">
        <v>44432</v>
      </c>
      <c r="F237" s="4">
        <f t="shared" si="45"/>
        <v>24</v>
      </c>
      <c r="G237">
        <v>32</v>
      </c>
      <c r="H237">
        <v>27</v>
      </c>
      <c r="I237" s="13">
        <f t="shared" si="46"/>
        <v>0.84</v>
      </c>
      <c r="J237">
        <f t="shared" si="39"/>
        <v>5</v>
      </c>
      <c r="K237" s="2">
        <v>4.0509259259259258E-4</v>
      </c>
      <c r="L237" s="11">
        <f t="shared" si="40"/>
        <v>15.750000000000002</v>
      </c>
      <c r="M237" s="3">
        <f t="shared" si="47"/>
        <v>0.58333333333333337</v>
      </c>
      <c r="N237" s="4">
        <f t="shared" si="48"/>
        <v>35</v>
      </c>
      <c r="O237" s="2">
        <v>1.6435185185185185E-3</v>
      </c>
      <c r="P237" s="9">
        <f t="shared" si="41"/>
        <v>63.9</v>
      </c>
      <c r="Q237" s="3">
        <f t="shared" si="49"/>
        <v>2.3666666666666667</v>
      </c>
      <c r="R237" s="4">
        <f t="shared" si="50"/>
        <v>142</v>
      </c>
      <c r="S237" s="3">
        <f t="shared" si="51"/>
        <v>14</v>
      </c>
      <c r="T237" s="1">
        <v>0.53129999999999999</v>
      </c>
      <c r="U237" s="6">
        <f t="shared" si="42"/>
        <v>14.3451</v>
      </c>
    </row>
    <row r="238" spans="1:21" x14ac:dyDescent="0.35">
      <c r="A238">
        <v>237</v>
      </c>
      <c r="B238" s="5">
        <v>44433</v>
      </c>
      <c r="C238" s="4">
        <f t="shared" si="43"/>
        <v>2021</v>
      </c>
      <c r="D238" s="4">
        <f t="shared" si="44"/>
        <v>8</v>
      </c>
      <c r="E238" s="14">
        <v>44433</v>
      </c>
      <c r="F238" s="4">
        <f t="shared" si="45"/>
        <v>25</v>
      </c>
      <c r="G238">
        <v>229</v>
      </c>
      <c r="H238">
        <v>148</v>
      </c>
      <c r="I238" s="13">
        <f t="shared" si="46"/>
        <v>0.64</v>
      </c>
      <c r="J238">
        <f t="shared" si="39"/>
        <v>81</v>
      </c>
      <c r="K238" s="2">
        <v>4.1666666666666669E-4</v>
      </c>
      <c r="L238" s="11">
        <f t="shared" si="40"/>
        <v>88.8</v>
      </c>
      <c r="M238" s="3">
        <f t="shared" si="47"/>
        <v>0.6</v>
      </c>
      <c r="N238" s="4">
        <f t="shared" si="48"/>
        <v>36</v>
      </c>
      <c r="O238" s="2">
        <v>1.9444444444444444E-3</v>
      </c>
      <c r="P238" s="9">
        <f t="shared" si="41"/>
        <v>414.4</v>
      </c>
      <c r="Q238" s="3">
        <f t="shared" si="49"/>
        <v>2.8</v>
      </c>
      <c r="R238" s="4">
        <f t="shared" si="50"/>
        <v>168</v>
      </c>
      <c r="S238" s="3">
        <f t="shared" si="51"/>
        <v>63</v>
      </c>
      <c r="T238" s="1">
        <v>0.43180000000000002</v>
      </c>
      <c r="U238" s="6">
        <f t="shared" si="42"/>
        <v>63.906400000000005</v>
      </c>
    </row>
    <row r="239" spans="1:21" x14ac:dyDescent="0.35">
      <c r="A239">
        <v>238</v>
      </c>
      <c r="B239" s="5">
        <v>44434</v>
      </c>
      <c r="C239" s="4">
        <f t="shared" si="43"/>
        <v>2021</v>
      </c>
      <c r="D239" s="4">
        <f t="shared" si="44"/>
        <v>8</v>
      </c>
      <c r="E239" s="14">
        <v>44434</v>
      </c>
      <c r="F239" s="4">
        <f t="shared" si="45"/>
        <v>26</v>
      </c>
      <c r="G239">
        <v>208</v>
      </c>
      <c r="H239">
        <v>204</v>
      </c>
      <c r="I239" s="13">
        <f t="shared" si="46"/>
        <v>0.98</v>
      </c>
      <c r="J239">
        <f t="shared" si="39"/>
        <v>4</v>
      </c>
      <c r="K239" s="2">
        <v>2.199074074074074E-4</v>
      </c>
      <c r="L239" s="11">
        <f t="shared" si="40"/>
        <v>64.599999999999994</v>
      </c>
      <c r="M239" s="3">
        <f t="shared" si="47"/>
        <v>0.31666666666666665</v>
      </c>
      <c r="N239" s="4">
        <f t="shared" si="48"/>
        <v>19</v>
      </c>
      <c r="O239" s="2">
        <v>2.1527777777777778E-3</v>
      </c>
      <c r="P239" s="9">
        <f t="shared" si="41"/>
        <v>632.4</v>
      </c>
      <c r="Q239" s="3">
        <f t="shared" si="49"/>
        <v>3.1</v>
      </c>
      <c r="R239" s="4">
        <f t="shared" si="50"/>
        <v>186</v>
      </c>
      <c r="S239" s="3">
        <f t="shared" si="51"/>
        <v>158</v>
      </c>
      <c r="T239" s="1">
        <v>0.77669999999999995</v>
      </c>
      <c r="U239" s="6">
        <f t="shared" si="42"/>
        <v>158.4468</v>
      </c>
    </row>
    <row r="240" spans="1:21" x14ac:dyDescent="0.35">
      <c r="A240">
        <v>239</v>
      </c>
      <c r="B240" s="5">
        <v>44435</v>
      </c>
      <c r="C240" s="4">
        <f t="shared" si="43"/>
        <v>2021</v>
      </c>
      <c r="D240" s="4">
        <f t="shared" si="44"/>
        <v>8</v>
      </c>
      <c r="E240" s="14">
        <v>44435</v>
      </c>
      <c r="F240" s="4">
        <f t="shared" si="45"/>
        <v>27</v>
      </c>
      <c r="G240">
        <v>175</v>
      </c>
      <c r="H240">
        <v>168</v>
      </c>
      <c r="I240" s="13">
        <f t="shared" si="46"/>
        <v>0.96</v>
      </c>
      <c r="J240">
        <f t="shared" si="39"/>
        <v>7</v>
      </c>
      <c r="K240" s="2">
        <v>2.8935185185185184E-4</v>
      </c>
      <c r="L240" s="11">
        <f t="shared" si="40"/>
        <v>70</v>
      </c>
      <c r="M240" s="3">
        <f t="shared" si="47"/>
        <v>0.41666666666666669</v>
      </c>
      <c r="N240" s="4">
        <f t="shared" si="48"/>
        <v>25</v>
      </c>
      <c r="O240" s="2">
        <v>1.9791666666666668E-3</v>
      </c>
      <c r="P240" s="9">
        <f t="shared" si="41"/>
        <v>478.8</v>
      </c>
      <c r="Q240" s="3">
        <f t="shared" si="49"/>
        <v>2.85</v>
      </c>
      <c r="R240" s="4">
        <f t="shared" si="50"/>
        <v>171</v>
      </c>
      <c r="S240" s="3">
        <f t="shared" si="51"/>
        <v>109</v>
      </c>
      <c r="T240" s="1">
        <v>0.6512</v>
      </c>
      <c r="U240" s="6">
        <f t="shared" si="42"/>
        <v>109.4016</v>
      </c>
    </row>
    <row r="241" spans="1:21" x14ac:dyDescent="0.35">
      <c r="A241">
        <v>240</v>
      </c>
      <c r="B241" s="5">
        <v>44436</v>
      </c>
      <c r="C241" s="4">
        <f t="shared" si="43"/>
        <v>2021</v>
      </c>
      <c r="D241" s="4">
        <f t="shared" si="44"/>
        <v>8</v>
      </c>
      <c r="E241" s="14">
        <v>44436</v>
      </c>
      <c r="F241" s="4">
        <f t="shared" si="45"/>
        <v>28</v>
      </c>
      <c r="G241">
        <v>177</v>
      </c>
      <c r="H241">
        <v>167</v>
      </c>
      <c r="I241" s="13">
        <f t="shared" si="46"/>
        <v>0.94</v>
      </c>
      <c r="J241">
        <f t="shared" si="39"/>
        <v>10</v>
      </c>
      <c r="K241" s="2">
        <v>2.5462962962962961E-4</v>
      </c>
      <c r="L241" s="11">
        <f t="shared" si="40"/>
        <v>61.233333333333327</v>
      </c>
      <c r="M241" s="3">
        <f t="shared" si="47"/>
        <v>0.36666666666666664</v>
      </c>
      <c r="N241" s="4">
        <f t="shared" si="48"/>
        <v>22</v>
      </c>
      <c r="O241" s="2">
        <v>1.8634259259259259E-3</v>
      </c>
      <c r="P241" s="9">
        <f t="shared" si="41"/>
        <v>448.11666666666673</v>
      </c>
      <c r="Q241" s="3">
        <f t="shared" si="49"/>
        <v>2.6833333333333336</v>
      </c>
      <c r="R241" s="4">
        <f t="shared" si="50"/>
        <v>161</v>
      </c>
      <c r="S241" s="3">
        <f t="shared" si="51"/>
        <v>114</v>
      </c>
      <c r="T241" s="1">
        <v>0.68389999999999995</v>
      </c>
      <c r="U241" s="6">
        <f t="shared" si="42"/>
        <v>114.21129999999999</v>
      </c>
    </row>
    <row r="242" spans="1:21" x14ac:dyDescent="0.35">
      <c r="A242">
        <v>241</v>
      </c>
      <c r="B242" s="5">
        <v>44437</v>
      </c>
      <c r="C242" s="4">
        <f t="shared" si="43"/>
        <v>2021</v>
      </c>
      <c r="D242" s="4">
        <f t="shared" si="44"/>
        <v>8</v>
      </c>
      <c r="E242" s="14">
        <v>44437</v>
      </c>
      <c r="F242" s="4">
        <f t="shared" si="45"/>
        <v>29</v>
      </c>
      <c r="G242">
        <v>822</v>
      </c>
      <c r="H242">
        <v>767</v>
      </c>
      <c r="I242" s="13">
        <f t="shared" si="46"/>
        <v>0.93</v>
      </c>
      <c r="J242">
        <f t="shared" si="39"/>
        <v>55</v>
      </c>
      <c r="K242" s="2">
        <v>2.7777777777777778E-4</v>
      </c>
      <c r="L242" s="11">
        <f t="shared" si="40"/>
        <v>306.8</v>
      </c>
      <c r="M242" s="3">
        <f t="shared" si="47"/>
        <v>0.4</v>
      </c>
      <c r="N242" s="4">
        <f t="shared" si="48"/>
        <v>24</v>
      </c>
      <c r="O242" s="2">
        <v>9.837962962962962E-4</v>
      </c>
      <c r="P242" s="9">
        <f t="shared" si="41"/>
        <v>1086.5833333333335</v>
      </c>
      <c r="Q242" s="3">
        <f t="shared" si="49"/>
        <v>1.4166666666666667</v>
      </c>
      <c r="R242" s="4">
        <f t="shared" si="50"/>
        <v>85</v>
      </c>
      <c r="S242" s="3">
        <f t="shared" si="51"/>
        <v>493</v>
      </c>
      <c r="T242" s="1">
        <v>0.64400000000000002</v>
      </c>
      <c r="U242" s="6">
        <f t="shared" si="42"/>
        <v>493.94800000000004</v>
      </c>
    </row>
    <row r="243" spans="1:21" x14ac:dyDescent="0.35">
      <c r="A243">
        <v>242</v>
      </c>
      <c r="B243" s="5">
        <v>44438</v>
      </c>
      <c r="C243" s="4">
        <f t="shared" si="43"/>
        <v>2021</v>
      </c>
      <c r="D243" s="4">
        <f t="shared" si="44"/>
        <v>8</v>
      </c>
      <c r="E243" s="14">
        <v>44438</v>
      </c>
      <c r="F243" s="4">
        <f t="shared" si="45"/>
        <v>30</v>
      </c>
      <c r="G243">
        <v>87</v>
      </c>
      <c r="H243">
        <v>85</v>
      </c>
      <c r="I243" s="13">
        <f t="shared" si="46"/>
        <v>0.97</v>
      </c>
      <c r="J243">
        <f t="shared" si="39"/>
        <v>2</v>
      </c>
      <c r="K243" s="2">
        <v>2.6620370370370372E-4</v>
      </c>
      <c r="L243" s="11">
        <f t="shared" si="40"/>
        <v>32.583333333333336</v>
      </c>
      <c r="M243" s="3">
        <f t="shared" si="47"/>
        <v>0.38333333333333336</v>
      </c>
      <c r="N243" s="4">
        <f t="shared" si="48"/>
        <v>23</v>
      </c>
      <c r="O243" s="2">
        <v>1.6782407407407408E-3</v>
      </c>
      <c r="P243" s="9">
        <f t="shared" si="41"/>
        <v>205.41666666666666</v>
      </c>
      <c r="Q243" s="3">
        <f t="shared" si="49"/>
        <v>2.4166666666666665</v>
      </c>
      <c r="R243" s="4">
        <f t="shared" si="50"/>
        <v>145</v>
      </c>
      <c r="S243" s="3">
        <f t="shared" si="51"/>
        <v>57</v>
      </c>
      <c r="T243" s="1">
        <v>0.67820000000000003</v>
      </c>
      <c r="U243" s="6">
        <f t="shared" si="42"/>
        <v>57.647000000000006</v>
      </c>
    </row>
    <row r="244" spans="1:21" x14ac:dyDescent="0.35">
      <c r="A244">
        <v>243</v>
      </c>
      <c r="B244" s="5">
        <v>44439</v>
      </c>
      <c r="C244" s="4">
        <f t="shared" si="43"/>
        <v>2021</v>
      </c>
      <c r="D244" s="4">
        <f t="shared" si="44"/>
        <v>8</v>
      </c>
      <c r="E244" s="14">
        <v>44439</v>
      </c>
      <c r="F244" s="4">
        <f t="shared" si="45"/>
        <v>31</v>
      </c>
      <c r="G244">
        <v>41</v>
      </c>
      <c r="H244">
        <v>39</v>
      </c>
      <c r="I244" s="13">
        <f t="shared" si="46"/>
        <v>0.95</v>
      </c>
      <c r="J244">
        <f t="shared" si="39"/>
        <v>2</v>
      </c>
      <c r="K244" s="2">
        <v>1.7361111111111112E-4</v>
      </c>
      <c r="L244" s="11">
        <f t="shared" si="40"/>
        <v>9.75</v>
      </c>
      <c r="M244" s="3">
        <f t="shared" si="47"/>
        <v>0.25</v>
      </c>
      <c r="N244" s="4">
        <f t="shared" si="48"/>
        <v>15</v>
      </c>
      <c r="O244" s="2">
        <v>1.8749999999999999E-3</v>
      </c>
      <c r="P244" s="9">
        <f t="shared" si="41"/>
        <v>105.30000000000001</v>
      </c>
      <c r="Q244" s="3">
        <f t="shared" si="49"/>
        <v>2.7</v>
      </c>
      <c r="R244" s="4">
        <f t="shared" si="50"/>
        <v>162</v>
      </c>
      <c r="S244" s="3">
        <f t="shared" si="51"/>
        <v>32</v>
      </c>
      <c r="T244" s="1">
        <v>0.82499999999999996</v>
      </c>
      <c r="U244" s="6">
        <f t="shared" si="42"/>
        <v>32.174999999999997</v>
      </c>
    </row>
    <row r="245" spans="1:21" x14ac:dyDescent="0.35">
      <c r="A245">
        <v>244</v>
      </c>
      <c r="B245" s="5">
        <v>44440</v>
      </c>
      <c r="C245" s="4">
        <f t="shared" si="43"/>
        <v>2021</v>
      </c>
      <c r="D245" s="4">
        <f t="shared" si="44"/>
        <v>9</v>
      </c>
      <c r="E245" s="14">
        <v>44440</v>
      </c>
      <c r="F245" s="4">
        <f t="shared" si="45"/>
        <v>1</v>
      </c>
      <c r="G245">
        <v>280</v>
      </c>
      <c r="H245">
        <v>257</v>
      </c>
      <c r="I245" s="13">
        <f t="shared" si="46"/>
        <v>0.91</v>
      </c>
      <c r="J245">
        <f t="shared" si="39"/>
        <v>23</v>
      </c>
      <c r="K245" s="2">
        <v>3.5879629629629629E-4</v>
      </c>
      <c r="L245" s="11">
        <f t="shared" si="40"/>
        <v>132.78333333333336</v>
      </c>
      <c r="M245" s="3">
        <f t="shared" si="47"/>
        <v>0.51666666666666672</v>
      </c>
      <c r="N245" s="4">
        <f t="shared" si="48"/>
        <v>31.000000000000004</v>
      </c>
      <c r="O245" s="2">
        <v>1.7708333333333332E-3</v>
      </c>
      <c r="P245" s="9">
        <f t="shared" si="41"/>
        <v>655.34999999999991</v>
      </c>
      <c r="Q245" s="3">
        <f t="shared" si="49"/>
        <v>2.5499999999999998</v>
      </c>
      <c r="R245" s="4">
        <f t="shared" si="50"/>
        <v>153</v>
      </c>
      <c r="S245" s="3">
        <f t="shared" si="51"/>
        <v>164</v>
      </c>
      <c r="T245" s="1">
        <v>0.63870000000000005</v>
      </c>
      <c r="U245" s="6">
        <f t="shared" si="42"/>
        <v>164.14590000000001</v>
      </c>
    </row>
    <row r="246" spans="1:21" x14ac:dyDescent="0.35">
      <c r="A246">
        <v>245</v>
      </c>
      <c r="B246" s="5">
        <v>44441</v>
      </c>
      <c r="C246" s="4">
        <f t="shared" si="43"/>
        <v>2021</v>
      </c>
      <c r="D246" s="4">
        <f t="shared" si="44"/>
        <v>9</v>
      </c>
      <c r="E246" s="14">
        <v>44441</v>
      </c>
      <c r="F246" s="4">
        <f t="shared" si="45"/>
        <v>2</v>
      </c>
      <c r="G246">
        <v>199</v>
      </c>
      <c r="H246">
        <v>192</v>
      </c>
      <c r="I246" s="13">
        <f t="shared" si="46"/>
        <v>0.96</v>
      </c>
      <c r="J246">
        <f t="shared" si="39"/>
        <v>7</v>
      </c>
      <c r="K246" s="2">
        <v>2.5462962962962961E-4</v>
      </c>
      <c r="L246" s="11">
        <f t="shared" si="40"/>
        <v>70.399999999999991</v>
      </c>
      <c r="M246" s="3">
        <f t="shared" si="47"/>
        <v>0.36666666666666664</v>
      </c>
      <c r="N246" s="4">
        <f t="shared" si="48"/>
        <v>22</v>
      </c>
      <c r="O246" s="2">
        <v>1.9212962962962964E-3</v>
      </c>
      <c r="P246" s="9">
        <f t="shared" si="41"/>
        <v>531.20000000000005</v>
      </c>
      <c r="Q246" s="3">
        <f t="shared" si="49"/>
        <v>2.7666666666666666</v>
      </c>
      <c r="R246" s="4">
        <f t="shared" si="50"/>
        <v>166</v>
      </c>
      <c r="S246" s="3">
        <f t="shared" si="51"/>
        <v>141</v>
      </c>
      <c r="T246" s="1">
        <v>0.73870000000000002</v>
      </c>
      <c r="U246" s="6">
        <f t="shared" si="42"/>
        <v>141.8304</v>
      </c>
    </row>
    <row r="247" spans="1:21" x14ac:dyDescent="0.35">
      <c r="A247">
        <v>246</v>
      </c>
      <c r="B247" s="5">
        <v>44442</v>
      </c>
      <c r="C247" s="4">
        <f t="shared" si="43"/>
        <v>2021</v>
      </c>
      <c r="D247" s="4">
        <f t="shared" si="44"/>
        <v>9</v>
      </c>
      <c r="E247" s="14">
        <v>44442</v>
      </c>
      <c r="F247" s="4">
        <f t="shared" si="45"/>
        <v>3</v>
      </c>
      <c r="G247">
        <v>252</v>
      </c>
      <c r="H247">
        <v>239</v>
      </c>
      <c r="I247" s="13">
        <f t="shared" si="46"/>
        <v>0.94</v>
      </c>
      <c r="J247">
        <f t="shared" si="39"/>
        <v>13</v>
      </c>
      <c r="K247" s="2">
        <v>3.3564814814814812E-4</v>
      </c>
      <c r="L247" s="11">
        <f t="shared" si="40"/>
        <v>115.51666666666667</v>
      </c>
      <c r="M247" s="3">
        <f t="shared" si="47"/>
        <v>0.48333333333333334</v>
      </c>
      <c r="N247" s="4">
        <f t="shared" si="48"/>
        <v>29</v>
      </c>
      <c r="O247" s="2">
        <v>1.724537037037037E-3</v>
      </c>
      <c r="P247" s="9">
        <f t="shared" si="41"/>
        <v>593.51666666666665</v>
      </c>
      <c r="Q247" s="3">
        <f t="shared" si="49"/>
        <v>2.4833333333333334</v>
      </c>
      <c r="R247" s="4">
        <f t="shared" si="50"/>
        <v>149</v>
      </c>
      <c r="S247" s="3">
        <f t="shared" si="51"/>
        <v>155</v>
      </c>
      <c r="T247" s="1">
        <v>0.6492</v>
      </c>
      <c r="U247" s="6">
        <f t="shared" si="42"/>
        <v>155.15880000000001</v>
      </c>
    </row>
    <row r="248" spans="1:21" x14ac:dyDescent="0.35">
      <c r="A248">
        <v>247</v>
      </c>
      <c r="B248" s="5">
        <v>44443</v>
      </c>
      <c r="C248" s="4">
        <f t="shared" si="43"/>
        <v>2021</v>
      </c>
      <c r="D248" s="4">
        <f t="shared" si="44"/>
        <v>9</v>
      </c>
      <c r="E248" s="14">
        <v>44443</v>
      </c>
      <c r="F248" s="4">
        <f t="shared" si="45"/>
        <v>4</v>
      </c>
      <c r="G248">
        <v>220</v>
      </c>
      <c r="H248">
        <v>208</v>
      </c>
      <c r="I248" s="13">
        <f t="shared" si="46"/>
        <v>0.94</v>
      </c>
      <c r="J248">
        <f t="shared" si="39"/>
        <v>12</v>
      </c>
      <c r="K248" s="2">
        <v>2.3148148148148149E-4</v>
      </c>
      <c r="L248" s="11">
        <f t="shared" si="40"/>
        <v>69.333333333333329</v>
      </c>
      <c r="M248" s="3">
        <f t="shared" si="47"/>
        <v>0.33333333333333331</v>
      </c>
      <c r="N248" s="4">
        <f t="shared" si="48"/>
        <v>20</v>
      </c>
      <c r="O248" s="2">
        <v>1.8055555555555555E-3</v>
      </c>
      <c r="P248" s="9">
        <f t="shared" si="41"/>
        <v>540.80000000000007</v>
      </c>
      <c r="Q248" s="3">
        <f t="shared" si="49"/>
        <v>2.6</v>
      </c>
      <c r="R248" s="4">
        <f t="shared" si="50"/>
        <v>156</v>
      </c>
      <c r="S248" s="3">
        <f t="shared" si="51"/>
        <v>157</v>
      </c>
      <c r="T248" s="1">
        <v>0.75590000000000002</v>
      </c>
      <c r="U248" s="6">
        <f t="shared" si="42"/>
        <v>157.22720000000001</v>
      </c>
    </row>
    <row r="249" spans="1:21" x14ac:dyDescent="0.35">
      <c r="A249">
        <v>248</v>
      </c>
      <c r="B249" s="5">
        <v>44444</v>
      </c>
      <c r="C249" s="4">
        <f t="shared" si="43"/>
        <v>2021</v>
      </c>
      <c r="D249" s="4">
        <f t="shared" si="44"/>
        <v>9</v>
      </c>
      <c r="E249" s="14">
        <v>44444</v>
      </c>
      <c r="F249" s="4">
        <f t="shared" si="45"/>
        <v>5</v>
      </c>
      <c r="G249">
        <v>206</v>
      </c>
      <c r="H249">
        <v>193</v>
      </c>
      <c r="I249" s="13">
        <f t="shared" si="46"/>
        <v>0.93</v>
      </c>
      <c r="J249">
        <f t="shared" si="39"/>
        <v>13</v>
      </c>
      <c r="K249" s="2">
        <v>2.7777777777777778E-4</v>
      </c>
      <c r="L249" s="11">
        <f t="shared" si="40"/>
        <v>77.2</v>
      </c>
      <c r="M249" s="3">
        <f t="shared" si="47"/>
        <v>0.4</v>
      </c>
      <c r="N249" s="4">
        <f t="shared" si="48"/>
        <v>24</v>
      </c>
      <c r="O249" s="2">
        <v>1.7013888888888888E-3</v>
      </c>
      <c r="P249" s="9">
        <f t="shared" si="41"/>
        <v>472.85</v>
      </c>
      <c r="Q249" s="3">
        <f t="shared" si="49"/>
        <v>2.4500000000000002</v>
      </c>
      <c r="R249" s="4">
        <f t="shared" si="50"/>
        <v>147</v>
      </c>
      <c r="S249" s="3">
        <f t="shared" si="51"/>
        <v>145</v>
      </c>
      <c r="T249" s="1">
        <v>0.75490000000000002</v>
      </c>
      <c r="U249" s="6">
        <f t="shared" si="42"/>
        <v>145.69570000000002</v>
      </c>
    </row>
    <row r="250" spans="1:21" x14ac:dyDescent="0.35">
      <c r="A250">
        <v>249</v>
      </c>
      <c r="B250" s="5">
        <v>44445</v>
      </c>
      <c r="C250" s="4">
        <f t="shared" si="43"/>
        <v>2021</v>
      </c>
      <c r="D250" s="4">
        <f t="shared" si="44"/>
        <v>9</v>
      </c>
      <c r="E250" s="14">
        <v>44445</v>
      </c>
      <c r="F250" s="4">
        <f t="shared" si="45"/>
        <v>6</v>
      </c>
      <c r="G250">
        <v>217</v>
      </c>
      <c r="H250">
        <v>206</v>
      </c>
      <c r="I250" s="13">
        <f t="shared" si="46"/>
        <v>0.94</v>
      </c>
      <c r="J250">
        <f t="shared" si="39"/>
        <v>11</v>
      </c>
      <c r="K250" s="2">
        <v>2.5462962962962961E-4</v>
      </c>
      <c r="L250" s="11">
        <f t="shared" si="40"/>
        <v>75.533333333333331</v>
      </c>
      <c r="M250" s="3">
        <f t="shared" si="47"/>
        <v>0.36666666666666664</v>
      </c>
      <c r="N250" s="4">
        <f t="shared" si="48"/>
        <v>22</v>
      </c>
      <c r="O250" s="2">
        <v>1.6898148148148148E-3</v>
      </c>
      <c r="P250" s="9">
        <f t="shared" si="41"/>
        <v>501.26666666666671</v>
      </c>
      <c r="Q250" s="3">
        <f t="shared" si="49"/>
        <v>2.4333333333333336</v>
      </c>
      <c r="R250" s="4">
        <f t="shared" si="50"/>
        <v>146</v>
      </c>
      <c r="S250" s="3">
        <f t="shared" si="51"/>
        <v>146</v>
      </c>
      <c r="T250" s="1">
        <v>0.71030000000000004</v>
      </c>
      <c r="U250" s="6">
        <f t="shared" si="42"/>
        <v>146.3218</v>
      </c>
    </row>
    <row r="251" spans="1:21" x14ac:dyDescent="0.35">
      <c r="A251">
        <v>250</v>
      </c>
      <c r="B251" s="5">
        <v>44446</v>
      </c>
      <c r="C251" s="4">
        <f t="shared" si="43"/>
        <v>2021</v>
      </c>
      <c r="D251" s="4">
        <f t="shared" si="44"/>
        <v>9</v>
      </c>
      <c r="E251" s="14">
        <v>44446</v>
      </c>
      <c r="F251" s="4">
        <f t="shared" si="45"/>
        <v>7</v>
      </c>
      <c r="G251">
        <v>24</v>
      </c>
      <c r="H251">
        <v>24</v>
      </c>
      <c r="I251" s="13">
        <f t="shared" si="46"/>
        <v>1</v>
      </c>
      <c r="J251">
        <f t="shared" si="39"/>
        <v>0</v>
      </c>
      <c r="K251" s="2">
        <v>2.199074074074074E-4</v>
      </c>
      <c r="L251" s="11">
        <f t="shared" si="40"/>
        <v>7.6</v>
      </c>
      <c r="M251" s="3">
        <f t="shared" si="47"/>
        <v>0.31666666666666665</v>
      </c>
      <c r="N251" s="4">
        <f t="shared" si="48"/>
        <v>19</v>
      </c>
      <c r="O251" s="2">
        <v>1.9675925925925924E-3</v>
      </c>
      <c r="P251" s="9">
        <f t="shared" si="41"/>
        <v>68</v>
      </c>
      <c r="Q251" s="3">
        <f t="shared" si="49"/>
        <v>2.8333333333333335</v>
      </c>
      <c r="R251" s="4">
        <f t="shared" si="50"/>
        <v>170</v>
      </c>
      <c r="S251" s="3">
        <f t="shared" si="51"/>
        <v>19</v>
      </c>
      <c r="T251" s="1">
        <v>0.79169999999999996</v>
      </c>
      <c r="U251" s="6">
        <f t="shared" si="42"/>
        <v>19.000799999999998</v>
      </c>
    </row>
    <row r="252" spans="1:21" x14ac:dyDescent="0.35">
      <c r="A252">
        <v>251</v>
      </c>
      <c r="B252" s="5">
        <v>44447</v>
      </c>
      <c r="C252" s="4">
        <f t="shared" si="43"/>
        <v>2021</v>
      </c>
      <c r="D252" s="4">
        <f t="shared" si="44"/>
        <v>9</v>
      </c>
      <c r="E252" s="14">
        <v>44447</v>
      </c>
      <c r="F252" s="4">
        <f t="shared" si="45"/>
        <v>8</v>
      </c>
      <c r="G252">
        <v>248</v>
      </c>
      <c r="H252">
        <v>238</v>
      </c>
      <c r="I252" s="13">
        <f t="shared" si="46"/>
        <v>0.95</v>
      </c>
      <c r="J252">
        <f t="shared" si="39"/>
        <v>10</v>
      </c>
      <c r="K252" s="2">
        <v>1.5046296296296297E-4</v>
      </c>
      <c r="L252" s="11">
        <f t="shared" si="40"/>
        <v>51.56666666666667</v>
      </c>
      <c r="M252" s="3">
        <f t="shared" si="47"/>
        <v>0.21666666666666667</v>
      </c>
      <c r="N252" s="4">
        <f t="shared" si="48"/>
        <v>13</v>
      </c>
      <c r="O252" s="2">
        <v>1.7013888888888888E-3</v>
      </c>
      <c r="P252" s="9">
        <f t="shared" si="41"/>
        <v>583.1</v>
      </c>
      <c r="Q252" s="3">
        <f t="shared" si="49"/>
        <v>2.4500000000000002</v>
      </c>
      <c r="R252" s="4">
        <f t="shared" si="50"/>
        <v>147</v>
      </c>
      <c r="S252" s="3">
        <f t="shared" si="51"/>
        <v>202</v>
      </c>
      <c r="T252" s="1">
        <v>0.85250000000000004</v>
      </c>
      <c r="U252" s="6">
        <f t="shared" si="42"/>
        <v>202.89500000000001</v>
      </c>
    </row>
    <row r="253" spans="1:21" x14ac:dyDescent="0.35">
      <c r="A253">
        <v>252</v>
      </c>
      <c r="B253" s="5">
        <v>44448</v>
      </c>
      <c r="C253" s="4">
        <f t="shared" si="43"/>
        <v>2021</v>
      </c>
      <c r="D253" s="4">
        <f t="shared" si="44"/>
        <v>9</v>
      </c>
      <c r="E253" s="14">
        <v>44448</v>
      </c>
      <c r="F253" s="4">
        <f t="shared" si="45"/>
        <v>9</v>
      </c>
      <c r="G253">
        <v>222</v>
      </c>
      <c r="H253">
        <v>212</v>
      </c>
      <c r="I253" s="13">
        <f t="shared" si="46"/>
        <v>0.95</v>
      </c>
      <c r="J253">
        <f t="shared" si="39"/>
        <v>10</v>
      </c>
      <c r="K253" s="2">
        <v>2.3148148148148149E-4</v>
      </c>
      <c r="L253" s="11">
        <f t="shared" si="40"/>
        <v>70.666666666666657</v>
      </c>
      <c r="M253" s="3">
        <f t="shared" si="47"/>
        <v>0.33333333333333331</v>
      </c>
      <c r="N253" s="4">
        <f t="shared" si="48"/>
        <v>20</v>
      </c>
      <c r="O253" s="2">
        <v>1.6782407407407408E-3</v>
      </c>
      <c r="P253" s="9">
        <f t="shared" si="41"/>
        <v>512.33333333333326</v>
      </c>
      <c r="Q253" s="3">
        <f t="shared" si="49"/>
        <v>2.4166666666666665</v>
      </c>
      <c r="R253" s="4">
        <f t="shared" si="50"/>
        <v>145</v>
      </c>
      <c r="S253" s="3">
        <f t="shared" si="51"/>
        <v>164</v>
      </c>
      <c r="T253" s="1">
        <v>0.77729999999999999</v>
      </c>
      <c r="U253" s="6">
        <f t="shared" si="42"/>
        <v>164.7876</v>
      </c>
    </row>
    <row r="254" spans="1:21" x14ac:dyDescent="0.35">
      <c r="A254">
        <v>253</v>
      </c>
      <c r="B254" s="5">
        <v>44449</v>
      </c>
      <c r="C254" s="4">
        <f t="shared" si="43"/>
        <v>2021</v>
      </c>
      <c r="D254" s="4">
        <f t="shared" si="44"/>
        <v>9</v>
      </c>
      <c r="E254" s="14">
        <v>44449</v>
      </c>
      <c r="F254" s="4">
        <f t="shared" si="45"/>
        <v>10</v>
      </c>
      <c r="G254">
        <v>190</v>
      </c>
      <c r="H254">
        <v>178</v>
      </c>
      <c r="I254" s="13">
        <f t="shared" si="46"/>
        <v>0.93</v>
      </c>
      <c r="J254">
        <f t="shared" si="39"/>
        <v>12</v>
      </c>
      <c r="K254" s="2">
        <v>3.7037037037037035E-4</v>
      </c>
      <c r="L254" s="11">
        <f t="shared" si="40"/>
        <v>94.933333333333337</v>
      </c>
      <c r="M254" s="3">
        <f t="shared" si="47"/>
        <v>0.53333333333333333</v>
      </c>
      <c r="N254" s="4">
        <f t="shared" si="48"/>
        <v>32</v>
      </c>
      <c r="O254" s="2">
        <v>1.7013888888888888E-3</v>
      </c>
      <c r="P254" s="9">
        <f t="shared" si="41"/>
        <v>436.1</v>
      </c>
      <c r="Q254" s="3">
        <f t="shared" si="49"/>
        <v>2.4500000000000002</v>
      </c>
      <c r="R254" s="4">
        <f t="shared" si="50"/>
        <v>147</v>
      </c>
      <c r="S254" s="3">
        <f t="shared" si="51"/>
        <v>98</v>
      </c>
      <c r="T254" s="1">
        <v>0.55079999999999996</v>
      </c>
      <c r="U254" s="6">
        <f t="shared" si="42"/>
        <v>98.042399999999986</v>
      </c>
    </row>
    <row r="255" spans="1:21" x14ac:dyDescent="0.35">
      <c r="A255">
        <v>254</v>
      </c>
      <c r="B255" s="5">
        <v>44450</v>
      </c>
      <c r="C255" s="4">
        <f t="shared" si="43"/>
        <v>2021</v>
      </c>
      <c r="D255" s="4">
        <f t="shared" si="44"/>
        <v>9</v>
      </c>
      <c r="E255" s="14">
        <v>44450</v>
      </c>
      <c r="F255" s="4">
        <f t="shared" si="45"/>
        <v>11</v>
      </c>
      <c r="G255">
        <v>238</v>
      </c>
      <c r="H255">
        <v>231</v>
      </c>
      <c r="I255" s="13">
        <f t="shared" si="46"/>
        <v>0.97</v>
      </c>
      <c r="J255">
        <f t="shared" si="39"/>
        <v>7</v>
      </c>
      <c r="K255" s="2">
        <v>2.3148148148148149E-4</v>
      </c>
      <c r="L255" s="11">
        <f t="shared" si="40"/>
        <v>77</v>
      </c>
      <c r="M255" s="3">
        <f t="shared" si="47"/>
        <v>0.33333333333333331</v>
      </c>
      <c r="N255" s="4">
        <f t="shared" si="48"/>
        <v>20</v>
      </c>
      <c r="O255" s="2">
        <v>1.7013888888888888E-3</v>
      </c>
      <c r="P255" s="9">
        <f t="shared" si="41"/>
        <v>565.95000000000005</v>
      </c>
      <c r="Q255" s="3">
        <f t="shared" si="49"/>
        <v>2.4500000000000002</v>
      </c>
      <c r="R255" s="4">
        <f t="shared" si="50"/>
        <v>147</v>
      </c>
      <c r="S255" s="3">
        <f t="shared" si="51"/>
        <v>184</v>
      </c>
      <c r="T255" s="1">
        <v>0.79659999999999997</v>
      </c>
      <c r="U255" s="6">
        <f t="shared" si="42"/>
        <v>184.0146</v>
      </c>
    </row>
    <row r="256" spans="1:21" x14ac:dyDescent="0.35">
      <c r="A256">
        <v>255</v>
      </c>
      <c r="B256" s="5">
        <v>44451</v>
      </c>
      <c r="C256" s="4">
        <f t="shared" si="43"/>
        <v>2021</v>
      </c>
      <c r="D256" s="4">
        <f t="shared" si="44"/>
        <v>9</v>
      </c>
      <c r="E256" s="14">
        <v>44451</v>
      </c>
      <c r="F256" s="4">
        <f t="shared" si="45"/>
        <v>12</v>
      </c>
      <c r="G256">
        <v>214</v>
      </c>
      <c r="H256">
        <v>205</v>
      </c>
      <c r="I256" s="13">
        <f t="shared" si="46"/>
        <v>0.95</v>
      </c>
      <c r="J256">
        <f t="shared" si="39"/>
        <v>9</v>
      </c>
      <c r="K256" s="2">
        <v>2.3148148148148149E-4</v>
      </c>
      <c r="L256" s="11">
        <f t="shared" si="40"/>
        <v>68.333333333333329</v>
      </c>
      <c r="M256" s="3">
        <f t="shared" si="47"/>
        <v>0.33333333333333331</v>
      </c>
      <c r="N256" s="4">
        <f t="shared" si="48"/>
        <v>20</v>
      </c>
      <c r="O256" s="2">
        <v>1.7824074074074075E-3</v>
      </c>
      <c r="P256" s="9">
        <f t="shared" si="41"/>
        <v>526.16666666666663</v>
      </c>
      <c r="Q256" s="3">
        <f t="shared" si="49"/>
        <v>2.5666666666666664</v>
      </c>
      <c r="R256" s="4">
        <f t="shared" si="50"/>
        <v>154</v>
      </c>
      <c r="S256" s="3">
        <f t="shared" si="51"/>
        <v>162</v>
      </c>
      <c r="T256" s="1">
        <v>0.79049999999999998</v>
      </c>
      <c r="U256" s="6">
        <f t="shared" si="42"/>
        <v>162.05250000000001</v>
      </c>
    </row>
    <row r="257" spans="1:21" x14ac:dyDescent="0.35">
      <c r="A257">
        <v>256</v>
      </c>
      <c r="B257" s="5">
        <v>44452</v>
      </c>
      <c r="C257" s="4">
        <f t="shared" si="43"/>
        <v>2021</v>
      </c>
      <c r="D257" s="4">
        <f t="shared" si="44"/>
        <v>9</v>
      </c>
      <c r="E257" s="14">
        <v>44452</v>
      </c>
      <c r="F257" s="4">
        <f t="shared" si="45"/>
        <v>13</v>
      </c>
      <c r="G257">
        <v>186</v>
      </c>
      <c r="H257">
        <v>176</v>
      </c>
      <c r="I257" s="13">
        <f t="shared" si="46"/>
        <v>0.94</v>
      </c>
      <c r="J257">
        <f t="shared" si="39"/>
        <v>10</v>
      </c>
      <c r="K257" s="2">
        <v>2.6620370370370372E-4</v>
      </c>
      <c r="L257" s="11">
        <f t="shared" si="40"/>
        <v>67.466666666666669</v>
      </c>
      <c r="M257" s="3">
        <f t="shared" si="47"/>
        <v>0.38333333333333336</v>
      </c>
      <c r="N257" s="4">
        <f t="shared" si="48"/>
        <v>23</v>
      </c>
      <c r="O257" s="2">
        <v>1.5625000000000001E-3</v>
      </c>
      <c r="P257" s="9">
        <f t="shared" si="41"/>
        <v>396</v>
      </c>
      <c r="Q257" s="3">
        <f t="shared" si="49"/>
        <v>2.25</v>
      </c>
      <c r="R257" s="4">
        <f t="shared" si="50"/>
        <v>135</v>
      </c>
      <c r="S257" s="3">
        <f t="shared" si="51"/>
        <v>124</v>
      </c>
      <c r="T257" s="1">
        <v>0.70879999999999999</v>
      </c>
      <c r="U257" s="6">
        <f t="shared" si="42"/>
        <v>124.7488</v>
      </c>
    </row>
    <row r="258" spans="1:21" x14ac:dyDescent="0.35">
      <c r="A258">
        <v>257</v>
      </c>
      <c r="B258" s="5">
        <v>44453</v>
      </c>
      <c r="C258" s="4">
        <f t="shared" si="43"/>
        <v>2021</v>
      </c>
      <c r="D258" s="4">
        <f t="shared" si="44"/>
        <v>9</v>
      </c>
      <c r="E258" s="14">
        <v>44453</v>
      </c>
      <c r="F258" s="4">
        <f t="shared" si="45"/>
        <v>14</v>
      </c>
      <c r="G258">
        <v>21</v>
      </c>
      <c r="H258">
        <v>20</v>
      </c>
      <c r="I258" s="13">
        <f t="shared" si="46"/>
        <v>0.95</v>
      </c>
      <c r="J258">
        <f t="shared" ref="J258:J321" si="52">G258-H258</f>
        <v>1</v>
      </c>
      <c r="K258" s="2">
        <v>1.6203703703703703E-4</v>
      </c>
      <c r="L258" s="11">
        <f t="shared" ref="L258:L321" si="53">H258*M258</f>
        <v>4.666666666666667</v>
      </c>
      <c r="M258" s="3">
        <f t="shared" si="47"/>
        <v>0.23333333333333334</v>
      </c>
      <c r="N258" s="4">
        <f t="shared" si="48"/>
        <v>14</v>
      </c>
      <c r="O258" s="2">
        <v>1.6782407407407408E-3</v>
      </c>
      <c r="P258" s="9">
        <f t="shared" ref="P258:P321" si="54">Q258*H258</f>
        <v>48.333333333333329</v>
      </c>
      <c r="Q258" s="3">
        <f t="shared" si="49"/>
        <v>2.4166666666666665</v>
      </c>
      <c r="R258" s="4">
        <f t="shared" si="50"/>
        <v>145</v>
      </c>
      <c r="S258" s="3">
        <f t="shared" si="51"/>
        <v>17</v>
      </c>
      <c r="T258" s="1">
        <v>0.85</v>
      </c>
      <c r="U258" s="6">
        <f t="shared" ref="U258:U321" si="55">T258*H258</f>
        <v>17</v>
      </c>
    </row>
    <row r="259" spans="1:21" x14ac:dyDescent="0.35">
      <c r="A259">
        <v>258</v>
      </c>
      <c r="B259" s="5">
        <v>44454</v>
      </c>
      <c r="C259" s="4">
        <f t="shared" ref="C259:C322" si="56">YEAR(B259)</f>
        <v>2021</v>
      </c>
      <c r="D259" s="4">
        <f t="shared" ref="D259:D322" si="57">MONTH(B259)</f>
        <v>9</v>
      </c>
      <c r="E259" s="14">
        <v>44454</v>
      </c>
      <c r="F259" s="4">
        <f t="shared" ref="F259:F322" si="58">DAY(B259)</f>
        <v>15</v>
      </c>
      <c r="G259">
        <v>169</v>
      </c>
      <c r="H259">
        <v>157</v>
      </c>
      <c r="I259" s="13">
        <f t="shared" ref="I259:I322" si="59">TRUNC(H259/G259,2)</f>
        <v>0.92</v>
      </c>
      <c r="J259">
        <f t="shared" si="52"/>
        <v>12</v>
      </c>
      <c r="K259" s="2">
        <v>2.4305555555555555E-4</v>
      </c>
      <c r="L259" s="11">
        <f t="shared" si="53"/>
        <v>54.949999999999996</v>
      </c>
      <c r="M259" s="3">
        <f t="shared" ref="M259:M322" si="60">MINUTE(K259)+SECOND(K259)/60</f>
        <v>0.35</v>
      </c>
      <c r="N259" s="4">
        <f t="shared" ref="N259:N322" si="61">M259*60</f>
        <v>21</v>
      </c>
      <c r="O259" s="2">
        <v>1.724537037037037E-3</v>
      </c>
      <c r="P259" s="9">
        <f t="shared" si="54"/>
        <v>389.88333333333333</v>
      </c>
      <c r="Q259" s="3">
        <f t="shared" ref="Q259:Q322" si="62">MINUTE(O259)+SECOND(O259)/60</f>
        <v>2.4833333333333334</v>
      </c>
      <c r="R259" s="4">
        <f t="shared" ref="R259:R322" si="63">Q259*60</f>
        <v>149</v>
      </c>
      <c r="S259" s="3">
        <f t="shared" ref="S259:S322" si="64">TRUNC(U259,0)</f>
        <v>122</v>
      </c>
      <c r="T259" s="1">
        <v>0.77710000000000001</v>
      </c>
      <c r="U259" s="6">
        <f t="shared" si="55"/>
        <v>122.0047</v>
      </c>
    </row>
    <row r="260" spans="1:21" x14ac:dyDescent="0.35">
      <c r="A260">
        <v>259</v>
      </c>
      <c r="B260" s="5">
        <v>44455</v>
      </c>
      <c r="C260" s="4">
        <f t="shared" si="56"/>
        <v>2021</v>
      </c>
      <c r="D260" s="4">
        <f t="shared" si="57"/>
        <v>9</v>
      </c>
      <c r="E260" s="14">
        <v>44455</v>
      </c>
      <c r="F260" s="4">
        <f t="shared" si="58"/>
        <v>16</v>
      </c>
      <c r="G260">
        <v>149</v>
      </c>
      <c r="H260">
        <v>141</v>
      </c>
      <c r="I260" s="13">
        <f t="shared" si="59"/>
        <v>0.94</v>
      </c>
      <c r="J260">
        <f t="shared" si="52"/>
        <v>8</v>
      </c>
      <c r="K260" s="2">
        <v>1.8518518518518518E-4</v>
      </c>
      <c r="L260" s="11">
        <f t="shared" si="53"/>
        <v>37.6</v>
      </c>
      <c r="M260" s="3">
        <f t="shared" si="60"/>
        <v>0.26666666666666666</v>
      </c>
      <c r="N260" s="4">
        <f t="shared" si="61"/>
        <v>16</v>
      </c>
      <c r="O260" s="2">
        <v>1.8287037037037037E-3</v>
      </c>
      <c r="P260" s="9">
        <f t="shared" si="54"/>
        <v>371.3</v>
      </c>
      <c r="Q260" s="3">
        <f t="shared" si="62"/>
        <v>2.6333333333333333</v>
      </c>
      <c r="R260" s="4">
        <f t="shared" si="63"/>
        <v>158</v>
      </c>
      <c r="S260" s="3">
        <f t="shared" si="64"/>
        <v>111</v>
      </c>
      <c r="T260" s="1">
        <v>0.79049999999999998</v>
      </c>
      <c r="U260" s="6">
        <f t="shared" si="55"/>
        <v>111.4605</v>
      </c>
    </row>
    <row r="261" spans="1:21" x14ac:dyDescent="0.35">
      <c r="A261">
        <v>260</v>
      </c>
      <c r="B261" s="5">
        <v>44456</v>
      </c>
      <c r="C261" s="4">
        <f t="shared" si="56"/>
        <v>2021</v>
      </c>
      <c r="D261" s="4">
        <f t="shared" si="57"/>
        <v>9</v>
      </c>
      <c r="E261" s="14">
        <v>44456</v>
      </c>
      <c r="F261" s="4">
        <f t="shared" si="58"/>
        <v>17</v>
      </c>
      <c r="G261">
        <v>171</v>
      </c>
      <c r="H261">
        <v>164</v>
      </c>
      <c r="I261" s="13">
        <f t="shared" si="59"/>
        <v>0.95</v>
      </c>
      <c r="J261">
        <f t="shared" si="52"/>
        <v>7</v>
      </c>
      <c r="K261" s="2">
        <v>2.199074074074074E-4</v>
      </c>
      <c r="L261" s="11">
        <f t="shared" si="53"/>
        <v>51.93333333333333</v>
      </c>
      <c r="M261" s="3">
        <f t="shared" si="60"/>
        <v>0.31666666666666665</v>
      </c>
      <c r="N261" s="4">
        <f t="shared" si="61"/>
        <v>19</v>
      </c>
      <c r="O261" s="2">
        <v>1.6435185185185185E-3</v>
      </c>
      <c r="P261" s="9">
        <f t="shared" si="54"/>
        <v>388.13333333333333</v>
      </c>
      <c r="Q261" s="3">
        <f t="shared" si="62"/>
        <v>2.3666666666666667</v>
      </c>
      <c r="R261" s="4">
        <f t="shared" si="63"/>
        <v>142</v>
      </c>
      <c r="S261" s="3">
        <f t="shared" si="64"/>
        <v>126</v>
      </c>
      <c r="T261" s="1">
        <v>0.77190000000000003</v>
      </c>
      <c r="U261" s="6">
        <f t="shared" si="55"/>
        <v>126.5916</v>
      </c>
    </row>
    <row r="262" spans="1:21" x14ac:dyDescent="0.35">
      <c r="A262">
        <v>261</v>
      </c>
      <c r="B262" s="5">
        <v>44457</v>
      </c>
      <c r="C262" s="4">
        <f t="shared" si="56"/>
        <v>2021</v>
      </c>
      <c r="D262" s="4">
        <f t="shared" si="57"/>
        <v>9</v>
      </c>
      <c r="E262" s="14">
        <v>44457</v>
      </c>
      <c r="F262" s="4">
        <f t="shared" si="58"/>
        <v>18</v>
      </c>
      <c r="G262">
        <v>127</v>
      </c>
      <c r="H262">
        <v>122</v>
      </c>
      <c r="I262" s="13">
        <f t="shared" si="59"/>
        <v>0.96</v>
      </c>
      <c r="J262">
        <f t="shared" si="52"/>
        <v>5</v>
      </c>
      <c r="K262" s="2">
        <v>1.5046296296296297E-4</v>
      </c>
      <c r="L262" s="11">
        <f t="shared" si="53"/>
        <v>26.433333333333334</v>
      </c>
      <c r="M262" s="3">
        <f t="shared" si="60"/>
        <v>0.21666666666666667</v>
      </c>
      <c r="N262" s="4">
        <f t="shared" si="61"/>
        <v>13</v>
      </c>
      <c r="O262" s="2">
        <v>1.6435185185185185E-3</v>
      </c>
      <c r="P262" s="9">
        <f t="shared" si="54"/>
        <v>288.73333333333335</v>
      </c>
      <c r="Q262" s="3">
        <f t="shared" si="62"/>
        <v>2.3666666666666667</v>
      </c>
      <c r="R262" s="4">
        <f t="shared" si="63"/>
        <v>142</v>
      </c>
      <c r="S262" s="3">
        <f t="shared" si="64"/>
        <v>107</v>
      </c>
      <c r="T262" s="1">
        <v>0.878</v>
      </c>
      <c r="U262" s="6">
        <f t="shared" si="55"/>
        <v>107.116</v>
      </c>
    </row>
    <row r="263" spans="1:21" x14ac:dyDescent="0.35">
      <c r="A263">
        <v>262</v>
      </c>
      <c r="B263" s="5">
        <v>44458</v>
      </c>
      <c r="C263" s="4">
        <f t="shared" si="56"/>
        <v>2021</v>
      </c>
      <c r="D263" s="4">
        <f t="shared" si="57"/>
        <v>9</v>
      </c>
      <c r="E263" s="14">
        <v>44458</v>
      </c>
      <c r="F263" s="4">
        <f t="shared" si="58"/>
        <v>19</v>
      </c>
      <c r="G263">
        <v>21</v>
      </c>
      <c r="H263">
        <v>21</v>
      </c>
      <c r="I263" s="13">
        <f t="shared" si="59"/>
        <v>1</v>
      </c>
      <c r="J263">
        <f t="shared" si="52"/>
        <v>0</v>
      </c>
      <c r="K263" s="2">
        <v>9.2592592592592588E-5</v>
      </c>
      <c r="L263" s="11">
        <f t="shared" si="53"/>
        <v>2.8</v>
      </c>
      <c r="M263" s="3">
        <f t="shared" si="60"/>
        <v>0.13333333333333333</v>
      </c>
      <c r="N263" s="4">
        <f t="shared" si="61"/>
        <v>8</v>
      </c>
      <c r="O263" s="2">
        <v>2.1180555555555558E-3</v>
      </c>
      <c r="P263" s="9">
        <f t="shared" si="54"/>
        <v>64.05</v>
      </c>
      <c r="Q263" s="3">
        <f t="shared" si="62"/>
        <v>3.05</v>
      </c>
      <c r="R263" s="4">
        <f t="shared" si="63"/>
        <v>183</v>
      </c>
      <c r="S263" s="3">
        <f t="shared" si="64"/>
        <v>19</v>
      </c>
      <c r="T263" s="1">
        <v>0.90480000000000005</v>
      </c>
      <c r="U263" s="6">
        <f t="shared" si="55"/>
        <v>19.000800000000002</v>
      </c>
    </row>
    <row r="264" spans="1:21" x14ac:dyDescent="0.35">
      <c r="A264">
        <v>263</v>
      </c>
      <c r="B264" s="5">
        <v>44459</v>
      </c>
      <c r="C264" s="4">
        <f t="shared" si="56"/>
        <v>2021</v>
      </c>
      <c r="D264" s="4">
        <f t="shared" si="57"/>
        <v>9</v>
      </c>
      <c r="E264" s="14">
        <v>44459</v>
      </c>
      <c r="F264" s="4">
        <f t="shared" si="58"/>
        <v>20</v>
      </c>
      <c r="G264">
        <v>5</v>
      </c>
      <c r="H264">
        <v>5</v>
      </c>
      <c r="I264" s="13">
        <f t="shared" si="59"/>
        <v>1</v>
      </c>
      <c r="J264">
        <f t="shared" si="52"/>
        <v>0</v>
      </c>
      <c r="K264" s="2">
        <v>1.6203703703703703E-4</v>
      </c>
      <c r="L264" s="11">
        <f t="shared" si="53"/>
        <v>1.1666666666666667</v>
      </c>
      <c r="M264" s="3">
        <f t="shared" si="60"/>
        <v>0.23333333333333334</v>
      </c>
      <c r="N264" s="4">
        <f t="shared" si="61"/>
        <v>14</v>
      </c>
      <c r="O264" s="2">
        <v>1.8171296296296297E-3</v>
      </c>
      <c r="P264" s="9">
        <f t="shared" si="54"/>
        <v>13.083333333333334</v>
      </c>
      <c r="Q264" s="3">
        <f t="shared" si="62"/>
        <v>2.6166666666666667</v>
      </c>
      <c r="R264" s="4">
        <f t="shared" si="63"/>
        <v>157</v>
      </c>
      <c r="S264" s="3">
        <f t="shared" si="64"/>
        <v>4</v>
      </c>
      <c r="T264" s="1">
        <v>0.8</v>
      </c>
      <c r="U264" s="6">
        <f t="shared" si="55"/>
        <v>4</v>
      </c>
    </row>
    <row r="265" spans="1:21" x14ac:dyDescent="0.35">
      <c r="A265">
        <v>264</v>
      </c>
      <c r="B265" s="5">
        <v>44460</v>
      </c>
      <c r="C265" s="4">
        <f t="shared" si="56"/>
        <v>2021</v>
      </c>
      <c r="D265" s="4">
        <f t="shared" si="57"/>
        <v>9</v>
      </c>
      <c r="E265" s="14">
        <v>44460</v>
      </c>
      <c r="F265" s="4">
        <f t="shared" si="58"/>
        <v>21</v>
      </c>
      <c r="G265">
        <v>33</v>
      </c>
      <c r="H265">
        <v>32</v>
      </c>
      <c r="I265" s="13">
        <f t="shared" si="59"/>
        <v>0.96</v>
      </c>
      <c r="J265">
        <f t="shared" si="52"/>
        <v>1</v>
      </c>
      <c r="K265" s="2">
        <v>3.0092592592592595E-4</v>
      </c>
      <c r="L265" s="11">
        <f t="shared" si="53"/>
        <v>13.866666666666667</v>
      </c>
      <c r="M265" s="3">
        <f t="shared" si="60"/>
        <v>0.43333333333333335</v>
      </c>
      <c r="N265" s="4">
        <f t="shared" si="61"/>
        <v>26</v>
      </c>
      <c r="O265" s="2">
        <v>1.4351851851851852E-3</v>
      </c>
      <c r="P265" s="9">
        <f t="shared" si="54"/>
        <v>66.13333333333334</v>
      </c>
      <c r="Q265" s="3">
        <f t="shared" si="62"/>
        <v>2.0666666666666669</v>
      </c>
      <c r="R265" s="4">
        <f t="shared" si="63"/>
        <v>124.00000000000001</v>
      </c>
      <c r="S265" s="3">
        <f t="shared" si="64"/>
        <v>21</v>
      </c>
      <c r="T265" s="1">
        <v>0.66669999999999996</v>
      </c>
      <c r="U265" s="6">
        <f t="shared" si="55"/>
        <v>21.334399999999999</v>
      </c>
    </row>
    <row r="266" spans="1:21" x14ac:dyDescent="0.35">
      <c r="A266">
        <v>265</v>
      </c>
      <c r="B266" s="5">
        <v>44461</v>
      </c>
      <c r="C266" s="4">
        <f t="shared" si="56"/>
        <v>2021</v>
      </c>
      <c r="D266" s="4">
        <f t="shared" si="57"/>
        <v>9</v>
      </c>
      <c r="E266" s="14">
        <v>44461</v>
      </c>
      <c r="F266" s="4">
        <f t="shared" si="58"/>
        <v>22</v>
      </c>
      <c r="G266">
        <v>145</v>
      </c>
      <c r="H266">
        <v>139</v>
      </c>
      <c r="I266" s="13">
        <f t="shared" si="59"/>
        <v>0.95</v>
      </c>
      <c r="J266">
        <f t="shared" si="52"/>
        <v>6</v>
      </c>
      <c r="K266" s="2">
        <v>2.3148148148148149E-4</v>
      </c>
      <c r="L266" s="11">
        <f t="shared" si="53"/>
        <v>46.333333333333329</v>
      </c>
      <c r="M266" s="3">
        <f t="shared" si="60"/>
        <v>0.33333333333333331</v>
      </c>
      <c r="N266" s="4">
        <f t="shared" si="61"/>
        <v>20</v>
      </c>
      <c r="O266" s="2">
        <v>1.712962962962963E-3</v>
      </c>
      <c r="P266" s="9">
        <f t="shared" si="54"/>
        <v>342.86666666666667</v>
      </c>
      <c r="Q266" s="3">
        <f t="shared" si="62"/>
        <v>2.4666666666666668</v>
      </c>
      <c r="R266" s="4">
        <f t="shared" si="63"/>
        <v>148</v>
      </c>
      <c r="S266" s="3">
        <f t="shared" si="64"/>
        <v>109</v>
      </c>
      <c r="T266" s="1">
        <v>0.79020000000000001</v>
      </c>
      <c r="U266" s="6">
        <f t="shared" si="55"/>
        <v>109.8378</v>
      </c>
    </row>
    <row r="267" spans="1:21" x14ac:dyDescent="0.35">
      <c r="A267">
        <v>266</v>
      </c>
      <c r="B267" s="5">
        <v>44462</v>
      </c>
      <c r="C267" s="4">
        <f t="shared" si="56"/>
        <v>2021</v>
      </c>
      <c r="D267" s="4">
        <f t="shared" si="57"/>
        <v>9</v>
      </c>
      <c r="E267" s="14">
        <v>44462</v>
      </c>
      <c r="F267" s="4">
        <f t="shared" si="58"/>
        <v>23</v>
      </c>
      <c r="G267">
        <v>129</v>
      </c>
      <c r="H267">
        <v>127</v>
      </c>
      <c r="I267" s="13">
        <f t="shared" si="59"/>
        <v>0.98</v>
      </c>
      <c r="J267">
        <f t="shared" si="52"/>
        <v>2</v>
      </c>
      <c r="K267" s="2">
        <v>2.199074074074074E-4</v>
      </c>
      <c r="L267" s="11">
        <f t="shared" si="53"/>
        <v>40.216666666666661</v>
      </c>
      <c r="M267" s="3">
        <f t="shared" si="60"/>
        <v>0.31666666666666665</v>
      </c>
      <c r="N267" s="4">
        <f t="shared" si="61"/>
        <v>19</v>
      </c>
      <c r="O267" s="2">
        <v>1.5393518518518519E-3</v>
      </c>
      <c r="P267" s="9">
        <f t="shared" si="54"/>
        <v>281.51666666666671</v>
      </c>
      <c r="Q267" s="3">
        <f t="shared" si="62"/>
        <v>2.2166666666666668</v>
      </c>
      <c r="R267" s="4">
        <f t="shared" si="63"/>
        <v>133</v>
      </c>
      <c r="S267" s="3">
        <f t="shared" si="64"/>
        <v>95</v>
      </c>
      <c r="T267" s="1">
        <v>0.75590000000000002</v>
      </c>
      <c r="U267" s="6">
        <f t="shared" si="55"/>
        <v>95.999300000000005</v>
      </c>
    </row>
    <row r="268" spans="1:21" x14ac:dyDescent="0.35">
      <c r="A268">
        <v>267</v>
      </c>
      <c r="B268" s="5">
        <v>44463</v>
      </c>
      <c r="C268" s="4">
        <f t="shared" si="56"/>
        <v>2021</v>
      </c>
      <c r="D268" s="4">
        <f t="shared" si="57"/>
        <v>9</v>
      </c>
      <c r="E268" s="14">
        <v>44463</v>
      </c>
      <c r="F268" s="4">
        <f t="shared" si="58"/>
        <v>24</v>
      </c>
      <c r="G268">
        <v>194</v>
      </c>
      <c r="H268">
        <v>178</v>
      </c>
      <c r="I268" s="13">
        <f t="shared" si="59"/>
        <v>0.91</v>
      </c>
      <c r="J268">
        <f t="shared" si="52"/>
        <v>16</v>
      </c>
      <c r="K268" s="2">
        <v>3.0092592592592595E-4</v>
      </c>
      <c r="L268" s="11">
        <f t="shared" si="53"/>
        <v>77.13333333333334</v>
      </c>
      <c r="M268" s="3">
        <f t="shared" si="60"/>
        <v>0.43333333333333335</v>
      </c>
      <c r="N268" s="4">
        <f t="shared" si="61"/>
        <v>26</v>
      </c>
      <c r="O268" s="2">
        <v>1.8055555555555555E-3</v>
      </c>
      <c r="P268" s="9">
        <f t="shared" si="54"/>
        <v>462.8</v>
      </c>
      <c r="Q268" s="3">
        <f t="shared" si="62"/>
        <v>2.6</v>
      </c>
      <c r="R268" s="4">
        <f t="shared" si="63"/>
        <v>156</v>
      </c>
      <c r="S268" s="3">
        <f t="shared" si="64"/>
        <v>119</v>
      </c>
      <c r="T268" s="1">
        <v>0.67190000000000005</v>
      </c>
      <c r="U268" s="6">
        <f t="shared" si="55"/>
        <v>119.59820000000001</v>
      </c>
    </row>
    <row r="269" spans="1:21" x14ac:dyDescent="0.35">
      <c r="A269">
        <v>268</v>
      </c>
      <c r="B269" s="5">
        <v>44464</v>
      </c>
      <c r="C269" s="4">
        <f t="shared" si="56"/>
        <v>2021</v>
      </c>
      <c r="D269" s="4">
        <f t="shared" si="57"/>
        <v>9</v>
      </c>
      <c r="E269" s="14">
        <v>44464</v>
      </c>
      <c r="F269" s="4">
        <f t="shared" si="58"/>
        <v>25</v>
      </c>
      <c r="G269">
        <v>194</v>
      </c>
      <c r="H269">
        <v>187</v>
      </c>
      <c r="I269" s="13">
        <f t="shared" si="59"/>
        <v>0.96</v>
      </c>
      <c r="J269">
        <f t="shared" si="52"/>
        <v>7</v>
      </c>
      <c r="K269" s="2">
        <v>2.7777777777777778E-4</v>
      </c>
      <c r="L269" s="11">
        <f t="shared" si="53"/>
        <v>74.8</v>
      </c>
      <c r="M269" s="3">
        <f t="shared" si="60"/>
        <v>0.4</v>
      </c>
      <c r="N269" s="4">
        <f t="shared" si="61"/>
        <v>24</v>
      </c>
      <c r="O269" s="2">
        <v>1.6782407407407408E-3</v>
      </c>
      <c r="P269" s="9">
        <f t="shared" si="54"/>
        <v>451.91666666666663</v>
      </c>
      <c r="Q269" s="3">
        <f t="shared" si="62"/>
        <v>2.4166666666666665</v>
      </c>
      <c r="R269" s="4">
        <f t="shared" si="63"/>
        <v>145</v>
      </c>
      <c r="S269" s="3">
        <f t="shared" si="64"/>
        <v>144</v>
      </c>
      <c r="T269" s="1">
        <v>0.77249999999999996</v>
      </c>
      <c r="U269" s="6">
        <f t="shared" si="55"/>
        <v>144.45749999999998</v>
      </c>
    </row>
    <row r="270" spans="1:21" x14ac:dyDescent="0.35">
      <c r="A270">
        <v>269</v>
      </c>
      <c r="B270" s="5">
        <v>44465</v>
      </c>
      <c r="C270" s="4">
        <f t="shared" si="56"/>
        <v>2021</v>
      </c>
      <c r="D270" s="4">
        <f t="shared" si="57"/>
        <v>9</v>
      </c>
      <c r="E270" s="14">
        <v>44465</v>
      </c>
      <c r="F270" s="4">
        <f t="shared" si="58"/>
        <v>26</v>
      </c>
      <c r="G270">
        <v>202</v>
      </c>
      <c r="H270">
        <v>195</v>
      </c>
      <c r="I270" s="13">
        <f t="shared" si="59"/>
        <v>0.96</v>
      </c>
      <c r="J270">
        <f t="shared" si="52"/>
        <v>7</v>
      </c>
      <c r="K270" s="2">
        <v>2.4305555555555555E-4</v>
      </c>
      <c r="L270" s="11">
        <f t="shared" si="53"/>
        <v>68.25</v>
      </c>
      <c r="M270" s="3">
        <f t="shared" si="60"/>
        <v>0.35</v>
      </c>
      <c r="N270" s="4">
        <f t="shared" si="61"/>
        <v>21</v>
      </c>
      <c r="O270" s="2">
        <v>1.6319444444444445E-3</v>
      </c>
      <c r="P270" s="9">
        <f t="shared" si="54"/>
        <v>458.25</v>
      </c>
      <c r="Q270" s="3">
        <f t="shared" si="62"/>
        <v>2.35</v>
      </c>
      <c r="R270" s="4">
        <f t="shared" si="63"/>
        <v>141</v>
      </c>
      <c r="S270" s="3">
        <f t="shared" si="64"/>
        <v>145</v>
      </c>
      <c r="T270" s="1">
        <v>0.74750000000000005</v>
      </c>
      <c r="U270" s="6">
        <f t="shared" si="55"/>
        <v>145.76250000000002</v>
      </c>
    </row>
    <row r="271" spans="1:21" x14ac:dyDescent="0.35">
      <c r="A271">
        <v>270</v>
      </c>
      <c r="B271" s="5">
        <v>44466</v>
      </c>
      <c r="C271" s="4">
        <f t="shared" si="56"/>
        <v>2021</v>
      </c>
      <c r="D271" s="4">
        <f t="shared" si="57"/>
        <v>9</v>
      </c>
      <c r="E271" s="14">
        <v>44466</v>
      </c>
      <c r="F271" s="4">
        <f t="shared" si="58"/>
        <v>27</v>
      </c>
      <c r="G271">
        <v>214</v>
      </c>
      <c r="H271">
        <v>208</v>
      </c>
      <c r="I271" s="13">
        <f t="shared" si="59"/>
        <v>0.97</v>
      </c>
      <c r="J271">
        <f t="shared" si="52"/>
        <v>6</v>
      </c>
      <c r="K271" s="2">
        <v>1.5046296296296297E-4</v>
      </c>
      <c r="L271" s="11">
        <f t="shared" si="53"/>
        <v>45.06666666666667</v>
      </c>
      <c r="M271" s="3">
        <f t="shared" si="60"/>
        <v>0.21666666666666667</v>
      </c>
      <c r="N271" s="4">
        <f t="shared" si="61"/>
        <v>13</v>
      </c>
      <c r="O271" s="2">
        <v>1.6087962962962963E-3</v>
      </c>
      <c r="P271" s="9">
        <f t="shared" si="54"/>
        <v>481.86666666666662</v>
      </c>
      <c r="Q271" s="3">
        <f t="shared" si="62"/>
        <v>2.3166666666666664</v>
      </c>
      <c r="R271" s="4">
        <f t="shared" si="63"/>
        <v>139</v>
      </c>
      <c r="S271" s="3">
        <f t="shared" si="64"/>
        <v>183</v>
      </c>
      <c r="T271" s="1">
        <v>0.88149999999999995</v>
      </c>
      <c r="U271" s="6">
        <f t="shared" si="55"/>
        <v>183.35199999999998</v>
      </c>
    </row>
    <row r="272" spans="1:21" x14ac:dyDescent="0.35">
      <c r="A272">
        <v>271</v>
      </c>
      <c r="B272" s="5">
        <v>44467</v>
      </c>
      <c r="C272" s="4">
        <f t="shared" si="56"/>
        <v>2021</v>
      </c>
      <c r="D272" s="4">
        <f t="shared" si="57"/>
        <v>9</v>
      </c>
      <c r="E272" s="14">
        <v>44467</v>
      </c>
      <c r="F272" s="4">
        <f t="shared" si="58"/>
        <v>28</v>
      </c>
      <c r="G272">
        <v>28</v>
      </c>
      <c r="H272">
        <v>28</v>
      </c>
      <c r="I272" s="13">
        <f t="shared" si="59"/>
        <v>1</v>
      </c>
      <c r="J272">
        <f t="shared" si="52"/>
        <v>0</v>
      </c>
      <c r="K272" s="2">
        <v>1.5046296296296297E-4</v>
      </c>
      <c r="L272" s="11">
        <f t="shared" si="53"/>
        <v>6.0666666666666664</v>
      </c>
      <c r="M272" s="3">
        <f t="shared" si="60"/>
        <v>0.21666666666666667</v>
      </c>
      <c r="N272" s="4">
        <f t="shared" si="61"/>
        <v>13</v>
      </c>
      <c r="O272" s="2">
        <v>1.5393518518518519E-3</v>
      </c>
      <c r="P272" s="9">
        <f t="shared" si="54"/>
        <v>62.06666666666667</v>
      </c>
      <c r="Q272" s="3">
        <f t="shared" si="62"/>
        <v>2.2166666666666668</v>
      </c>
      <c r="R272" s="4">
        <f t="shared" si="63"/>
        <v>133</v>
      </c>
      <c r="S272" s="3">
        <f t="shared" si="64"/>
        <v>25</v>
      </c>
      <c r="T272" s="1">
        <v>0.89290000000000003</v>
      </c>
      <c r="U272" s="6">
        <f t="shared" si="55"/>
        <v>25.001200000000001</v>
      </c>
    </row>
    <row r="273" spans="1:21" x14ac:dyDescent="0.35">
      <c r="A273">
        <v>272</v>
      </c>
      <c r="B273" s="5">
        <v>44468</v>
      </c>
      <c r="C273" s="4">
        <f t="shared" si="56"/>
        <v>2021</v>
      </c>
      <c r="D273" s="4">
        <f t="shared" si="57"/>
        <v>9</v>
      </c>
      <c r="E273" s="14">
        <v>44468</v>
      </c>
      <c r="F273" s="4">
        <f t="shared" si="58"/>
        <v>29</v>
      </c>
      <c r="G273">
        <v>191</v>
      </c>
      <c r="H273">
        <v>187</v>
      </c>
      <c r="I273" s="13">
        <f t="shared" si="59"/>
        <v>0.97</v>
      </c>
      <c r="J273">
        <f t="shared" si="52"/>
        <v>4</v>
      </c>
      <c r="K273" s="2">
        <v>1.7361111111111112E-4</v>
      </c>
      <c r="L273" s="11">
        <f t="shared" si="53"/>
        <v>46.75</v>
      </c>
      <c r="M273" s="3">
        <f t="shared" si="60"/>
        <v>0.25</v>
      </c>
      <c r="N273" s="4">
        <f t="shared" si="61"/>
        <v>15</v>
      </c>
      <c r="O273" s="2">
        <v>1.6550925925925926E-3</v>
      </c>
      <c r="P273" s="9">
        <f t="shared" si="54"/>
        <v>445.68333333333334</v>
      </c>
      <c r="Q273" s="3">
        <f t="shared" si="62"/>
        <v>2.3833333333333333</v>
      </c>
      <c r="R273" s="4">
        <f t="shared" si="63"/>
        <v>143</v>
      </c>
      <c r="S273" s="3">
        <f t="shared" si="64"/>
        <v>154</v>
      </c>
      <c r="T273" s="1">
        <v>0.82540000000000002</v>
      </c>
      <c r="U273" s="6">
        <f t="shared" si="55"/>
        <v>154.34980000000002</v>
      </c>
    </row>
    <row r="274" spans="1:21" x14ac:dyDescent="0.35">
      <c r="A274">
        <v>273</v>
      </c>
      <c r="B274" s="5">
        <v>44469</v>
      </c>
      <c r="C274" s="4">
        <f t="shared" si="56"/>
        <v>2021</v>
      </c>
      <c r="D274" s="4">
        <f t="shared" si="57"/>
        <v>9</v>
      </c>
      <c r="E274" s="14">
        <v>44469</v>
      </c>
      <c r="F274" s="4">
        <f t="shared" si="58"/>
        <v>30</v>
      </c>
      <c r="G274">
        <v>205</v>
      </c>
      <c r="H274">
        <v>197</v>
      </c>
      <c r="I274" s="13">
        <f t="shared" si="59"/>
        <v>0.96</v>
      </c>
      <c r="J274">
        <f t="shared" si="52"/>
        <v>8</v>
      </c>
      <c r="K274" s="2">
        <v>2.4305555555555555E-4</v>
      </c>
      <c r="L274" s="11">
        <f t="shared" si="53"/>
        <v>68.949999999999989</v>
      </c>
      <c r="M274" s="3">
        <f t="shared" si="60"/>
        <v>0.35</v>
      </c>
      <c r="N274" s="4">
        <f t="shared" si="61"/>
        <v>21</v>
      </c>
      <c r="O274" s="2">
        <v>1.7013888888888888E-3</v>
      </c>
      <c r="P274" s="9">
        <f t="shared" si="54"/>
        <v>482.65000000000003</v>
      </c>
      <c r="Q274" s="3">
        <f t="shared" si="62"/>
        <v>2.4500000000000002</v>
      </c>
      <c r="R274" s="4">
        <f t="shared" si="63"/>
        <v>147</v>
      </c>
      <c r="S274" s="3">
        <f t="shared" si="64"/>
        <v>146</v>
      </c>
      <c r="T274" s="1">
        <v>0.74380000000000002</v>
      </c>
      <c r="U274" s="6">
        <f t="shared" si="55"/>
        <v>146.52860000000001</v>
      </c>
    </row>
    <row r="275" spans="1:21" x14ac:dyDescent="0.35">
      <c r="A275">
        <v>274</v>
      </c>
      <c r="B275" s="5">
        <v>44470</v>
      </c>
      <c r="C275" s="4">
        <f t="shared" si="56"/>
        <v>2021</v>
      </c>
      <c r="D275" s="4">
        <f t="shared" si="57"/>
        <v>10</v>
      </c>
      <c r="E275" s="14">
        <v>44470</v>
      </c>
      <c r="F275" s="4">
        <f t="shared" si="58"/>
        <v>1</v>
      </c>
      <c r="G275">
        <v>198</v>
      </c>
      <c r="H275">
        <v>196</v>
      </c>
      <c r="I275" s="13">
        <f t="shared" si="59"/>
        <v>0.98</v>
      </c>
      <c r="J275">
        <f t="shared" si="52"/>
        <v>2</v>
      </c>
      <c r="K275" s="2">
        <v>2.6620370370370372E-4</v>
      </c>
      <c r="L275" s="11">
        <f t="shared" si="53"/>
        <v>75.13333333333334</v>
      </c>
      <c r="M275" s="3">
        <f t="shared" si="60"/>
        <v>0.38333333333333336</v>
      </c>
      <c r="N275" s="4">
        <f t="shared" si="61"/>
        <v>23</v>
      </c>
      <c r="O275" s="2">
        <v>1.712962962962963E-3</v>
      </c>
      <c r="P275" s="9">
        <f t="shared" si="54"/>
        <v>483.4666666666667</v>
      </c>
      <c r="Q275" s="3">
        <f t="shared" si="62"/>
        <v>2.4666666666666668</v>
      </c>
      <c r="R275" s="4">
        <f t="shared" si="63"/>
        <v>148</v>
      </c>
      <c r="S275" s="3">
        <f t="shared" si="64"/>
        <v>144</v>
      </c>
      <c r="T275" s="1">
        <v>0.73599999999999999</v>
      </c>
      <c r="U275" s="6">
        <f t="shared" si="55"/>
        <v>144.256</v>
      </c>
    </row>
    <row r="276" spans="1:21" x14ac:dyDescent="0.35">
      <c r="A276">
        <v>275</v>
      </c>
      <c r="B276" s="5">
        <v>44471</v>
      </c>
      <c r="C276" s="4">
        <f t="shared" si="56"/>
        <v>2021</v>
      </c>
      <c r="D276" s="4">
        <f t="shared" si="57"/>
        <v>10</v>
      </c>
      <c r="E276" s="14">
        <v>44471</v>
      </c>
      <c r="F276" s="4">
        <f t="shared" si="58"/>
        <v>2</v>
      </c>
      <c r="G276">
        <v>184</v>
      </c>
      <c r="H276">
        <v>177</v>
      </c>
      <c r="I276" s="13">
        <f t="shared" si="59"/>
        <v>0.96</v>
      </c>
      <c r="J276">
        <f t="shared" si="52"/>
        <v>7</v>
      </c>
      <c r="K276" s="2">
        <v>2.3148148148148149E-4</v>
      </c>
      <c r="L276" s="11">
        <f t="shared" si="53"/>
        <v>59</v>
      </c>
      <c r="M276" s="3">
        <f t="shared" si="60"/>
        <v>0.33333333333333331</v>
      </c>
      <c r="N276" s="4">
        <f t="shared" si="61"/>
        <v>20</v>
      </c>
      <c r="O276" s="2">
        <v>1.8634259259259259E-3</v>
      </c>
      <c r="P276" s="9">
        <f t="shared" si="54"/>
        <v>474.95000000000005</v>
      </c>
      <c r="Q276" s="3">
        <f t="shared" si="62"/>
        <v>2.6833333333333336</v>
      </c>
      <c r="R276" s="4">
        <f t="shared" si="63"/>
        <v>161</v>
      </c>
      <c r="S276" s="3">
        <f t="shared" si="64"/>
        <v>139</v>
      </c>
      <c r="T276" s="1">
        <v>0.78569999999999995</v>
      </c>
      <c r="U276" s="6">
        <f t="shared" si="55"/>
        <v>139.06889999999999</v>
      </c>
    </row>
    <row r="277" spans="1:21" x14ac:dyDescent="0.35">
      <c r="A277">
        <v>276</v>
      </c>
      <c r="B277" s="5">
        <v>44472</v>
      </c>
      <c r="C277" s="4">
        <f t="shared" si="56"/>
        <v>2021</v>
      </c>
      <c r="D277" s="4">
        <f t="shared" si="57"/>
        <v>10</v>
      </c>
      <c r="E277" s="14">
        <v>44472</v>
      </c>
      <c r="F277" s="4">
        <f t="shared" si="58"/>
        <v>3</v>
      </c>
      <c r="G277">
        <v>184</v>
      </c>
      <c r="H277">
        <v>174</v>
      </c>
      <c r="I277" s="13">
        <f t="shared" si="59"/>
        <v>0.94</v>
      </c>
      <c r="J277">
        <f t="shared" si="52"/>
        <v>10</v>
      </c>
      <c r="K277" s="2">
        <v>2.8935185185185184E-4</v>
      </c>
      <c r="L277" s="11">
        <f t="shared" si="53"/>
        <v>72.5</v>
      </c>
      <c r="M277" s="3">
        <f t="shared" si="60"/>
        <v>0.41666666666666669</v>
      </c>
      <c r="N277" s="4">
        <f t="shared" si="61"/>
        <v>25</v>
      </c>
      <c r="O277" s="2">
        <v>1.7013888888888888E-3</v>
      </c>
      <c r="P277" s="9">
        <f t="shared" si="54"/>
        <v>426.3</v>
      </c>
      <c r="Q277" s="3">
        <f t="shared" si="62"/>
        <v>2.4500000000000002</v>
      </c>
      <c r="R277" s="4">
        <f t="shared" si="63"/>
        <v>147</v>
      </c>
      <c r="S277" s="3">
        <f t="shared" si="64"/>
        <v>121</v>
      </c>
      <c r="T277" s="1">
        <v>0.7</v>
      </c>
      <c r="U277" s="6">
        <f t="shared" si="55"/>
        <v>121.8</v>
      </c>
    </row>
    <row r="278" spans="1:21" x14ac:dyDescent="0.35">
      <c r="A278">
        <v>277</v>
      </c>
      <c r="B278" s="5">
        <v>44473</v>
      </c>
      <c r="C278" s="4">
        <f t="shared" si="56"/>
        <v>2021</v>
      </c>
      <c r="D278" s="4">
        <f t="shared" si="57"/>
        <v>10</v>
      </c>
      <c r="E278" s="14">
        <v>44473</v>
      </c>
      <c r="F278" s="4">
        <f t="shared" si="58"/>
        <v>4</v>
      </c>
      <c r="G278">
        <v>168</v>
      </c>
      <c r="H278">
        <v>160</v>
      </c>
      <c r="I278" s="13">
        <f t="shared" si="59"/>
        <v>0.95</v>
      </c>
      <c r="J278">
        <f t="shared" si="52"/>
        <v>8</v>
      </c>
      <c r="K278" s="2">
        <v>3.0092592592592595E-4</v>
      </c>
      <c r="L278" s="11">
        <f t="shared" si="53"/>
        <v>69.333333333333343</v>
      </c>
      <c r="M278" s="3">
        <f t="shared" si="60"/>
        <v>0.43333333333333335</v>
      </c>
      <c r="N278" s="4">
        <f t="shared" si="61"/>
        <v>26</v>
      </c>
      <c r="O278" s="2">
        <v>1.6782407407407408E-3</v>
      </c>
      <c r="P278" s="9">
        <f t="shared" si="54"/>
        <v>386.66666666666663</v>
      </c>
      <c r="Q278" s="3">
        <f t="shared" si="62"/>
        <v>2.4166666666666665</v>
      </c>
      <c r="R278" s="4">
        <f t="shared" si="63"/>
        <v>145</v>
      </c>
      <c r="S278" s="3">
        <f t="shared" si="64"/>
        <v>109</v>
      </c>
      <c r="T278" s="1">
        <v>0.68259999999999998</v>
      </c>
      <c r="U278" s="6">
        <f t="shared" si="55"/>
        <v>109.21599999999999</v>
      </c>
    </row>
    <row r="279" spans="1:21" x14ac:dyDescent="0.35">
      <c r="A279">
        <v>278</v>
      </c>
      <c r="B279" s="5">
        <v>44474</v>
      </c>
      <c r="C279" s="4">
        <f t="shared" si="56"/>
        <v>2021</v>
      </c>
      <c r="D279" s="4">
        <f t="shared" si="57"/>
        <v>10</v>
      </c>
      <c r="E279" s="14">
        <v>44474</v>
      </c>
      <c r="F279" s="4">
        <f t="shared" si="58"/>
        <v>5</v>
      </c>
      <c r="G279">
        <v>39</v>
      </c>
      <c r="H279">
        <v>37</v>
      </c>
      <c r="I279" s="13">
        <f t="shared" si="59"/>
        <v>0.94</v>
      </c>
      <c r="J279">
        <f t="shared" si="52"/>
        <v>2</v>
      </c>
      <c r="K279" s="2">
        <v>1.6203703703703703E-4</v>
      </c>
      <c r="L279" s="11">
        <f t="shared" si="53"/>
        <v>8.6333333333333329</v>
      </c>
      <c r="M279" s="3">
        <f t="shared" si="60"/>
        <v>0.23333333333333334</v>
      </c>
      <c r="N279" s="4">
        <f t="shared" si="61"/>
        <v>14</v>
      </c>
      <c r="O279" s="2">
        <v>1.4814814814814814E-3</v>
      </c>
      <c r="P279" s="9">
        <f t="shared" si="54"/>
        <v>78.933333333333337</v>
      </c>
      <c r="Q279" s="3">
        <f t="shared" si="62"/>
        <v>2.1333333333333333</v>
      </c>
      <c r="R279" s="4">
        <f t="shared" si="63"/>
        <v>128</v>
      </c>
      <c r="S279" s="3">
        <f t="shared" si="64"/>
        <v>29</v>
      </c>
      <c r="T279" s="1">
        <v>0.81079999999999997</v>
      </c>
      <c r="U279" s="6">
        <f t="shared" si="55"/>
        <v>29.999599999999997</v>
      </c>
    </row>
    <row r="280" spans="1:21" x14ac:dyDescent="0.35">
      <c r="A280">
        <v>279</v>
      </c>
      <c r="B280" s="5">
        <v>44475</v>
      </c>
      <c r="C280" s="4">
        <f t="shared" si="56"/>
        <v>2021</v>
      </c>
      <c r="D280" s="4">
        <f t="shared" si="57"/>
        <v>10</v>
      </c>
      <c r="E280" s="14">
        <v>44475</v>
      </c>
      <c r="F280" s="4">
        <f t="shared" si="58"/>
        <v>6</v>
      </c>
      <c r="G280">
        <v>225</v>
      </c>
      <c r="H280">
        <v>210</v>
      </c>
      <c r="I280" s="13">
        <f t="shared" si="59"/>
        <v>0.93</v>
      </c>
      <c r="J280">
        <f t="shared" si="52"/>
        <v>15</v>
      </c>
      <c r="K280" s="2">
        <v>3.2407407407407406E-4</v>
      </c>
      <c r="L280" s="11">
        <f t="shared" si="53"/>
        <v>98</v>
      </c>
      <c r="M280" s="3">
        <f t="shared" si="60"/>
        <v>0.46666666666666667</v>
      </c>
      <c r="N280" s="4">
        <f t="shared" si="61"/>
        <v>28</v>
      </c>
      <c r="O280" s="2">
        <v>1.5393518518518519E-3</v>
      </c>
      <c r="P280" s="9">
        <f t="shared" si="54"/>
        <v>465.5</v>
      </c>
      <c r="Q280" s="3">
        <f t="shared" si="62"/>
        <v>2.2166666666666668</v>
      </c>
      <c r="R280" s="4">
        <f t="shared" si="63"/>
        <v>133</v>
      </c>
      <c r="S280" s="3">
        <f t="shared" si="64"/>
        <v>140</v>
      </c>
      <c r="T280" s="1">
        <v>0.66969999999999996</v>
      </c>
      <c r="U280" s="6">
        <f t="shared" si="55"/>
        <v>140.637</v>
      </c>
    </row>
    <row r="281" spans="1:21" x14ac:dyDescent="0.35">
      <c r="A281">
        <v>280</v>
      </c>
      <c r="B281" s="5">
        <v>44476</v>
      </c>
      <c r="C281" s="4">
        <f t="shared" si="56"/>
        <v>2021</v>
      </c>
      <c r="D281" s="4">
        <f t="shared" si="57"/>
        <v>10</v>
      </c>
      <c r="E281" s="14">
        <v>44476</v>
      </c>
      <c r="F281" s="4">
        <f t="shared" si="58"/>
        <v>7</v>
      </c>
      <c r="G281">
        <v>182</v>
      </c>
      <c r="H281">
        <v>174</v>
      </c>
      <c r="I281" s="13">
        <f t="shared" si="59"/>
        <v>0.95</v>
      </c>
      <c r="J281">
        <f t="shared" si="52"/>
        <v>8</v>
      </c>
      <c r="K281" s="2">
        <v>3.7037037037037035E-4</v>
      </c>
      <c r="L281" s="11">
        <f t="shared" si="53"/>
        <v>92.8</v>
      </c>
      <c r="M281" s="3">
        <f t="shared" si="60"/>
        <v>0.53333333333333333</v>
      </c>
      <c r="N281" s="4">
        <f t="shared" si="61"/>
        <v>32</v>
      </c>
      <c r="O281" s="2">
        <v>1.5740740740740741E-3</v>
      </c>
      <c r="P281" s="9">
        <f t="shared" si="54"/>
        <v>394.4</v>
      </c>
      <c r="Q281" s="3">
        <f t="shared" si="62"/>
        <v>2.2666666666666666</v>
      </c>
      <c r="R281" s="4">
        <f t="shared" si="63"/>
        <v>136</v>
      </c>
      <c r="S281" s="3">
        <f t="shared" si="64"/>
        <v>104</v>
      </c>
      <c r="T281" s="1">
        <v>0.60219999999999996</v>
      </c>
      <c r="U281" s="6">
        <f t="shared" si="55"/>
        <v>104.78279999999999</v>
      </c>
    </row>
    <row r="282" spans="1:21" x14ac:dyDescent="0.35">
      <c r="A282">
        <v>281</v>
      </c>
      <c r="B282" s="5">
        <v>44477</v>
      </c>
      <c r="C282" s="4">
        <f t="shared" si="56"/>
        <v>2021</v>
      </c>
      <c r="D282" s="4">
        <f t="shared" si="57"/>
        <v>10</v>
      </c>
      <c r="E282" s="14">
        <v>44477</v>
      </c>
      <c r="F282" s="4">
        <f t="shared" si="58"/>
        <v>8</v>
      </c>
      <c r="G282">
        <v>346</v>
      </c>
      <c r="H282">
        <v>305</v>
      </c>
      <c r="I282" s="13">
        <f t="shared" si="59"/>
        <v>0.88</v>
      </c>
      <c r="J282">
        <f t="shared" si="52"/>
        <v>41</v>
      </c>
      <c r="K282" s="2">
        <v>5.2083333333333333E-4</v>
      </c>
      <c r="L282" s="11">
        <f t="shared" si="53"/>
        <v>228.75</v>
      </c>
      <c r="M282" s="3">
        <f t="shared" si="60"/>
        <v>0.75</v>
      </c>
      <c r="N282" s="4">
        <f t="shared" si="61"/>
        <v>45</v>
      </c>
      <c r="O282" s="2">
        <v>1.3541666666666667E-3</v>
      </c>
      <c r="P282" s="9">
        <f t="shared" si="54"/>
        <v>594.75</v>
      </c>
      <c r="Q282" s="3">
        <f t="shared" si="62"/>
        <v>1.95</v>
      </c>
      <c r="R282" s="4">
        <f t="shared" si="63"/>
        <v>117</v>
      </c>
      <c r="S282" s="3">
        <f t="shared" si="64"/>
        <v>137</v>
      </c>
      <c r="T282" s="1">
        <v>0.45029999999999998</v>
      </c>
      <c r="U282" s="6">
        <f t="shared" si="55"/>
        <v>137.3415</v>
      </c>
    </row>
    <row r="283" spans="1:21" x14ac:dyDescent="0.35">
      <c r="A283">
        <v>282</v>
      </c>
      <c r="B283" s="5">
        <v>44478</v>
      </c>
      <c r="C283" s="4">
        <f t="shared" si="56"/>
        <v>2021</v>
      </c>
      <c r="D283" s="4">
        <f t="shared" si="57"/>
        <v>10</v>
      </c>
      <c r="E283" s="14">
        <v>44478</v>
      </c>
      <c r="F283" s="4">
        <f t="shared" si="58"/>
        <v>9</v>
      </c>
      <c r="G283">
        <v>450</v>
      </c>
      <c r="H283">
        <v>441</v>
      </c>
      <c r="I283" s="13">
        <f t="shared" si="59"/>
        <v>0.98</v>
      </c>
      <c r="J283">
        <f t="shared" si="52"/>
        <v>9</v>
      </c>
      <c r="K283" s="2">
        <v>2.199074074074074E-4</v>
      </c>
      <c r="L283" s="11">
        <f t="shared" si="53"/>
        <v>139.65</v>
      </c>
      <c r="M283" s="3">
        <f t="shared" si="60"/>
        <v>0.31666666666666665</v>
      </c>
      <c r="N283" s="4">
        <f t="shared" si="61"/>
        <v>19</v>
      </c>
      <c r="O283" s="2">
        <v>1.3078703703703703E-3</v>
      </c>
      <c r="P283" s="9">
        <f t="shared" si="54"/>
        <v>830.55</v>
      </c>
      <c r="Q283" s="3">
        <f t="shared" si="62"/>
        <v>1.8833333333333333</v>
      </c>
      <c r="R283" s="4">
        <f t="shared" si="63"/>
        <v>113</v>
      </c>
      <c r="S283" s="3">
        <f t="shared" si="64"/>
        <v>345</v>
      </c>
      <c r="T283" s="1">
        <v>0.78300000000000003</v>
      </c>
      <c r="U283" s="6">
        <f t="shared" si="55"/>
        <v>345.303</v>
      </c>
    </row>
    <row r="284" spans="1:21" x14ac:dyDescent="0.35">
      <c r="A284">
        <v>283</v>
      </c>
      <c r="B284" s="5">
        <v>44479</v>
      </c>
      <c r="C284" s="4">
        <f t="shared" si="56"/>
        <v>2021</v>
      </c>
      <c r="D284" s="4">
        <f t="shared" si="57"/>
        <v>10</v>
      </c>
      <c r="E284" s="14">
        <v>44479</v>
      </c>
      <c r="F284" s="4">
        <f t="shared" si="58"/>
        <v>10</v>
      </c>
      <c r="G284">
        <v>259</v>
      </c>
      <c r="H284">
        <v>248</v>
      </c>
      <c r="I284" s="13">
        <f t="shared" si="59"/>
        <v>0.95</v>
      </c>
      <c r="J284">
        <f t="shared" si="52"/>
        <v>11</v>
      </c>
      <c r="K284" s="2">
        <v>2.3148148148148149E-4</v>
      </c>
      <c r="L284" s="11">
        <f t="shared" si="53"/>
        <v>82.666666666666657</v>
      </c>
      <c r="M284" s="3">
        <f t="shared" si="60"/>
        <v>0.33333333333333331</v>
      </c>
      <c r="N284" s="4">
        <f t="shared" si="61"/>
        <v>20</v>
      </c>
      <c r="O284" s="2">
        <v>1.4583333333333334E-3</v>
      </c>
      <c r="P284" s="9">
        <f t="shared" si="54"/>
        <v>520.80000000000007</v>
      </c>
      <c r="Q284" s="3">
        <f t="shared" si="62"/>
        <v>2.1</v>
      </c>
      <c r="R284" s="4">
        <f t="shared" si="63"/>
        <v>126</v>
      </c>
      <c r="S284" s="3">
        <f t="shared" si="64"/>
        <v>186</v>
      </c>
      <c r="T284" s="1">
        <v>0.75390000000000001</v>
      </c>
      <c r="U284" s="6">
        <f t="shared" si="55"/>
        <v>186.96719999999999</v>
      </c>
    </row>
    <row r="285" spans="1:21" x14ac:dyDescent="0.35">
      <c r="A285">
        <v>284</v>
      </c>
      <c r="B285" s="5">
        <v>44480</v>
      </c>
      <c r="C285" s="4">
        <f t="shared" si="56"/>
        <v>2021</v>
      </c>
      <c r="D285" s="4">
        <f t="shared" si="57"/>
        <v>10</v>
      </c>
      <c r="E285" s="14">
        <v>44480</v>
      </c>
      <c r="F285" s="4">
        <f t="shared" si="58"/>
        <v>11</v>
      </c>
      <c r="G285">
        <v>231</v>
      </c>
      <c r="H285">
        <v>214</v>
      </c>
      <c r="I285" s="13">
        <f t="shared" si="59"/>
        <v>0.92</v>
      </c>
      <c r="J285">
        <f t="shared" si="52"/>
        <v>17</v>
      </c>
      <c r="K285" s="2">
        <v>2.0833333333333335E-4</v>
      </c>
      <c r="L285" s="11">
        <f t="shared" si="53"/>
        <v>64.2</v>
      </c>
      <c r="M285" s="3">
        <f t="shared" si="60"/>
        <v>0.3</v>
      </c>
      <c r="N285" s="4">
        <f t="shared" si="61"/>
        <v>18</v>
      </c>
      <c r="O285" s="2">
        <v>1.4583333333333334E-3</v>
      </c>
      <c r="P285" s="9">
        <f t="shared" si="54"/>
        <v>449.40000000000003</v>
      </c>
      <c r="Q285" s="3">
        <f t="shared" si="62"/>
        <v>2.1</v>
      </c>
      <c r="R285" s="4">
        <f t="shared" si="63"/>
        <v>126</v>
      </c>
      <c r="S285" s="3">
        <f t="shared" si="64"/>
        <v>170</v>
      </c>
      <c r="T285" s="1">
        <v>0.79559999999999997</v>
      </c>
      <c r="U285" s="6">
        <f t="shared" si="55"/>
        <v>170.25839999999999</v>
      </c>
    </row>
    <row r="286" spans="1:21" x14ac:dyDescent="0.35">
      <c r="A286">
        <v>285</v>
      </c>
      <c r="B286" s="5">
        <v>44481</v>
      </c>
      <c r="C286" s="4">
        <f t="shared" si="56"/>
        <v>2021</v>
      </c>
      <c r="D286" s="4">
        <f t="shared" si="57"/>
        <v>10</v>
      </c>
      <c r="E286" s="14">
        <v>44481</v>
      </c>
      <c r="F286" s="4">
        <f t="shared" si="58"/>
        <v>12</v>
      </c>
      <c r="G286">
        <v>48</v>
      </c>
      <c r="H286">
        <v>47</v>
      </c>
      <c r="I286" s="13">
        <f t="shared" si="59"/>
        <v>0.97</v>
      </c>
      <c r="J286">
        <f t="shared" si="52"/>
        <v>1</v>
      </c>
      <c r="K286" s="2">
        <v>1.5046296296296297E-4</v>
      </c>
      <c r="L286" s="11">
        <f t="shared" si="53"/>
        <v>10.183333333333334</v>
      </c>
      <c r="M286" s="3">
        <f t="shared" si="60"/>
        <v>0.21666666666666667</v>
      </c>
      <c r="N286" s="4">
        <f t="shared" si="61"/>
        <v>13</v>
      </c>
      <c r="O286" s="2">
        <v>1.4236111111111112E-3</v>
      </c>
      <c r="P286" s="9">
        <f t="shared" si="54"/>
        <v>96.35</v>
      </c>
      <c r="Q286" s="3">
        <f t="shared" si="62"/>
        <v>2.0499999999999998</v>
      </c>
      <c r="R286" s="4">
        <f t="shared" si="63"/>
        <v>122.99999999999999</v>
      </c>
      <c r="S286" s="3">
        <f t="shared" si="64"/>
        <v>42</v>
      </c>
      <c r="T286" s="1">
        <v>0.89580000000000004</v>
      </c>
      <c r="U286" s="6">
        <f t="shared" si="55"/>
        <v>42.102600000000002</v>
      </c>
    </row>
    <row r="287" spans="1:21" x14ac:dyDescent="0.35">
      <c r="A287">
        <v>286</v>
      </c>
      <c r="B287" s="5">
        <v>44482</v>
      </c>
      <c r="C287" s="4">
        <f t="shared" si="56"/>
        <v>2021</v>
      </c>
      <c r="D287" s="4">
        <f t="shared" si="57"/>
        <v>10</v>
      </c>
      <c r="E287" s="14">
        <v>44482</v>
      </c>
      <c r="F287" s="4">
        <f t="shared" si="58"/>
        <v>13</v>
      </c>
      <c r="G287">
        <v>246</v>
      </c>
      <c r="H287">
        <v>236</v>
      </c>
      <c r="I287" s="13">
        <f t="shared" si="59"/>
        <v>0.95</v>
      </c>
      <c r="J287">
        <f t="shared" si="52"/>
        <v>10</v>
      </c>
      <c r="K287" s="2">
        <v>2.3148148148148149E-4</v>
      </c>
      <c r="L287" s="11">
        <f t="shared" si="53"/>
        <v>78.666666666666657</v>
      </c>
      <c r="M287" s="3">
        <f t="shared" si="60"/>
        <v>0.33333333333333331</v>
      </c>
      <c r="N287" s="4">
        <f t="shared" si="61"/>
        <v>20</v>
      </c>
      <c r="O287" s="2">
        <v>1.5162037037037036E-3</v>
      </c>
      <c r="P287" s="9">
        <f t="shared" si="54"/>
        <v>515.26666666666665</v>
      </c>
      <c r="Q287" s="3">
        <f t="shared" si="62"/>
        <v>2.1833333333333331</v>
      </c>
      <c r="R287" s="4">
        <f t="shared" si="63"/>
        <v>131</v>
      </c>
      <c r="S287" s="3">
        <f t="shared" si="64"/>
        <v>186</v>
      </c>
      <c r="T287" s="1">
        <v>0.79179999999999995</v>
      </c>
      <c r="U287" s="6">
        <f t="shared" si="55"/>
        <v>186.86479999999997</v>
      </c>
    </row>
    <row r="288" spans="1:21" x14ac:dyDescent="0.35">
      <c r="A288">
        <v>287</v>
      </c>
      <c r="B288" s="5">
        <v>44483</v>
      </c>
      <c r="C288" s="4">
        <f t="shared" si="56"/>
        <v>2021</v>
      </c>
      <c r="D288" s="4">
        <f t="shared" si="57"/>
        <v>10</v>
      </c>
      <c r="E288" s="14">
        <v>44483</v>
      </c>
      <c r="F288" s="4">
        <f t="shared" si="58"/>
        <v>14</v>
      </c>
      <c r="G288">
        <v>202</v>
      </c>
      <c r="H288">
        <v>195</v>
      </c>
      <c r="I288" s="13">
        <f t="shared" si="59"/>
        <v>0.96</v>
      </c>
      <c r="J288">
        <f t="shared" si="52"/>
        <v>7</v>
      </c>
      <c r="K288" s="2">
        <v>2.8935185185185184E-4</v>
      </c>
      <c r="L288" s="11">
        <f t="shared" si="53"/>
        <v>81.25</v>
      </c>
      <c r="M288" s="3">
        <f t="shared" si="60"/>
        <v>0.41666666666666669</v>
      </c>
      <c r="N288" s="4">
        <f t="shared" si="61"/>
        <v>25</v>
      </c>
      <c r="O288" s="2">
        <v>1.5625000000000001E-3</v>
      </c>
      <c r="P288" s="9">
        <f t="shared" si="54"/>
        <v>438.75</v>
      </c>
      <c r="Q288" s="3">
        <f t="shared" si="62"/>
        <v>2.25</v>
      </c>
      <c r="R288" s="4">
        <f t="shared" si="63"/>
        <v>135</v>
      </c>
      <c r="S288" s="3">
        <f t="shared" si="64"/>
        <v>145</v>
      </c>
      <c r="T288" s="1">
        <v>0.745</v>
      </c>
      <c r="U288" s="6">
        <f t="shared" si="55"/>
        <v>145.27500000000001</v>
      </c>
    </row>
    <row r="289" spans="1:21" x14ac:dyDescent="0.35">
      <c r="A289">
        <v>288</v>
      </c>
      <c r="B289" s="5">
        <v>44484</v>
      </c>
      <c r="C289" s="4">
        <f t="shared" si="56"/>
        <v>2021</v>
      </c>
      <c r="D289" s="4">
        <f t="shared" si="57"/>
        <v>10</v>
      </c>
      <c r="E289" s="14">
        <v>44484</v>
      </c>
      <c r="F289" s="4">
        <f t="shared" si="58"/>
        <v>15</v>
      </c>
      <c r="G289">
        <v>153</v>
      </c>
      <c r="H289">
        <v>150</v>
      </c>
      <c r="I289" s="13">
        <f t="shared" si="59"/>
        <v>0.98</v>
      </c>
      <c r="J289">
        <f t="shared" si="52"/>
        <v>3</v>
      </c>
      <c r="K289" s="2">
        <v>1.7361111111111112E-4</v>
      </c>
      <c r="L289" s="11">
        <f t="shared" si="53"/>
        <v>37.5</v>
      </c>
      <c r="M289" s="3">
        <f t="shared" si="60"/>
        <v>0.25</v>
      </c>
      <c r="N289" s="4">
        <f t="shared" si="61"/>
        <v>15</v>
      </c>
      <c r="O289" s="2">
        <v>1.5625000000000001E-3</v>
      </c>
      <c r="P289" s="9">
        <f t="shared" si="54"/>
        <v>337.5</v>
      </c>
      <c r="Q289" s="3">
        <f t="shared" si="62"/>
        <v>2.25</v>
      </c>
      <c r="R289" s="4">
        <f t="shared" si="63"/>
        <v>135</v>
      </c>
      <c r="S289" s="3">
        <f t="shared" si="64"/>
        <v>123</v>
      </c>
      <c r="T289" s="1">
        <v>0.82240000000000002</v>
      </c>
      <c r="U289" s="6">
        <f t="shared" si="55"/>
        <v>123.36</v>
      </c>
    </row>
    <row r="290" spans="1:21" x14ac:dyDescent="0.35">
      <c r="A290">
        <v>289</v>
      </c>
      <c r="B290" s="5">
        <v>44485</v>
      </c>
      <c r="C290" s="4">
        <f t="shared" si="56"/>
        <v>2021</v>
      </c>
      <c r="D290" s="4">
        <f t="shared" si="57"/>
        <v>10</v>
      </c>
      <c r="E290" s="14">
        <v>44485</v>
      </c>
      <c r="F290" s="4">
        <f t="shared" si="58"/>
        <v>16</v>
      </c>
      <c r="G290">
        <v>178</v>
      </c>
      <c r="H290">
        <v>172</v>
      </c>
      <c r="I290" s="13">
        <f t="shared" si="59"/>
        <v>0.96</v>
      </c>
      <c r="J290">
        <f t="shared" si="52"/>
        <v>6</v>
      </c>
      <c r="K290" s="2">
        <v>2.199074074074074E-4</v>
      </c>
      <c r="L290" s="11">
        <f t="shared" si="53"/>
        <v>54.466666666666661</v>
      </c>
      <c r="M290" s="3">
        <f t="shared" si="60"/>
        <v>0.31666666666666665</v>
      </c>
      <c r="N290" s="4">
        <f t="shared" si="61"/>
        <v>19</v>
      </c>
      <c r="O290" s="2">
        <v>1.5625000000000001E-3</v>
      </c>
      <c r="P290" s="9">
        <f t="shared" si="54"/>
        <v>387</v>
      </c>
      <c r="Q290" s="3">
        <f t="shared" si="62"/>
        <v>2.25</v>
      </c>
      <c r="R290" s="4">
        <f t="shared" si="63"/>
        <v>135</v>
      </c>
      <c r="S290" s="3">
        <f t="shared" si="64"/>
        <v>134</v>
      </c>
      <c r="T290" s="1">
        <v>0.78290000000000004</v>
      </c>
      <c r="U290" s="6">
        <f t="shared" si="55"/>
        <v>134.65880000000001</v>
      </c>
    </row>
    <row r="291" spans="1:21" x14ac:dyDescent="0.35">
      <c r="A291">
        <v>290</v>
      </c>
      <c r="B291" s="5">
        <v>44486</v>
      </c>
      <c r="C291" s="4">
        <f t="shared" si="56"/>
        <v>2021</v>
      </c>
      <c r="D291" s="4">
        <f t="shared" si="57"/>
        <v>10</v>
      </c>
      <c r="E291" s="14">
        <v>44486</v>
      </c>
      <c r="F291" s="4">
        <f t="shared" si="58"/>
        <v>17</v>
      </c>
      <c r="G291">
        <v>172</v>
      </c>
      <c r="H291">
        <v>165</v>
      </c>
      <c r="I291" s="13">
        <f t="shared" si="59"/>
        <v>0.95</v>
      </c>
      <c r="J291">
        <f t="shared" si="52"/>
        <v>7</v>
      </c>
      <c r="K291" s="2">
        <v>2.199074074074074E-4</v>
      </c>
      <c r="L291" s="11">
        <f t="shared" si="53"/>
        <v>52.25</v>
      </c>
      <c r="M291" s="3">
        <f t="shared" si="60"/>
        <v>0.31666666666666665</v>
      </c>
      <c r="N291" s="4">
        <f t="shared" si="61"/>
        <v>19</v>
      </c>
      <c r="O291" s="2">
        <v>1.6666666666666668E-3</v>
      </c>
      <c r="P291" s="9">
        <f t="shared" si="54"/>
        <v>396</v>
      </c>
      <c r="Q291" s="3">
        <f t="shared" si="62"/>
        <v>2.4</v>
      </c>
      <c r="R291" s="4">
        <f t="shared" si="63"/>
        <v>144</v>
      </c>
      <c r="S291" s="3">
        <f t="shared" si="64"/>
        <v>130</v>
      </c>
      <c r="T291" s="1">
        <v>0.79290000000000005</v>
      </c>
      <c r="U291" s="6">
        <f t="shared" si="55"/>
        <v>130.82850000000002</v>
      </c>
    </row>
    <row r="292" spans="1:21" x14ac:dyDescent="0.35">
      <c r="A292">
        <v>291</v>
      </c>
      <c r="B292" s="5">
        <v>44487</v>
      </c>
      <c r="C292" s="4">
        <f t="shared" si="56"/>
        <v>2021</v>
      </c>
      <c r="D292" s="4">
        <f t="shared" si="57"/>
        <v>10</v>
      </c>
      <c r="E292" s="14">
        <v>44487</v>
      </c>
      <c r="F292" s="4">
        <f t="shared" si="58"/>
        <v>18</v>
      </c>
      <c r="G292">
        <v>208</v>
      </c>
      <c r="H292">
        <v>200</v>
      </c>
      <c r="I292" s="13">
        <f t="shared" si="59"/>
        <v>0.96</v>
      </c>
      <c r="J292">
        <f t="shared" si="52"/>
        <v>8</v>
      </c>
      <c r="K292" s="2">
        <v>3.0092592592592595E-4</v>
      </c>
      <c r="L292" s="11">
        <f t="shared" si="53"/>
        <v>86.666666666666671</v>
      </c>
      <c r="M292" s="3">
        <f t="shared" si="60"/>
        <v>0.43333333333333335</v>
      </c>
      <c r="N292" s="4">
        <f t="shared" si="61"/>
        <v>26</v>
      </c>
      <c r="O292" s="2">
        <v>1.6550925925925926E-3</v>
      </c>
      <c r="P292" s="9">
        <f t="shared" si="54"/>
        <v>476.66666666666669</v>
      </c>
      <c r="Q292" s="3">
        <f t="shared" si="62"/>
        <v>2.3833333333333333</v>
      </c>
      <c r="R292" s="4">
        <f t="shared" si="63"/>
        <v>143</v>
      </c>
      <c r="S292" s="3">
        <f t="shared" si="64"/>
        <v>137</v>
      </c>
      <c r="T292" s="1">
        <v>0.68779999999999997</v>
      </c>
      <c r="U292" s="6">
        <f t="shared" si="55"/>
        <v>137.56</v>
      </c>
    </row>
    <row r="293" spans="1:21" x14ac:dyDescent="0.35">
      <c r="A293">
        <v>292</v>
      </c>
      <c r="B293" s="5">
        <v>44488</v>
      </c>
      <c r="C293" s="4">
        <f t="shared" si="56"/>
        <v>2021</v>
      </c>
      <c r="D293" s="4">
        <f t="shared" si="57"/>
        <v>10</v>
      </c>
      <c r="E293" s="14">
        <v>44488</v>
      </c>
      <c r="F293" s="4">
        <f t="shared" si="58"/>
        <v>19</v>
      </c>
      <c r="G293">
        <v>77</v>
      </c>
      <c r="H293">
        <v>76</v>
      </c>
      <c r="I293" s="13">
        <f t="shared" si="59"/>
        <v>0.98</v>
      </c>
      <c r="J293">
        <f t="shared" si="52"/>
        <v>1</v>
      </c>
      <c r="K293" s="2">
        <v>3.3564814814814812E-4</v>
      </c>
      <c r="L293" s="11">
        <f t="shared" si="53"/>
        <v>36.733333333333334</v>
      </c>
      <c r="M293" s="3">
        <f t="shared" si="60"/>
        <v>0.48333333333333334</v>
      </c>
      <c r="N293" s="4">
        <f t="shared" si="61"/>
        <v>29</v>
      </c>
      <c r="O293" s="2">
        <v>1.5740740740740741E-3</v>
      </c>
      <c r="P293" s="9">
        <f t="shared" si="54"/>
        <v>172.26666666666665</v>
      </c>
      <c r="Q293" s="3">
        <f t="shared" si="62"/>
        <v>2.2666666666666666</v>
      </c>
      <c r="R293" s="4">
        <f t="shared" si="63"/>
        <v>136</v>
      </c>
      <c r="S293" s="3">
        <f t="shared" si="64"/>
        <v>44</v>
      </c>
      <c r="T293" s="1">
        <v>0.58440000000000003</v>
      </c>
      <c r="U293" s="6">
        <f t="shared" si="55"/>
        <v>44.414400000000001</v>
      </c>
    </row>
    <row r="294" spans="1:21" x14ac:dyDescent="0.35">
      <c r="A294">
        <v>293</v>
      </c>
      <c r="B294" s="5">
        <v>44489</v>
      </c>
      <c r="C294" s="4">
        <f t="shared" si="56"/>
        <v>2021</v>
      </c>
      <c r="D294" s="4">
        <f t="shared" si="57"/>
        <v>10</v>
      </c>
      <c r="E294" s="14">
        <v>44489</v>
      </c>
      <c r="F294" s="4">
        <f t="shared" si="58"/>
        <v>20</v>
      </c>
      <c r="G294">
        <v>291</v>
      </c>
      <c r="H294">
        <v>250</v>
      </c>
      <c r="I294" s="13">
        <f t="shared" si="59"/>
        <v>0.85</v>
      </c>
      <c r="J294">
        <f t="shared" si="52"/>
        <v>41</v>
      </c>
      <c r="K294" s="2">
        <v>4.7453703703703704E-4</v>
      </c>
      <c r="L294" s="11">
        <f t="shared" si="53"/>
        <v>170.83333333333334</v>
      </c>
      <c r="M294" s="3">
        <f t="shared" si="60"/>
        <v>0.68333333333333335</v>
      </c>
      <c r="N294" s="4">
        <f t="shared" si="61"/>
        <v>41</v>
      </c>
      <c r="O294" s="2">
        <v>1.6203703703703703E-3</v>
      </c>
      <c r="P294" s="9">
        <f t="shared" si="54"/>
        <v>583.33333333333337</v>
      </c>
      <c r="Q294" s="3">
        <f t="shared" si="62"/>
        <v>2.3333333333333335</v>
      </c>
      <c r="R294" s="4">
        <f t="shared" si="63"/>
        <v>140</v>
      </c>
      <c r="S294" s="3">
        <f t="shared" si="64"/>
        <v>138</v>
      </c>
      <c r="T294" s="1">
        <v>0.5544</v>
      </c>
      <c r="U294" s="6">
        <f t="shared" si="55"/>
        <v>138.6</v>
      </c>
    </row>
    <row r="295" spans="1:21" x14ac:dyDescent="0.35">
      <c r="A295">
        <v>294</v>
      </c>
      <c r="B295" s="5">
        <v>44490</v>
      </c>
      <c r="C295" s="4">
        <f t="shared" si="56"/>
        <v>2021</v>
      </c>
      <c r="D295" s="4">
        <f t="shared" si="57"/>
        <v>10</v>
      </c>
      <c r="E295" s="14">
        <v>44490</v>
      </c>
      <c r="F295" s="4">
        <f t="shared" si="58"/>
        <v>21</v>
      </c>
      <c r="G295">
        <v>219</v>
      </c>
      <c r="H295">
        <v>212</v>
      </c>
      <c r="I295" s="13">
        <f t="shared" si="59"/>
        <v>0.96</v>
      </c>
      <c r="J295">
        <f t="shared" si="52"/>
        <v>7</v>
      </c>
      <c r="K295" s="2">
        <v>2.4305555555555555E-4</v>
      </c>
      <c r="L295" s="11">
        <f t="shared" si="53"/>
        <v>74.199999999999989</v>
      </c>
      <c r="M295" s="3">
        <f t="shared" si="60"/>
        <v>0.35</v>
      </c>
      <c r="N295" s="4">
        <f t="shared" si="61"/>
        <v>21</v>
      </c>
      <c r="O295" s="2">
        <v>1.6087962962962963E-3</v>
      </c>
      <c r="P295" s="9">
        <f t="shared" si="54"/>
        <v>491.13333333333327</v>
      </c>
      <c r="Q295" s="3">
        <f t="shared" si="62"/>
        <v>2.3166666666666664</v>
      </c>
      <c r="R295" s="4">
        <f t="shared" si="63"/>
        <v>139</v>
      </c>
      <c r="S295" s="3">
        <f t="shared" si="64"/>
        <v>162</v>
      </c>
      <c r="T295" s="1">
        <v>0.76849999999999996</v>
      </c>
      <c r="U295" s="6">
        <f t="shared" si="55"/>
        <v>162.922</v>
      </c>
    </row>
    <row r="296" spans="1:21" x14ac:dyDescent="0.35">
      <c r="A296">
        <v>295</v>
      </c>
      <c r="B296" s="5">
        <v>44491</v>
      </c>
      <c r="C296" s="4">
        <f t="shared" si="56"/>
        <v>2021</v>
      </c>
      <c r="D296" s="4">
        <f t="shared" si="57"/>
        <v>10</v>
      </c>
      <c r="E296" s="14">
        <v>44491</v>
      </c>
      <c r="F296" s="4">
        <f t="shared" si="58"/>
        <v>22</v>
      </c>
      <c r="G296">
        <v>173</v>
      </c>
      <c r="H296">
        <v>169</v>
      </c>
      <c r="I296" s="13">
        <f t="shared" si="59"/>
        <v>0.97</v>
      </c>
      <c r="J296">
        <f t="shared" si="52"/>
        <v>4</v>
      </c>
      <c r="K296" s="2">
        <v>2.0833333333333335E-4</v>
      </c>
      <c r="L296" s="11">
        <f t="shared" si="53"/>
        <v>50.699999999999996</v>
      </c>
      <c r="M296" s="3">
        <f t="shared" si="60"/>
        <v>0.3</v>
      </c>
      <c r="N296" s="4">
        <f t="shared" si="61"/>
        <v>18</v>
      </c>
      <c r="O296" s="2">
        <v>1.5393518518518519E-3</v>
      </c>
      <c r="P296" s="9">
        <f t="shared" si="54"/>
        <v>374.61666666666667</v>
      </c>
      <c r="Q296" s="3">
        <f t="shared" si="62"/>
        <v>2.2166666666666668</v>
      </c>
      <c r="R296" s="4">
        <f t="shared" si="63"/>
        <v>133</v>
      </c>
      <c r="S296" s="3">
        <f t="shared" si="64"/>
        <v>137</v>
      </c>
      <c r="T296" s="1">
        <v>0.81399999999999995</v>
      </c>
      <c r="U296" s="6">
        <f t="shared" si="55"/>
        <v>137.566</v>
      </c>
    </row>
    <row r="297" spans="1:21" x14ac:dyDescent="0.35">
      <c r="A297">
        <v>296</v>
      </c>
      <c r="B297" s="5">
        <v>44492</v>
      </c>
      <c r="C297" s="4">
        <f t="shared" si="56"/>
        <v>2021</v>
      </c>
      <c r="D297" s="4">
        <f t="shared" si="57"/>
        <v>10</v>
      </c>
      <c r="E297" s="14">
        <v>44492</v>
      </c>
      <c r="F297" s="4">
        <f t="shared" si="58"/>
        <v>23</v>
      </c>
      <c r="G297">
        <v>204</v>
      </c>
      <c r="H297">
        <v>197</v>
      </c>
      <c r="I297" s="13">
        <f t="shared" si="59"/>
        <v>0.96</v>
      </c>
      <c r="J297">
        <f t="shared" si="52"/>
        <v>7</v>
      </c>
      <c r="K297" s="2">
        <v>1.9675925925925926E-4</v>
      </c>
      <c r="L297" s="11">
        <f t="shared" si="53"/>
        <v>55.816666666666663</v>
      </c>
      <c r="M297" s="3">
        <f t="shared" si="60"/>
        <v>0.28333333333333333</v>
      </c>
      <c r="N297" s="4">
        <f t="shared" si="61"/>
        <v>17</v>
      </c>
      <c r="O297" s="2">
        <v>1.6550925925925926E-3</v>
      </c>
      <c r="P297" s="9">
        <f t="shared" si="54"/>
        <v>469.51666666666665</v>
      </c>
      <c r="Q297" s="3">
        <f t="shared" si="62"/>
        <v>2.3833333333333333</v>
      </c>
      <c r="R297" s="4">
        <f t="shared" si="63"/>
        <v>143</v>
      </c>
      <c r="S297" s="3">
        <f t="shared" si="64"/>
        <v>157</v>
      </c>
      <c r="T297" s="1">
        <v>0.8</v>
      </c>
      <c r="U297" s="6">
        <f t="shared" si="55"/>
        <v>157.60000000000002</v>
      </c>
    </row>
    <row r="298" spans="1:21" x14ac:dyDescent="0.35">
      <c r="A298">
        <v>297</v>
      </c>
      <c r="B298" s="5">
        <v>44493</v>
      </c>
      <c r="C298" s="4">
        <f t="shared" si="56"/>
        <v>2021</v>
      </c>
      <c r="D298" s="4">
        <f t="shared" si="57"/>
        <v>10</v>
      </c>
      <c r="E298" s="14">
        <v>44493</v>
      </c>
      <c r="F298" s="4">
        <f t="shared" si="58"/>
        <v>24</v>
      </c>
      <c r="G298">
        <v>216</v>
      </c>
      <c r="H298">
        <v>185</v>
      </c>
      <c r="I298" s="13">
        <f t="shared" si="59"/>
        <v>0.85</v>
      </c>
      <c r="J298">
        <f t="shared" si="52"/>
        <v>31</v>
      </c>
      <c r="K298" s="2">
        <v>3.4722222222222224E-4</v>
      </c>
      <c r="L298" s="11">
        <f t="shared" si="53"/>
        <v>92.5</v>
      </c>
      <c r="M298" s="3">
        <f t="shared" si="60"/>
        <v>0.5</v>
      </c>
      <c r="N298" s="4">
        <f t="shared" si="61"/>
        <v>30</v>
      </c>
      <c r="O298" s="2">
        <v>1.5856481481481481E-3</v>
      </c>
      <c r="P298" s="9">
        <f t="shared" si="54"/>
        <v>422.41666666666663</v>
      </c>
      <c r="Q298" s="3">
        <f t="shared" si="62"/>
        <v>2.2833333333333332</v>
      </c>
      <c r="R298" s="4">
        <f t="shared" si="63"/>
        <v>137</v>
      </c>
      <c r="S298" s="3">
        <f t="shared" si="64"/>
        <v>113</v>
      </c>
      <c r="T298" s="1">
        <v>0.61429999999999996</v>
      </c>
      <c r="U298" s="6">
        <f t="shared" si="55"/>
        <v>113.6455</v>
      </c>
    </row>
    <row r="299" spans="1:21" x14ac:dyDescent="0.35">
      <c r="A299">
        <v>298</v>
      </c>
      <c r="B299" s="5">
        <v>44494</v>
      </c>
      <c r="C299" s="4">
        <f t="shared" si="56"/>
        <v>2021</v>
      </c>
      <c r="D299" s="4">
        <f t="shared" si="57"/>
        <v>10</v>
      </c>
      <c r="E299" s="14">
        <v>44494</v>
      </c>
      <c r="F299" s="4">
        <f t="shared" si="58"/>
        <v>25</v>
      </c>
      <c r="G299">
        <v>461</v>
      </c>
      <c r="H299">
        <v>441</v>
      </c>
      <c r="I299" s="13">
        <f t="shared" si="59"/>
        <v>0.95</v>
      </c>
      <c r="J299">
        <f t="shared" si="52"/>
        <v>20</v>
      </c>
      <c r="K299" s="2">
        <v>3.4722222222222224E-4</v>
      </c>
      <c r="L299" s="11">
        <f t="shared" si="53"/>
        <v>220.5</v>
      </c>
      <c r="M299" s="3">
        <f t="shared" si="60"/>
        <v>0.5</v>
      </c>
      <c r="N299" s="4">
        <f t="shared" si="61"/>
        <v>30</v>
      </c>
      <c r="O299" s="2">
        <v>1.5972222222222223E-3</v>
      </c>
      <c r="P299" s="9">
        <f t="shared" si="54"/>
        <v>1014.3</v>
      </c>
      <c r="Q299" s="3">
        <f t="shared" si="62"/>
        <v>2.2999999999999998</v>
      </c>
      <c r="R299" s="4">
        <f t="shared" si="63"/>
        <v>138</v>
      </c>
      <c r="S299" s="3">
        <f t="shared" si="64"/>
        <v>271</v>
      </c>
      <c r="T299" s="1">
        <v>0.6149</v>
      </c>
      <c r="U299" s="6">
        <f t="shared" si="55"/>
        <v>271.17090000000002</v>
      </c>
    </row>
    <row r="300" spans="1:21" x14ac:dyDescent="0.35">
      <c r="A300">
        <v>299</v>
      </c>
      <c r="B300" s="5">
        <v>44495</v>
      </c>
      <c r="C300" s="4">
        <f t="shared" si="56"/>
        <v>2021</v>
      </c>
      <c r="D300" s="4">
        <f t="shared" si="57"/>
        <v>10</v>
      </c>
      <c r="E300" s="14">
        <v>44495</v>
      </c>
      <c r="F300" s="4">
        <f t="shared" si="58"/>
        <v>26</v>
      </c>
      <c r="G300">
        <v>56</v>
      </c>
      <c r="H300">
        <v>55</v>
      </c>
      <c r="I300" s="13">
        <f t="shared" si="59"/>
        <v>0.98</v>
      </c>
      <c r="J300">
        <f t="shared" si="52"/>
        <v>1</v>
      </c>
      <c r="K300" s="2">
        <v>3.0092592592592595E-4</v>
      </c>
      <c r="L300" s="11">
        <f t="shared" si="53"/>
        <v>23.833333333333336</v>
      </c>
      <c r="M300" s="3">
        <f t="shared" si="60"/>
        <v>0.43333333333333335</v>
      </c>
      <c r="N300" s="4">
        <f t="shared" si="61"/>
        <v>26</v>
      </c>
      <c r="O300" s="2">
        <v>1.5162037037037036E-3</v>
      </c>
      <c r="P300" s="9">
        <f t="shared" si="54"/>
        <v>120.08333333333333</v>
      </c>
      <c r="Q300" s="3">
        <f t="shared" si="62"/>
        <v>2.1833333333333331</v>
      </c>
      <c r="R300" s="4">
        <f t="shared" si="63"/>
        <v>131</v>
      </c>
      <c r="S300" s="3">
        <f t="shared" si="64"/>
        <v>36</v>
      </c>
      <c r="T300" s="1">
        <v>0.66069999999999995</v>
      </c>
      <c r="U300" s="6">
        <f t="shared" si="55"/>
        <v>36.338499999999996</v>
      </c>
    </row>
    <row r="301" spans="1:21" x14ac:dyDescent="0.35">
      <c r="A301">
        <v>300</v>
      </c>
      <c r="B301" s="5">
        <v>44496</v>
      </c>
      <c r="C301" s="4">
        <f t="shared" si="56"/>
        <v>2021</v>
      </c>
      <c r="D301" s="4">
        <f t="shared" si="57"/>
        <v>10</v>
      </c>
      <c r="E301" s="14">
        <v>44496</v>
      </c>
      <c r="F301" s="4">
        <f t="shared" si="58"/>
        <v>27</v>
      </c>
      <c r="G301">
        <v>192</v>
      </c>
      <c r="H301">
        <v>176</v>
      </c>
      <c r="I301" s="13">
        <f t="shared" si="59"/>
        <v>0.91</v>
      </c>
      <c r="J301">
        <f t="shared" si="52"/>
        <v>16</v>
      </c>
      <c r="K301" s="2">
        <v>2.6620370370370372E-4</v>
      </c>
      <c r="L301" s="11">
        <f t="shared" si="53"/>
        <v>67.466666666666669</v>
      </c>
      <c r="M301" s="3">
        <f t="shared" si="60"/>
        <v>0.38333333333333336</v>
      </c>
      <c r="N301" s="4">
        <f t="shared" si="61"/>
        <v>23</v>
      </c>
      <c r="O301" s="2">
        <v>1.4467592592592592E-3</v>
      </c>
      <c r="P301" s="9">
        <f t="shared" si="54"/>
        <v>366.66666666666669</v>
      </c>
      <c r="Q301" s="3">
        <f t="shared" si="62"/>
        <v>2.0833333333333335</v>
      </c>
      <c r="R301" s="4">
        <f t="shared" si="63"/>
        <v>125.00000000000001</v>
      </c>
      <c r="S301" s="3">
        <f t="shared" si="64"/>
        <v>120</v>
      </c>
      <c r="T301" s="1">
        <v>0.68279999999999996</v>
      </c>
      <c r="U301" s="6">
        <f t="shared" si="55"/>
        <v>120.1728</v>
      </c>
    </row>
    <row r="302" spans="1:21" x14ac:dyDescent="0.35">
      <c r="A302">
        <v>301</v>
      </c>
      <c r="B302" s="5">
        <v>44497</v>
      </c>
      <c r="C302" s="4">
        <f t="shared" si="56"/>
        <v>2021</v>
      </c>
      <c r="D302" s="4">
        <f t="shared" si="57"/>
        <v>10</v>
      </c>
      <c r="E302" s="14">
        <v>44497</v>
      </c>
      <c r="F302" s="4">
        <f t="shared" si="58"/>
        <v>28</v>
      </c>
      <c r="G302">
        <v>382</v>
      </c>
      <c r="H302">
        <v>365</v>
      </c>
      <c r="I302" s="13">
        <f t="shared" si="59"/>
        <v>0.95</v>
      </c>
      <c r="J302">
        <f t="shared" si="52"/>
        <v>17</v>
      </c>
      <c r="K302" s="2">
        <v>2.3148148148148149E-4</v>
      </c>
      <c r="L302" s="11">
        <f t="shared" si="53"/>
        <v>121.66666666666666</v>
      </c>
      <c r="M302" s="3">
        <f t="shared" si="60"/>
        <v>0.33333333333333331</v>
      </c>
      <c r="N302" s="4">
        <f t="shared" si="61"/>
        <v>20</v>
      </c>
      <c r="O302" s="2">
        <v>1.0995370370370371E-3</v>
      </c>
      <c r="P302" s="9">
        <f t="shared" si="54"/>
        <v>577.91666666666674</v>
      </c>
      <c r="Q302" s="3">
        <f t="shared" si="62"/>
        <v>1.5833333333333335</v>
      </c>
      <c r="R302" s="4">
        <f t="shared" si="63"/>
        <v>95.000000000000014</v>
      </c>
      <c r="S302" s="3">
        <f t="shared" si="64"/>
        <v>266</v>
      </c>
      <c r="T302" s="1">
        <v>0.73140000000000005</v>
      </c>
      <c r="U302" s="6">
        <f t="shared" si="55"/>
        <v>266.96100000000001</v>
      </c>
    </row>
    <row r="303" spans="1:21" x14ac:dyDescent="0.35">
      <c r="A303">
        <v>302</v>
      </c>
      <c r="B303" s="5">
        <v>44498</v>
      </c>
      <c r="C303" s="4">
        <f t="shared" si="56"/>
        <v>2021</v>
      </c>
      <c r="D303" s="4">
        <f t="shared" si="57"/>
        <v>10</v>
      </c>
      <c r="E303" s="14">
        <v>44498</v>
      </c>
      <c r="F303" s="4">
        <f t="shared" si="58"/>
        <v>29</v>
      </c>
      <c r="G303">
        <v>246</v>
      </c>
      <c r="H303">
        <v>223</v>
      </c>
      <c r="I303" s="13">
        <f t="shared" si="59"/>
        <v>0.9</v>
      </c>
      <c r="J303">
        <f t="shared" si="52"/>
        <v>23</v>
      </c>
      <c r="K303" s="2">
        <v>2.8935185185185184E-4</v>
      </c>
      <c r="L303" s="11">
        <f t="shared" si="53"/>
        <v>92.916666666666671</v>
      </c>
      <c r="M303" s="3">
        <f t="shared" si="60"/>
        <v>0.41666666666666669</v>
      </c>
      <c r="N303" s="4">
        <f t="shared" si="61"/>
        <v>25</v>
      </c>
      <c r="O303" s="2">
        <v>1.5509259259259259E-3</v>
      </c>
      <c r="P303" s="9">
        <f t="shared" si="54"/>
        <v>498.03333333333336</v>
      </c>
      <c r="Q303" s="3">
        <f t="shared" si="62"/>
        <v>2.2333333333333334</v>
      </c>
      <c r="R303" s="4">
        <f t="shared" si="63"/>
        <v>134</v>
      </c>
      <c r="S303" s="3">
        <f t="shared" si="64"/>
        <v>159</v>
      </c>
      <c r="T303" s="1">
        <v>0.7167</v>
      </c>
      <c r="U303" s="6">
        <f t="shared" si="55"/>
        <v>159.82409999999999</v>
      </c>
    </row>
    <row r="304" spans="1:21" x14ac:dyDescent="0.35">
      <c r="A304">
        <v>303</v>
      </c>
      <c r="B304" s="5">
        <v>44499</v>
      </c>
      <c r="C304" s="4">
        <f t="shared" si="56"/>
        <v>2021</v>
      </c>
      <c r="D304" s="4">
        <f t="shared" si="57"/>
        <v>10</v>
      </c>
      <c r="E304" s="14">
        <v>44499</v>
      </c>
      <c r="F304" s="4">
        <f t="shared" si="58"/>
        <v>30</v>
      </c>
      <c r="G304">
        <v>48</v>
      </c>
      <c r="H304">
        <v>46</v>
      </c>
      <c r="I304" s="13">
        <f t="shared" si="59"/>
        <v>0.95</v>
      </c>
      <c r="J304">
        <f t="shared" si="52"/>
        <v>2</v>
      </c>
      <c r="K304" s="2">
        <v>3.0092592592592595E-4</v>
      </c>
      <c r="L304" s="11">
        <f t="shared" si="53"/>
        <v>19.933333333333334</v>
      </c>
      <c r="M304" s="3">
        <f t="shared" si="60"/>
        <v>0.43333333333333335</v>
      </c>
      <c r="N304" s="4">
        <f t="shared" si="61"/>
        <v>26</v>
      </c>
      <c r="O304" s="2">
        <v>1.5509259259259259E-3</v>
      </c>
      <c r="P304" s="9">
        <f t="shared" si="54"/>
        <v>102.73333333333333</v>
      </c>
      <c r="Q304" s="3">
        <f t="shared" si="62"/>
        <v>2.2333333333333334</v>
      </c>
      <c r="R304" s="4">
        <f t="shared" si="63"/>
        <v>134</v>
      </c>
      <c r="S304" s="3">
        <f t="shared" si="64"/>
        <v>33</v>
      </c>
      <c r="T304" s="1">
        <v>0.72340000000000004</v>
      </c>
      <c r="U304" s="6">
        <f t="shared" si="55"/>
        <v>33.276400000000002</v>
      </c>
    </row>
    <row r="305" spans="1:21" x14ac:dyDescent="0.35">
      <c r="A305">
        <v>304</v>
      </c>
      <c r="B305" s="5">
        <v>44500</v>
      </c>
      <c r="C305" s="4">
        <f t="shared" si="56"/>
        <v>2021</v>
      </c>
      <c r="D305" s="4">
        <f t="shared" si="57"/>
        <v>10</v>
      </c>
      <c r="E305" s="14">
        <v>44500</v>
      </c>
      <c r="F305" s="4">
        <f t="shared" si="58"/>
        <v>31</v>
      </c>
      <c r="G305">
        <v>221</v>
      </c>
      <c r="H305">
        <v>205</v>
      </c>
      <c r="I305" s="13">
        <f t="shared" si="59"/>
        <v>0.92</v>
      </c>
      <c r="J305">
        <f t="shared" si="52"/>
        <v>16</v>
      </c>
      <c r="K305" s="2">
        <v>3.0092592592592595E-4</v>
      </c>
      <c r="L305" s="11">
        <f t="shared" si="53"/>
        <v>88.833333333333343</v>
      </c>
      <c r="M305" s="3">
        <f t="shared" si="60"/>
        <v>0.43333333333333335</v>
      </c>
      <c r="N305" s="4">
        <f t="shared" si="61"/>
        <v>26</v>
      </c>
      <c r="O305" s="2">
        <v>1.5625000000000001E-3</v>
      </c>
      <c r="P305" s="9">
        <f t="shared" si="54"/>
        <v>461.25</v>
      </c>
      <c r="Q305" s="3">
        <f t="shared" si="62"/>
        <v>2.25</v>
      </c>
      <c r="R305" s="4">
        <f t="shared" si="63"/>
        <v>135</v>
      </c>
      <c r="S305" s="3">
        <f t="shared" si="64"/>
        <v>129</v>
      </c>
      <c r="T305" s="1">
        <v>0.63080000000000003</v>
      </c>
      <c r="U305" s="6">
        <f t="shared" si="55"/>
        <v>129.31399999999999</v>
      </c>
    </row>
    <row r="306" spans="1:21" x14ac:dyDescent="0.35">
      <c r="A306">
        <v>305</v>
      </c>
      <c r="B306" s="5">
        <v>44501</v>
      </c>
      <c r="C306" s="4">
        <f t="shared" si="56"/>
        <v>2021</v>
      </c>
      <c r="D306" s="4">
        <f t="shared" si="57"/>
        <v>11</v>
      </c>
      <c r="E306" s="14">
        <v>44501</v>
      </c>
      <c r="F306" s="4">
        <f t="shared" si="58"/>
        <v>1</v>
      </c>
      <c r="G306">
        <v>275</v>
      </c>
      <c r="H306">
        <v>261</v>
      </c>
      <c r="I306" s="13">
        <f t="shared" si="59"/>
        <v>0.94</v>
      </c>
      <c r="J306">
        <f t="shared" si="52"/>
        <v>14</v>
      </c>
      <c r="K306" s="2">
        <v>3.8194444444444446E-4</v>
      </c>
      <c r="L306" s="11">
        <f t="shared" si="53"/>
        <v>143.55000000000001</v>
      </c>
      <c r="M306" s="3">
        <f t="shared" si="60"/>
        <v>0.55000000000000004</v>
      </c>
      <c r="N306" s="4">
        <f t="shared" si="61"/>
        <v>33</v>
      </c>
      <c r="O306" s="2">
        <v>1.6087962962962963E-3</v>
      </c>
      <c r="P306" s="9">
        <f t="shared" si="54"/>
        <v>604.65</v>
      </c>
      <c r="Q306" s="3">
        <f t="shared" si="62"/>
        <v>2.3166666666666664</v>
      </c>
      <c r="R306" s="4">
        <f t="shared" si="63"/>
        <v>139</v>
      </c>
      <c r="S306" s="3">
        <f t="shared" si="64"/>
        <v>152</v>
      </c>
      <c r="T306" s="1">
        <v>0.58520000000000005</v>
      </c>
      <c r="U306" s="6">
        <f t="shared" si="55"/>
        <v>152.7372</v>
      </c>
    </row>
    <row r="307" spans="1:21" x14ac:dyDescent="0.35">
      <c r="A307">
        <v>306</v>
      </c>
      <c r="B307" s="5">
        <v>44502</v>
      </c>
      <c r="C307" s="4">
        <f t="shared" si="56"/>
        <v>2021</v>
      </c>
      <c r="D307" s="4">
        <f t="shared" si="57"/>
        <v>11</v>
      </c>
      <c r="E307" s="14">
        <v>44502</v>
      </c>
      <c r="F307" s="4">
        <f t="shared" si="58"/>
        <v>2</v>
      </c>
      <c r="G307">
        <v>39</v>
      </c>
      <c r="H307">
        <v>36</v>
      </c>
      <c r="I307" s="13">
        <f t="shared" si="59"/>
        <v>0.92</v>
      </c>
      <c r="J307">
        <f t="shared" si="52"/>
        <v>3</v>
      </c>
      <c r="K307" s="2">
        <v>2.199074074074074E-4</v>
      </c>
      <c r="L307" s="11">
        <f t="shared" si="53"/>
        <v>11.399999999999999</v>
      </c>
      <c r="M307" s="3">
        <f t="shared" si="60"/>
        <v>0.31666666666666665</v>
      </c>
      <c r="N307" s="4">
        <f t="shared" si="61"/>
        <v>19</v>
      </c>
      <c r="O307" s="2">
        <v>1.3078703703703703E-3</v>
      </c>
      <c r="P307" s="9">
        <f t="shared" si="54"/>
        <v>67.8</v>
      </c>
      <c r="Q307" s="3">
        <f t="shared" si="62"/>
        <v>1.8833333333333333</v>
      </c>
      <c r="R307" s="4">
        <f t="shared" si="63"/>
        <v>113</v>
      </c>
      <c r="S307" s="3">
        <f t="shared" si="64"/>
        <v>28</v>
      </c>
      <c r="T307" s="1">
        <v>0.77780000000000005</v>
      </c>
      <c r="U307" s="6">
        <f t="shared" si="55"/>
        <v>28.000800000000002</v>
      </c>
    </row>
    <row r="308" spans="1:21" x14ac:dyDescent="0.35">
      <c r="A308">
        <v>307</v>
      </c>
      <c r="B308" s="5">
        <v>44503</v>
      </c>
      <c r="C308" s="4">
        <f t="shared" si="56"/>
        <v>2021</v>
      </c>
      <c r="D308" s="4">
        <f t="shared" si="57"/>
        <v>11</v>
      </c>
      <c r="E308" s="14">
        <v>44503</v>
      </c>
      <c r="F308" s="4">
        <f t="shared" si="58"/>
        <v>3</v>
      </c>
      <c r="G308">
        <v>250</v>
      </c>
      <c r="H308">
        <v>236</v>
      </c>
      <c r="I308" s="13">
        <f t="shared" si="59"/>
        <v>0.94</v>
      </c>
      <c r="J308">
        <f t="shared" si="52"/>
        <v>14</v>
      </c>
      <c r="K308" s="2">
        <v>3.3564814814814812E-4</v>
      </c>
      <c r="L308" s="11">
        <f t="shared" si="53"/>
        <v>114.06666666666666</v>
      </c>
      <c r="M308" s="3">
        <f t="shared" si="60"/>
        <v>0.48333333333333334</v>
      </c>
      <c r="N308" s="4">
        <f t="shared" si="61"/>
        <v>29</v>
      </c>
      <c r="O308" s="2">
        <v>1.4814814814814814E-3</v>
      </c>
      <c r="P308" s="9">
        <f t="shared" si="54"/>
        <v>503.46666666666664</v>
      </c>
      <c r="Q308" s="3">
        <f t="shared" si="62"/>
        <v>2.1333333333333333</v>
      </c>
      <c r="R308" s="4">
        <f t="shared" si="63"/>
        <v>128</v>
      </c>
      <c r="S308" s="3">
        <f t="shared" si="64"/>
        <v>139</v>
      </c>
      <c r="T308" s="1">
        <v>0.59040000000000004</v>
      </c>
      <c r="U308" s="6">
        <f t="shared" si="55"/>
        <v>139.33440000000002</v>
      </c>
    </row>
    <row r="309" spans="1:21" x14ac:dyDescent="0.35">
      <c r="A309">
        <v>308</v>
      </c>
      <c r="B309" s="5">
        <v>44504</v>
      </c>
      <c r="C309" s="4">
        <f t="shared" si="56"/>
        <v>2021</v>
      </c>
      <c r="D309" s="4">
        <f t="shared" si="57"/>
        <v>11</v>
      </c>
      <c r="E309" s="14">
        <v>44504</v>
      </c>
      <c r="F309" s="4">
        <f t="shared" si="58"/>
        <v>4</v>
      </c>
      <c r="G309">
        <v>197</v>
      </c>
      <c r="H309">
        <v>184</v>
      </c>
      <c r="I309" s="13">
        <f t="shared" si="59"/>
        <v>0.93</v>
      </c>
      <c r="J309">
        <f t="shared" si="52"/>
        <v>13</v>
      </c>
      <c r="K309" s="2">
        <v>3.3564814814814812E-4</v>
      </c>
      <c r="L309" s="11">
        <f t="shared" si="53"/>
        <v>88.933333333333337</v>
      </c>
      <c r="M309" s="3">
        <f t="shared" si="60"/>
        <v>0.48333333333333334</v>
      </c>
      <c r="N309" s="4">
        <f t="shared" si="61"/>
        <v>29</v>
      </c>
      <c r="O309" s="2">
        <v>1.6550925925925926E-3</v>
      </c>
      <c r="P309" s="9">
        <f t="shared" si="54"/>
        <v>438.5333333333333</v>
      </c>
      <c r="Q309" s="3">
        <f t="shared" si="62"/>
        <v>2.3833333333333333</v>
      </c>
      <c r="R309" s="4">
        <f t="shared" si="63"/>
        <v>143</v>
      </c>
      <c r="S309" s="3">
        <f t="shared" si="64"/>
        <v>102</v>
      </c>
      <c r="T309" s="1">
        <v>0.55610000000000004</v>
      </c>
      <c r="U309" s="6">
        <f t="shared" si="55"/>
        <v>102.3224</v>
      </c>
    </row>
    <row r="310" spans="1:21" x14ac:dyDescent="0.35">
      <c r="A310">
        <v>309</v>
      </c>
      <c r="B310" s="5">
        <v>44505</v>
      </c>
      <c r="C310" s="4">
        <f t="shared" si="56"/>
        <v>2021</v>
      </c>
      <c r="D310" s="4">
        <f t="shared" si="57"/>
        <v>11</v>
      </c>
      <c r="E310" s="14">
        <v>44505</v>
      </c>
      <c r="F310" s="4">
        <f t="shared" si="58"/>
        <v>5</v>
      </c>
      <c r="G310">
        <v>223</v>
      </c>
      <c r="H310">
        <v>208</v>
      </c>
      <c r="I310" s="13">
        <f t="shared" si="59"/>
        <v>0.93</v>
      </c>
      <c r="J310">
        <f t="shared" si="52"/>
        <v>15</v>
      </c>
      <c r="K310" s="2">
        <v>3.2407407407407406E-4</v>
      </c>
      <c r="L310" s="11">
        <f t="shared" si="53"/>
        <v>97.066666666666663</v>
      </c>
      <c r="M310" s="3">
        <f t="shared" si="60"/>
        <v>0.46666666666666667</v>
      </c>
      <c r="N310" s="4">
        <f t="shared" si="61"/>
        <v>28</v>
      </c>
      <c r="O310" s="2">
        <v>1.6319444444444445E-3</v>
      </c>
      <c r="P310" s="9">
        <f t="shared" si="54"/>
        <v>488.8</v>
      </c>
      <c r="Q310" s="3">
        <f t="shared" si="62"/>
        <v>2.35</v>
      </c>
      <c r="R310" s="4">
        <f t="shared" si="63"/>
        <v>141</v>
      </c>
      <c r="S310" s="3">
        <f t="shared" si="64"/>
        <v>150</v>
      </c>
      <c r="T310" s="1">
        <v>0.72270000000000001</v>
      </c>
      <c r="U310" s="6">
        <f t="shared" si="55"/>
        <v>150.32159999999999</v>
      </c>
    </row>
    <row r="311" spans="1:21" x14ac:dyDescent="0.35">
      <c r="A311">
        <v>310</v>
      </c>
      <c r="B311" s="5">
        <v>44506</v>
      </c>
      <c r="C311" s="4">
        <f t="shared" si="56"/>
        <v>2021</v>
      </c>
      <c r="D311" s="4">
        <f t="shared" si="57"/>
        <v>11</v>
      </c>
      <c r="E311" s="14">
        <v>44506</v>
      </c>
      <c r="F311" s="4">
        <f t="shared" si="58"/>
        <v>6</v>
      </c>
      <c r="G311">
        <v>240</v>
      </c>
      <c r="H311">
        <v>236</v>
      </c>
      <c r="I311" s="13">
        <f t="shared" si="59"/>
        <v>0.98</v>
      </c>
      <c r="J311">
        <f t="shared" si="52"/>
        <v>4</v>
      </c>
      <c r="K311" s="2">
        <v>2.0833333333333335E-4</v>
      </c>
      <c r="L311" s="11">
        <f t="shared" si="53"/>
        <v>70.8</v>
      </c>
      <c r="M311" s="3">
        <f t="shared" si="60"/>
        <v>0.3</v>
      </c>
      <c r="N311" s="4">
        <f t="shared" si="61"/>
        <v>18</v>
      </c>
      <c r="O311" s="2">
        <v>1.5509259259259259E-3</v>
      </c>
      <c r="P311" s="9">
        <f t="shared" si="54"/>
        <v>527.06666666666672</v>
      </c>
      <c r="Q311" s="3">
        <f t="shared" si="62"/>
        <v>2.2333333333333334</v>
      </c>
      <c r="R311" s="4">
        <f t="shared" si="63"/>
        <v>134</v>
      </c>
      <c r="S311" s="3">
        <f t="shared" si="64"/>
        <v>183</v>
      </c>
      <c r="T311" s="1">
        <v>0.7792</v>
      </c>
      <c r="U311" s="6">
        <f t="shared" si="55"/>
        <v>183.8912</v>
      </c>
    </row>
    <row r="312" spans="1:21" x14ac:dyDescent="0.35">
      <c r="A312">
        <v>311</v>
      </c>
      <c r="B312" s="5">
        <v>44507</v>
      </c>
      <c r="C312" s="4">
        <f t="shared" si="56"/>
        <v>2021</v>
      </c>
      <c r="D312" s="4">
        <f t="shared" si="57"/>
        <v>11</v>
      </c>
      <c r="E312" s="14">
        <v>44507</v>
      </c>
      <c r="F312" s="4">
        <f t="shared" si="58"/>
        <v>7</v>
      </c>
      <c r="G312">
        <v>55</v>
      </c>
      <c r="H312">
        <v>52</v>
      </c>
      <c r="I312" s="13">
        <f t="shared" si="59"/>
        <v>0.94</v>
      </c>
      <c r="J312">
        <f t="shared" si="52"/>
        <v>3</v>
      </c>
      <c r="K312" s="2">
        <v>1.8518518518518518E-4</v>
      </c>
      <c r="L312" s="11">
        <f t="shared" si="53"/>
        <v>13.866666666666667</v>
      </c>
      <c r="M312" s="3">
        <f t="shared" si="60"/>
        <v>0.26666666666666666</v>
      </c>
      <c r="N312" s="4">
        <f t="shared" si="61"/>
        <v>16</v>
      </c>
      <c r="O312" s="2">
        <v>1.6087962962962963E-3</v>
      </c>
      <c r="P312" s="9">
        <f t="shared" si="54"/>
        <v>120.46666666666665</v>
      </c>
      <c r="Q312" s="3">
        <f t="shared" si="62"/>
        <v>2.3166666666666664</v>
      </c>
      <c r="R312" s="4">
        <f t="shared" si="63"/>
        <v>139</v>
      </c>
      <c r="S312" s="3">
        <f t="shared" si="64"/>
        <v>40</v>
      </c>
      <c r="T312" s="1">
        <v>0.78180000000000005</v>
      </c>
      <c r="U312" s="6">
        <f t="shared" si="55"/>
        <v>40.653600000000004</v>
      </c>
    </row>
    <row r="313" spans="1:21" x14ac:dyDescent="0.35">
      <c r="A313">
        <v>312</v>
      </c>
      <c r="B313" s="5">
        <v>44508</v>
      </c>
      <c r="C313" s="4">
        <f t="shared" si="56"/>
        <v>2021</v>
      </c>
      <c r="D313" s="4">
        <f t="shared" si="57"/>
        <v>11</v>
      </c>
      <c r="E313" s="14">
        <v>44508</v>
      </c>
      <c r="F313" s="4">
        <f t="shared" si="58"/>
        <v>8</v>
      </c>
      <c r="G313">
        <v>59</v>
      </c>
      <c r="H313">
        <v>54</v>
      </c>
      <c r="I313" s="13">
        <f t="shared" si="59"/>
        <v>0.91</v>
      </c>
      <c r="J313">
        <f t="shared" si="52"/>
        <v>5</v>
      </c>
      <c r="K313" s="2">
        <v>9.2592592592592588E-5</v>
      </c>
      <c r="L313" s="11">
        <f t="shared" si="53"/>
        <v>7.2</v>
      </c>
      <c r="M313" s="3">
        <f t="shared" si="60"/>
        <v>0.13333333333333333</v>
      </c>
      <c r="N313" s="4">
        <f t="shared" si="61"/>
        <v>8</v>
      </c>
      <c r="O313" s="2">
        <v>1.4583333333333334E-3</v>
      </c>
      <c r="P313" s="9">
        <f t="shared" si="54"/>
        <v>113.4</v>
      </c>
      <c r="Q313" s="3">
        <f t="shared" si="62"/>
        <v>2.1</v>
      </c>
      <c r="R313" s="4">
        <f t="shared" si="63"/>
        <v>126</v>
      </c>
      <c r="S313" s="3">
        <f t="shared" si="64"/>
        <v>45</v>
      </c>
      <c r="T313" s="1">
        <v>0.84750000000000003</v>
      </c>
      <c r="U313" s="6">
        <f t="shared" si="55"/>
        <v>45.765000000000001</v>
      </c>
    </row>
    <row r="314" spans="1:21" x14ac:dyDescent="0.35">
      <c r="A314">
        <v>313</v>
      </c>
      <c r="B314" s="5">
        <v>44509</v>
      </c>
      <c r="C314" s="4">
        <f t="shared" si="56"/>
        <v>2021</v>
      </c>
      <c r="D314" s="4">
        <f t="shared" si="57"/>
        <v>11</v>
      </c>
      <c r="E314" s="14">
        <v>44509</v>
      </c>
      <c r="F314" s="4">
        <f t="shared" si="58"/>
        <v>9</v>
      </c>
      <c r="G314">
        <v>36</v>
      </c>
      <c r="H314">
        <v>31</v>
      </c>
      <c r="I314" s="13">
        <f t="shared" si="59"/>
        <v>0.86</v>
      </c>
      <c r="J314">
        <f t="shared" si="52"/>
        <v>5</v>
      </c>
      <c r="K314" s="2">
        <v>1.273148148148148E-4</v>
      </c>
      <c r="L314" s="11">
        <f t="shared" si="53"/>
        <v>5.6833333333333327</v>
      </c>
      <c r="M314" s="3">
        <f t="shared" si="60"/>
        <v>0.18333333333333332</v>
      </c>
      <c r="N314" s="4">
        <f t="shared" si="61"/>
        <v>11</v>
      </c>
      <c r="O314" s="2">
        <v>1.6435185185185185E-3</v>
      </c>
      <c r="P314" s="9">
        <f t="shared" si="54"/>
        <v>73.366666666666674</v>
      </c>
      <c r="Q314" s="3">
        <f t="shared" si="62"/>
        <v>2.3666666666666667</v>
      </c>
      <c r="R314" s="4">
        <f t="shared" si="63"/>
        <v>142</v>
      </c>
      <c r="S314" s="3">
        <f t="shared" si="64"/>
        <v>22</v>
      </c>
      <c r="T314" s="1">
        <v>0.72219999999999995</v>
      </c>
      <c r="U314" s="6">
        <f t="shared" si="55"/>
        <v>22.388199999999998</v>
      </c>
    </row>
    <row r="315" spans="1:21" x14ac:dyDescent="0.35">
      <c r="A315">
        <v>314</v>
      </c>
      <c r="B315" s="5">
        <v>44510</v>
      </c>
      <c r="C315" s="4">
        <f t="shared" si="56"/>
        <v>2021</v>
      </c>
      <c r="D315" s="4">
        <f t="shared" si="57"/>
        <v>11</v>
      </c>
      <c r="E315" s="14">
        <v>44510</v>
      </c>
      <c r="F315" s="4">
        <f t="shared" si="58"/>
        <v>10</v>
      </c>
      <c r="G315">
        <v>229</v>
      </c>
      <c r="H315">
        <v>219</v>
      </c>
      <c r="I315" s="13">
        <f t="shared" si="59"/>
        <v>0.95</v>
      </c>
      <c r="J315">
        <f t="shared" si="52"/>
        <v>10</v>
      </c>
      <c r="K315" s="2">
        <v>1.5046296296296297E-4</v>
      </c>
      <c r="L315" s="11">
        <f t="shared" si="53"/>
        <v>47.45</v>
      </c>
      <c r="M315" s="3">
        <f t="shared" si="60"/>
        <v>0.21666666666666667</v>
      </c>
      <c r="N315" s="4">
        <f t="shared" si="61"/>
        <v>13</v>
      </c>
      <c r="O315" s="2">
        <v>1.4699074074074074E-3</v>
      </c>
      <c r="P315" s="9">
        <f t="shared" si="54"/>
        <v>463.55</v>
      </c>
      <c r="Q315" s="3">
        <f t="shared" si="62"/>
        <v>2.1166666666666667</v>
      </c>
      <c r="R315" s="4">
        <f t="shared" si="63"/>
        <v>127</v>
      </c>
      <c r="S315" s="3">
        <f t="shared" si="64"/>
        <v>185</v>
      </c>
      <c r="T315" s="1">
        <v>0.84889999999999999</v>
      </c>
      <c r="U315" s="6">
        <f t="shared" si="55"/>
        <v>185.9091</v>
      </c>
    </row>
    <row r="316" spans="1:21" x14ac:dyDescent="0.35">
      <c r="A316">
        <v>315</v>
      </c>
      <c r="B316" s="5">
        <v>44511</v>
      </c>
      <c r="C316" s="4">
        <f t="shared" si="56"/>
        <v>2021</v>
      </c>
      <c r="D316" s="4">
        <f t="shared" si="57"/>
        <v>11</v>
      </c>
      <c r="E316" s="14">
        <v>44511</v>
      </c>
      <c r="F316" s="4">
        <f t="shared" si="58"/>
        <v>11</v>
      </c>
      <c r="G316">
        <v>206</v>
      </c>
      <c r="H316">
        <v>189</v>
      </c>
      <c r="I316" s="13">
        <f t="shared" si="59"/>
        <v>0.91</v>
      </c>
      <c r="J316">
        <f t="shared" si="52"/>
        <v>17</v>
      </c>
      <c r="K316" s="2">
        <v>1.7361111111111112E-4</v>
      </c>
      <c r="L316" s="11">
        <f t="shared" si="53"/>
        <v>47.25</v>
      </c>
      <c r="M316" s="3">
        <f t="shared" si="60"/>
        <v>0.25</v>
      </c>
      <c r="N316" s="4">
        <f t="shared" si="61"/>
        <v>15</v>
      </c>
      <c r="O316" s="2">
        <v>1.6087962962962963E-3</v>
      </c>
      <c r="P316" s="9">
        <f t="shared" si="54"/>
        <v>437.84999999999997</v>
      </c>
      <c r="Q316" s="3">
        <f t="shared" si="62"/>
        <v>2.3166666666666664</v>
      </c>
      <c r="R316" s="4">
        <f t="shared" si="63"/>
        <v>139</v>
      </c>
      <c r="S316" s="3">
        <f t="shared" si="64"/>
        <v>156</v>
      </c>
      <c r="T316" s="1">
        <v>0.82830000000000004</v>
      </c>
      <c r="U316" s="6">
        <f t="shared" si="55"/>
        <v>156.5487</v>
      </c>
    </row>
    <row r="317" spans="1:21" x14ac:dyDescent="0.35">
      <c r="A317">
        <v>316</v>
      </c>
      <c r="B317" s="5">
        <v>44512</v>
      </c>
      <c r="C317" s="4">
        <f t="shared" si="56"/>
        <v>2021</v>
      </c>
      <c r="D317" s="4">
        <f t="shared" si="57"/>
        <v>11</v>
      </c>
      <c r="E317" s="14">
        <v>44512</v>
      </c>
      <c r="F317" s="4">
        <f t="shared" si="58"/>
        <v>12</v>
      </c>
      <c r="G317">
        <v>225</v>
      </c>
      <c r="H317">
        <v>200</v>
      </c>
      <c r="I317" s="13">
        <f t="shared" si="59"/>
        <v>0.88</v>
      </c>
      <c r="J317">
        <f t="shared" si="52"/>
        <v>25</v>
      </c>
      <c r="K317" s="2">
        <v>2.4305555555555555E-4</v>
      </c>
      <c r="L317" s="11">
        <f t="shared" si="53"/>
        <v>70</v>
      </c>
      <c r="M317" s="3">
        <f t="shared" si="60"/>
        <v>0.35</v>
      </c>
      <c r="N317" s="4">
        <f t="shared" si="61"/>
        <v>21</v>
      </c>
      <c r="O317" s="2">
        <v>1.6319444444444445E-3</v>
      </c>
      <c r="P317" s="9">
        <f t="shared" si="54"/>
        <v>470</v>
      </c>
      <c r="Q317" s="3">
        <f t="shared" si="62"/>
        <v>2.35</v>
      </c>
      <c r="R317" s="4">
        <f t="shared" si="63"/>
        <v>141</v>
      </c>
      <c r="S317" s="3">
        <f t="shared" si="64"/>
        <v>146</v>
      </c>
      <c r="T317" s="1">
        <v>0.73109999999999997</v>
      </c>
      <c r="U317" s="6">
        <f t="shared" si="55"/>
        <v>146.22</v>
      </c>
    </row>
    <row r="318" spans="1:21" x14ac:dyDescent="0.35">
      <c r="A318">
        <v>317</v>
      </c>
      <c r="B318" s="5">
        <v>44513</v>
      </c>
      <c r="C318" s="4">
        <f t="shared" si="56"/>
        <v>2021</v>
      </c>
      <c r="D318" s="4">
        <f t="shared" si="57"/>
        <v>11</v>
      </c>
      <c r="E318" s="14">
        <v>44513</v>
      </c>
      <c r="F318" s="4">
        <f t="shared" si="58"/>
        <v>13</v>
      </c>
      <c r="G318">
        <v>200</v>
      </c>
      <c r="H318">
        <v>193</v>
      </c>
      <c r="I318" s="13">
        <f t="shared" si="59"/>
        <v>0.96</v>
      </c>
      <c r="J318">
        <f t="shared" si="52"/>
        <v>7</v>
      </c>
      <c r="K318" s="2">
        <v>1.9675925925925926E-4</v>
      </c>
      <c r="L318" s="11">
        <f t="shared" si="53"/>
        <v>54.68333333333333</v>
      </c>
      <c r="M318" s="3">
        <f t="shared" si="60"/>
        <v>0.28333333333333333</v>
      </c>
      <c r="N318" s="4">
        <f t="shared" si="61"/>
        <v>17</v>
      </c>
      <c r="O318" s="2">
        <v>1.6550925925925926E-3</v>
      </c>
      <c r="P318" s="9">
        <f t="shared" si="54"/>
        <v>459.98333333333335</v>
      </c>
      <c r="Q318" s="3">
        <f t="shared" si="62"/>
        <v>2.3833333333333333</v>
      </c>
      <c r="R318" s="4">
        <f t="shared" si="63"/>
        <v>143</v>
      </c>
      <c r="S318" s="3">
        <f t="shared" si="64"/>
        <v>153</v>
      </c>
      <c r="T318" s="1">
        <v>0.79290000000000005</v>
      </c>
      <c r="U318" s="6">
        <f t="shared" si="55"/>
        <v>153.02970000000002</v>
      </c>
    </row>
    <row r="319" spans="1:21" x14ac:dyDescent="0.35">
      <c r="A319">
        <v>318</v>
      </c>
      <c r="B319" s="5">
        <v>44514</v>
      </c>
      <c r="C319" s="4">
        <f t="shared" si="56"/>
        <v>2021</v>
      </c>
      <c r="D319" s="4">
        <f t="shared" si="57"/>
        <v>11</v>
      </c>
      <c r="E319" s="14">
        <v>44514</v>
      </c>
      <c r="F319" s="4">
        <f t="shared" si="58"/>
        <v>14</v>
      </c>
      <c r="G319">
        <v>189</v>
      </c>
      <c r="H319">
        <v>179</v>
      </c>
      <c r="I319" s="13">
        <f t="shared" si="59"/>
        <v>0.94</v>
      </c>
      <c r="J319">
        <f t="shared" si="52"/>
        <v>10</v>
      </c>
      <c r="K319" s="2">
        <v>2.5462962962962961E-4</v>
      </c>
      <c r="L319" s="11">
        <f t="shared" si="53"/>
        <v>65.633333333333326</v>
      </c>
      <c r="M319" s="3">
        <f t="shared" si="60"/>
        <v>0.36666666666666664</v>
      </c>
      <c r="N319" s="4">
        <f t="shared" si="61"/>
        <v>22</v>
      </c>
      <c r="O319" s="2">
        <v>1.5046296296296296E-3</v>
      </c>
      <c r="P319" s="9">
        <f t="shared" si="54"/>
        <v>387.83333333333331</v>
      </c>
      <c r="Q319" s="3">
        <f t="shared" si="62"/>
        <v>2.1666666666666665</v>
      </c>
      <c r="R319" s="4">
        <f t="shared" si="63"/>
        <v>130</v>
      </c>
      <c r="S319" s="3">
        <f t="shared" si="64"/>
        <v>139</v>
      </c>
      <c r="T319" s="1">
        <v>0.78069999999999995</v>
      </c>
      <c r="U319" s="6">
        <f t="shared" si="55"/>
        <v>139.74529999999999</v>
      </c>
    </row>
    <row r="320" spans="1:21" x14ac:dyDescent="0.35">
      <c r="A320">
        <v>319</v>
      </c>
      <c r="B320" s="5">
        <v>44515</v>
      </c>
      <c r="C320" s="4">
        <f t="shared" si="56"/>
        <v>2021</v>
      </c>
      <c r="D320" s="4">
        <f t="shared" si="57"/>
        <v>11</v>
      </c>
      <c r="E320" s="14">
        <v>44515</v>
      </c>
      <c r="F320" s="4">
        <f t="shared" si="58"/>
        <v>15</v>
      </c>
      <c r="G320">
        <v>169</v>
      </c>
      <c r="H320">
        <v>159</v>
      </c>
      <c r="I320" s="13">
        <f t="shared" si="59"/>
        <v>0.94</v>
      </c>
      <c r="J320">
        <f t="shared" si="52"/>
        <v>10</v>
      </c>
      <c r="K320" s="2">
        <v>2.5462962962962961E-4</v>
      </c>
      <c r="L320" s="11">
        <f t="shared" si="53"/>
        <v>58.3</v>
      </c>
      <c r="M320" s="3">
        <f t="shared" si="60"/>
        <v>0.36666666666666664</v>
      </c>
      <c r="N320" s="4">
        <f t="shared" si="61"/>
        <v>22</v>
      </c>
      <c r="O320" s="2">
        <v>1.6550925925925926E-3</v>
      </c>
      <c r="P320" s="9">
        <f t="shared" si="54"/>
        <v>378.95</v>
      </c>
      <c r="Q320" s="3">
        <f t="shared" si="62"/>
        <v>2.3833333333333333</v>
      </c>
      <c r="R320" s="4">
        <f t="shared" si="63"/>
        <v>143</v>
      </c>
      <c r="S320" s="3">
        <f t="shared" si="64"/>
        <v>117</v>
      </c>
      <c r="T320" s="1">
        <v>0.73650000000000004</v>
      </c>
      <c r="U320" s="6">
        <f t="shared" si="55"/>
        <v>117.10350000000001</v>
      </c>
    </row>
    <row r="321" spans="1:21" x14ac:dyDescent="0.35">
      <c r="A321">
        <v>320</v>
      </c>
      <c r="B321" s="5">
        <v>44516</v>
      </c>
      <c r="C321" s="4">
        <f t="shared" si="56"/>
        <v>2021</v>
      </c>
      <c r="D321" s="4">
        <f t="shared" si="57"/>
        <v>11</v>
      </c>
      <c r="E321" s="14">
        <v>44516</v>
      </c>
      <c r="F321" s="4">
        <f t="shared" si="58"/>
        <v>16</v>
      </c>
      <c r="G321">
        <v>41</v>
      </c>
      <c r="H321">
        <v>40</v>
      </c>
      <c r="I321" s="13">
        <f t="shared" si="59"/>
        <v>0.97</v>
      </c>
      <c r="J321">
        <f t="shared" si="52"/>
        <v>1</v>
      </c>
      <c r="K321" s="2">
        <v>2.8935185185185184E-4</v>
      </c>
      <c r="L321" s="11">
        <f t="shared" si="53"/>
        <v>16.666666666666668</v>
      </c>
      <c r="M321" s="3">
        <f t="shared" si="60"/>
        <v>0.41666666666666669</v>
      </c>
      <c r="N321" s="4">
        <f t="shared" si="61"/>
        <v>25</v>
      </c>
      <c r="O321" s="2">
        <v>1.7592592592592592E-3</v>
      </c>
      <c r="P321" s="9">
        <f t="shared" si="54"/>
        <v>101.33333333333333</v>
      </c>
      <c r="Q321" s="3">
        <f t="shared" si="62"/>
        <v>2.5333333333333332</v>
      </c>
      <c r="R321" s="4">
        <f t="shared" si="63"/>
        <v>152</v>
      </c>
      <c r="S321" s="3">
        <f t="shared" si="64"/>
        <v>27</v>
      </c>
      <c r="T321" s="1">
        <v>0.68289999999999995</v>
      </c>
      <c r="U321" s="6">
        <f t="shared" si="55"/>
        <v>27.315999999999999</v>
      </c>
    </row>
    <row r="322" spans="1:21" x14ac:dyDescent="0.35">
      <c r="A322">
        <v>321</v>
      </c>
      <c r="B322" s="5">
        <v>44517</v>
      </c>
      <c r="C322" s="4">
        <f t="shared" si="56"/>
        <v>2021</v>
      </c>
      <c r="D322" s="4">
        <f t="shared" si="57"/>
        <v>11</v>
      </c>
      <c r="E322" s="14">
        <v>44517</v>
      </c>
      <c r="F322" s="4">
        <f t="shared" si="58"/>
        <v>17</v>
      </c>
      <c r="G322">
        <v>218</v>
      </c>
      <c r="H322">
        <v>187</v>
      </c>
      <c r="I322" s="13">
        <f t="shared" si="59"/>
        <v>0.85</v>
      </c>
      <c r="J322">
        <f t="shared" ref="J322:J385" si="65">G322-H322</f>
        <v>31</v>
      </c>
      <c r="K322" s="2">
        <v>5.5555555555555556E-4</v>
      </c>
      <c r="L322" s="11">
        <f t="shared" ref="L322:L385" si="66">H322*M322</f>
        <v>149.6</v>
      </c>
      <c r="M322" s="3">
        <f t="shared" si="60"/>
        <v>0.8</v>
      </c>
      <c r="N322" s="4">
        <f t="shared" si="61"/>
        <v>48</v>
      </c>
      <c r="O322" s="2">
        <v>1.5625000000000001E-3</v>
      </c>
      <c r="P322" s="9">
        <f t="shared" ref="P322:P385" si="67">Q322*H322</f>
        <v>420.75</v>
      </c>
      <c r="Q322" s="3">
        <f t="shared" si="62"/>
        <v>2.25</v>
      </c>
      <c r="R322" s="4">
        <f t="shared" si="63"/>
        <v>135</v>
      </c>
      <c r="S322" s="3">
        <f t="shared" si="64"/>
        <v>97</v>
      </c>
      <c r="T322" s="1">
        <v>0.52110000000000001</v>
      </c>
      <c r="U322" s="6">
        <f t="shared" ref="U322:U385" si="68">T322*H322</f>
        <v>97.445700000000002</v>
      </c>
    </row>
    <row r="323" spans="1:21" x14ac:dyDescent="0.35">
      <c r="A323">
        <v>322</v>
      </c>
      <c r="B323" s="5">
        <v>44518</v>
      </c>
      <c r="C323" s="4">
        <f t="shared" ref="C323:C386" si="69">YEAR(B323)</f>
        <v>2021</v>
      </c>
      <c r="D323" s="4">
        <f t="shared" ref="D323:D386" si="70">MONTH(B323)</f>
        <v>11</v>
      </c>
      <c r="E323" s="14">
        <v>44518</v>
      </c>
      <c r="F323" s="4">
        <f t="shared" ref="F323:F386" si="71">DAY(B323)</f>
        <v>18</v>
      </c>
      <c r="G323">
        <v>194</v>
      </c>
      <c r="H323">
        <v>185</v>
      </c>
      <c r="I323" s="13">
        <f t="shared" ref="I323:I386" si="72">TRUNC(H323/G323,2)</f>
        <v>0.95</v>
      </c>
      <c r="J323">
        <f t="shared" si="65"/>
        <v>9</v>
      </c>
      <c r="K323" s="2">
        <v>2.4305555555555555E-4</v>
      </c>
      <c r="L323" s="11">
        <f t="shared" si="66"/>
        <v>64.75</v>
      </c>
      <c r="M323" s="3">
        <f t="shared" ref="M323:M386" si="73">MINUTE(K323)+SECOND(K323)/60</f>
        <v>0.35</v>
      </c>
      <c r="N323" s="4">
        <f t="shared" ref="N323:N386" si="74">M323*60</f>
        <v>21</v>
      </c>
      <c r="O323" s="2">
        <v>1.5046296296296296E-3</v>
      </c>
      <c r="P323" s="9">
        <f t="shared" si="67"/>
        <v>400.83333333333331</v>
      </c>
      <c r="Q323" s="3">
        <f t="shared" ref="Q323:Q386" si="75">MINUTE(O323)+SECOND(O323)/60</f>
        <v>2.1666666666666665</v>
      </c>
      <c r="R323" s="4">
        <f t="shared" ref="R323:R386" si="76">Q323*60</f>
        <v>130</v>
      </c>
      <c r="S323" s="3">
        <f t="shared" ref="S323:S386" si="77">TRUNC(U323,0)</f>
        <v>132</v>
      </c>
      <c r="T323" s="1">
        <v>0.71579999999999999</v>
      </c>
      <c r="U323" s="6">
        <f t="shared" si="68"/>
        <v>132.423</v>
      </c>
    </row>
    <row r="324" spans="1:21" x14ac:dyDescent="0.35">
      <c r="A324">
        <v>323</v>
      </c>
      <c r="B324" s="5">
        <v>44519</v>
      </c>
      <c r="C324" s="4">
        <f t="shared" si="69"/>
        <v>2021</v>
      </c>
      <c r="D324" s="4">
        <f t="shared" si="70"/>
        <v>11</v>
      </c>
      <c r="E324" s="14">
        <v>44519</v>
      </c>
      <c r="F324" s="4">
        <f t="shared" si="71"/>
        <v>19</v>
      </c>
      <c r="G324">
        <v>176</v>
      </c>
      <c r="H324">
        <v>172</v>
      </c>
      <c r="I324" s="13">
        <f t="shared" si="72"/>
        <v>0.97</v>
      </c>
      <c r="J324">
        <f t="shared" si="65"/>
        <v>4</v>
      </c>
      <c r="K324" s="2">
        <v>1.8518518518518518E-4</v>
      </c>
      <c r="L324" s="11">
        <f t="shared" si="66"/>
        <v>45.866666666666667</v>
      </c>
      <c r="M324" s="3">
        <f t="shared" si="73"/>
        <v>0.26666666666666666</v>
      </c>
      <c r="N324" s="4">
        <f t="shared" si="74"/>
        <v>16</v>
      </c>
      <c r="O324" s="2">
        <v>1.6203703703703703E-3</v>
      </c>
      <c r="P324" s="9">
        <f t="shared" si="67"/>
        <v>401.33333333333337</v>
      </c>
      <c r="Q324" s="3">
        <f t="shared" si="75"/>
        <v>2.3333333333333335</v>
      </c>
      <c r="R324" s="4">
        <f t="shared" si="76"/>
        <v>140</v>
      </c>
      <c r="S324" s="3">
        <f t="shared" si="77"/>
        <v>141</v>
      </c>
      <c r="T324" s="1">
        <v>0.82079999999999997</v>
      </c>
      <c r="U324" s="6">
        <f t="shared" si="68"/>
        <v>141.17759999999998</v>
      </c>
    </row>
    <row r="325" spans="1:21" x14ac:dyDescent="0.35">
      <c r="A325">
        <v>324</v>
      </c>
      <c r="B325" s="5">
        <v>44520</v>
      </c>
      <c r="C325" s="4">
        <f t="shared" si="69"/>
        <v>2021</v>
      </c>
      <c r="D325" s="4">
        <f t="shared" si="70"/>
        <v>11</v>
      </c>
      <c r="E325" s="14">
        <v>44520</v>
      </c>
      <c r="F325" s="4">
        <f t="shared" si="71"/>
        <v>20</v>
      </c>
      <c r="G325">
        <v>181</v>
      </c>
      <c r="H325">
        <v>179</v>
      </c>
      <c r="I325" s="13">
        <f t="shared" si="72"/>
        <v>0.98</v>
      </c>
      <c r="J325">
        <f t="shared" si="65"/>
        <v>2</v>
      </c>
      <c r="K325" s="2">
        <v>2.0833333333333335E-4</v>
      </c>
      <c r="L325" s="11">
        <f t="shared" si="66"/>
        <v>53.699999999999996</v>
      </c>
      <c r="M325" s="3">
        <f t="shared" si="73"/>
        <v>0.3</v>
      </c>
      <c r="N325" s="4">
        <f t="shared" si="74"/>
        <v>18</v>
      </c>
      <c r="O325" s="2">
        <v>1.6319444444444445E-3</v>
      </c>
      <c r="P325" s="9">
        <f t="shared" si="67"/>
        <v>420.65000000000003</v>
      </c>
      <c r="Q325" s="3">
        <f t="shared" si="75"/>
        <v>2.35</v>
      </c>
      <c r="R325" s="4">
        <f t="shared" si="76"/>
        <v>141</v>
      </c>
      <c r="S325" s="3">
        <f t="shared" si="77"/>
        <v>144</v>
      </c>
      <c r="T325" s="1">
        <v>0.80559999999999998</v>
      </c>
      <c r="U325" s="6">
        <f t="shared" si="68"/>
        <v>144.20239999999998</v>
      </c>
    </row>
    <row r="326" spans="1:21" x14ac:dyDescent="0.35">
      <c r="A326">
        <v>325</v>
      </c>
      <c r="B326" s="5">
        <v>44521</v>
      </c>
      <c r="C326" s="4">
        <f t="shared" si="69"/>
        <v>2021</v>
      </c>
      <c r="D326" s="4">
        <f t="shared" si="70"/>
        <v>11</v>
      </c>
      <c r="E326" s="14">
        <v>44521</v>
      </c>
      <c r="F326" s="4">
        <f t="shared" si="71"/>
        <v>21</v>
      </c>
      <c r="G326">
        <v>159</v>
      </c>
      <c r="H326">
        <v>151</v>
      </c>
      <c r="I326" s="13">
        <f t="shared" si="72"/>
        <v>0.94</v>
      </c>
      <c r="J326">
        <f t="shared" si="65"/>
        <v>8</v>
      </c>
      <c r="K326" s="2">
        <v>3.3564814814814812E-4</v>
      </c>
      <c r="L326" s="11">
        <f t="shared" si="66"/>
        <v>72.983333333333334</v>
      </c>
      <c r="M326" s="3">
        <f t="shared" si="73"/>
        <v>0.48333333333333334</v>
      </c>
      <c r="N326" s="4">
        <f t="shared" si="74"/>
        <v>29</v>
      </c>
      <c r="O326" s="2">
        <v>1.3773148148148147E-3</v>
      </c>
      <c r="P326" s="9">
        <f t="shared" si="67"/>
        <v>299.48333333333335</v>
      </c>
      <c r="Q326" s="3">
        <f t="shared" si="75"/>
        <v>1.9833333333333334</v>
      </c>
      <c r="R326" s="4">
        <f t="shared" si="76"/>
        <v>119</v>
      </c>
      <c r="S326" s="3">
        <f t="shared" si="77"/>
        <v>92</v>
      </c>
      <c r="T326" s="1">
        <v>0.61009999999999998</v>
      </c>
      <c r="U326" s="6">
        <f t="shared" si="68"/>
        <v>92.125100000000003</v>
      </c>
    </row>
    <row r="327" spans="1:21" x14ac:dyDescent="0.35">
      <c r="A327">
        <v>326</v>
      </c>
      <c r="B327" s="5">
        <v>44522</v>
      </c>
      <c r="C327" s="4">
        <f t="shared" si="69"/>
        <v>2021</v>
      </c>
      <c r="D327" s="4">
        <f t="shared" si="70"/>
        <v>11</v>
      </c>
      <c r="E327" s="14">
        <v>44522</v>
      </c>
      <c r="F327" s="4">
        <f t="shared" si="71"/>
        <v>22</v>
      </c>
      <c r="G327">
        <v>144</v>
      </c>
      <c r="H327">
        <v>135</v>
      </c>
      <c r="I327" s="13">
        <f t="shared" si="72"/>
        <v>0.93</v>
      </c>
      <c r="J327">
        <f t="shared" si="65"/>
        <v>9</v>
      </c>
      <c r="K327" s="2">
        <v>2.7777777777777778E-4</v>
      </c>
      <c r="L327" s="11">
        <f t="shared" si="66"/>
        <v>54</v>
      </c>
      <c r="M327" s="3">
        <f t="shared" si="73"/>
        <v>0.4</v>
      </c>
      <c r="N327" s="4">
        <f t="shared" si="74"/>
        <v>24</v>
      </c>
      <c r="O327" s="2">
        <v>1.5277777777777779E-3</v>
      </c>
      <c r="P327" s="9">
        <f t="shared" si="67"/>
        <v>297</v>
      </c>
      <c r="Q327" s="3">
        <f t="shared" si="75"/>
        <v>2.2000000000000002</v>
      </c>
      <c r="R327" s="4">
        <f t="shared" si="76"/>
        <v>132</v>
      </c>
      <c r="S327" s="3">
        <f t="shared" si="77"/>
        <v>95</v>
      </c>
      <c r="T327" s="1">
        <v>0.70630000000000004</v>
      </c>
      <c r="U327" s="6">
        <f t="shared" si="68"/>
        <v>95.350500000000011</v>
      </c>
    </row>
    <row r="328" spans="1:21" x14ac:dyDescent="0.35">
      <c r="A328">
        <v>327</v>
      </c>
      <c r="B328" s="5">
        <v>44523</v>
      </c>
      <c r="C328" s="4">
        <f t="shared" si="69"/>
        <v>2021</v>
      </c>
      <c r="D328" s="4">
        <f t="shared" si="70"/>
        <v>11</v>
      </c>
      <c r="E328" s="14">
        <v>44523</v>
      </c>
      <c r="F328" s="4">
        <f t="shared" si="71"/>
        <v>23</v>
      </c>
      <c r="G328">
        <v>30</v>
      </c>
      <c r="H328">
        <v>29</v>
      </c>
      <c r="I328" s="13">
        <f t="shared" si="72"/>
        <v>0.96</v>
      </c>
      <c r="J328">
        <f t="shared" si="65"/>
        <v>1</v>
      </c>
      <c r="K328" s="2">
        <v>3.8194444444444446E-4</v>
      </c>
      <c r="L328" s="11">
        <f t="shared" si="66"/>
        <v>15.950000000000001</v>
      </c>
      <c r="M328" s="3">
        <f t="shared" si="73"/>
        <v>0.55000000000000004</v>
      </c>
      <c r="N328" s="4">
        <f t="shared" si="74"/>
        <v>33</v>
      </c>
      <c r="O328" s="2">
        <v>2.0601851851851853E-3</v>
      </c>
      <c r="P328" s="9">
        <f t="shared" si="67"/>
        <v>86.033333333333331</v>
      </c>
      <c r="Q328" s="3">
        <f t="shared" si="75"/>
        <v>2.9666666666666668</v>
      </c>
      <c r="R328" s="4">
        <f t="shared" si="76"/>
        <v>178</v>
      </c>
      <c r="S328" s="3">
        <f t="shared" si="77"/>
        <v>17</v>
      </c>
      <c r="T328" s="1">
        <v>0.6</v>
      </c>
      <c r="U328" s="6">
        <f t="shared" si="68"/>
        <v>17.399999999999999</v>
      </c>
    </row>
    <row r="329" spans="1:21" x14ac:dyDescent="0.35">
      <c r="A329">
        <v>328</v>
      </c>
      <c r="B329" s="5">
        <v>44524</v>
      </c>
      <c r="C329" s="4">
        <f t="shared" si="69"/>
        <v>2021</v>
      </c>
      <c r="D329" s="4">
        <f t="shared" si="70"/>
        <v>11</v>
      </c>
      <c r="E329" s="14">
        <v>44524</v>
      </c>
      <c r="F329" s="4">
        <f t="shared" si="71"/>
        <v>24</v>
      </c>
      <c r="G329">
        <v>197</v>
      </c>
      <c r="H329">
        <v>185</v>
      </c>
      <c r="I329" s="13">
        <f t="shared" si="72"/>
        <v>0.93</v>
      </c>
      <c r="J329">
        <f t="shared" si="65"/>
        <v>12</v>
      </c>
      <c r="K329" s="2">
        <v>2.7777777777777778E-4</v>
      </c>
      <c r="L329" s="11">
        <f t="shared" si="66"/>
        <v>74</v>
      </c>
      <c r="M329" s="3">
        <f t="shared" si="73"/>
        <v>0.4</v>
      </c>
      <c r="N329" s="4">
        <f t="shared" si="74"/>
        <v>24</v>
      </c>
      <c r="O329" s="2">
        <v>1.5972222222222223E-3</v>
      </c>
      <c r="P329" s="9">
        <f t="shared" si="67"/>
        <v>425.49999999999994</v>
      </c>
      <c r="Q329" s="3">
        <f t="shared" si="75"/>
        <v>2.2999999999999998</v>
      </c>
      <c r="R329" s="4">
        <f t="shared" si="76"/>
        <v>138</v>
      </c>
      <c r="S329" s="3">
        <f t="shared" si="77"/>
        <v>126</v>
      </c>
      <c r="T329" s="1">
        <v>0.68230000000000002</v>
      </c>
      <c r="U329" s="6">
        <f t="shared" si="68"/>
        <v>126.2255</v>
      </c>
    </row>
    <row r="330" spans="1:21" x14ac:dyDescent="0.35">
      <c r="A330">
        <v>329</v>
      </c>
      <c r="B330" s="5">
        <v>44525</v>
      </c>
      <c r="C330" s="4">
        <f t="shared" si="69"/>
        <v>2021</v>
      </c>
      <c r="D330" s="4">
        <f t="shared" si="70"/>
        <v>11</v>
      </c>
      <c r="E330" s="14">
        <v>44525</v>
      </c>
      <c r="F330" s="4">
        <f t="shared" si="71"/>
        <v>25</v>
      </c>
      <c r="G330">
        <v>56</v>
      </c>
      <c r="H330">
        <v>47</v>
      </c>
      <c r="I330" s="13">
        <f t="shared" si="72"/>
        <v>0.83</v>
      </c>
      <c r="J330">
        <f t="shared" si="65"/>
        <v>9</v>
      </c>
      <c r="K330" s="2">
        <v>2.7777777777777778E-4</v>
      </c>
      <c r="L330" s="11">
        <f t="shared" si="66"/>
        <v>18.8</v>
      </c>
      <c r="M330" s="3">
        <f t="shared" si="73"/>
        <v>0.4</v>
      </c>
      <c r="N330" s="4">
        <f t="shared" si="74"/>
        <v>24</v>
      </c>
      <c r="O330" s="2">
        <v>1.6435185185185185E-3</v>
      </c>
      <c r="P330" s="9">
        <f t="shared" si="67"/>
        <v>111.23333333333333</v>
      </c>
      <c r="Q330" s="3">
        <f t="shared" si="75"/>
        <v>2.3666666666666667</v>
      </c>
      <c r="R330" s="4">
        <f t="shared" si="76"/>
        <v>142</v>
      </c>
      <c r="S330" s="3">
        <f t="shared" si="77"/>
        <v>27</v>
      </c>
      <c r="T330" s="1">
        <v>0.58930000000000005</v>
      </c>
      <c r="U330" s="6">
        <f t="shared" si="68"/>
        <v>27.697100000000002</v>
      </c>
    </row>
    <row r="331" spans="1:21" x14ac:dyDescent="0.35">
      <c r="A331">
        <v>330</v>
      </c>
      <c r="B331" s="5">
        <v>44526</v>
      </c>
      <c r="C331" s="4">
        <f t="shared" si="69"/>
        <v>2021</v>
      </c>
      <c r="D331" s="4">
        <f t="shared" si="70"/>
        <v>11</v>
      </c>
      <c r="E331" s="14">
        <v>44526</v>
      </c>
      <c r="F331" s="4">
        <f t="shared" si="71"/>
        <v>26</v>
      </c>
      <c r="G331">
        <v>182</v>
      </c>
      <c r="H331">
        <v>153</v>
      </c>
      <c r="I331" s="13">
        <f t="shared" si="72"/>
        <v>0.84</v>
      </c>
      <c r="J331">
        <f t="shared" si="65"/>
        <v>29</v>
      </c>
      <c r="K331" s="2">
        <v>4.3981481481481481E-4</v>
      </c>
      <c r="L331" s="11">
        <f t="shared" si="66"/>
        <v>96.899999999999991</v>
      </c>
      <c r="M331" s="3">
        <f t="shared" si="73"/>
        <v>0.6333333333333333</v>
      </c>
      <c r="N331" s="4">
        <f t="shared" si="74"/>
        <v>38</v>
      </c>
      <c r="O331" s="2">
        <v>1.5856481481481481E-3</v>
      </c>
      <c r="P331" s="9">
        <f t="shared" si="67"/>
        <v>349.34999999999997</v>
      </c>
      <c r="Q331" s="3">
        <f t="shared" si="75"/>
        <v>2.2833333333333332</v>
      </c>
      <c r="R331" s="4">
        <f t="shared" si="76"/>
        <v>137</v>
      </c>
      <c r="S331" s="3">
        <f t="shared" si="77"/>
        <v>82</v>
      </c>
      <c r="T331" s="1">
        <v>0.53890000000000005</v>
      </c>
      <c r="U331" s="6">
        <f t="shared" si="68"/>
        <v>82.451700000000002</v>
      </c>
    </row>
    <row r="332" spans="1:21" x14ac:dyDescent="0.35">
      <c r="A332">
        <v>331</v>
      </c>
      <c r="B332" s="5">
        <v>44527</v>
      </c>
      <c r="C332" s="4">
        <f t="shared" si="69"/>
        <v>2021</v>
      </c>
      <c r="D332" s="4">
        <f t="shared" si="70"/>
        <v>11</v>
      </c>
      <c r="E332" s="14">
        <v>44527</v>
      </c>
      <c r="F332" s="4">
        <f t="shared" si="71"/>
        <v>27</v>
      </c>
      <c r="G332">
        <v>178</v>
      </c>
      <c r="H332">
        <v>166</v>
      </c>
      <c r="I332" s="13">
        <f t="shared" si="72"/>
        <v>0.93</v>
      </c>
      <c r="J332">
        <f t="shared" si="65"/>
        <v>12</v>
      </c>
      <c r="K332" s="2">
        <v>3.4722222222222224E-4</v>
      </c>
      <c r="L332" s="11">
        <f t="shared" si="66"/>
        <v>83</v>
      </c>
      <c r="M332" s="3">
        <f t="shared" si="73"/>
        <v>0.5</v>
      </c>
      <c r="N332" s="4">
        <f t="shared" si="74"/>
        <v>30</v>
      </c>
      <c r="O332" s="2">
        <v>1.6666666666666668E-3</v>
      </c>
      <c r="P332" s="9">
        <f t="shared" si="67"/>
        <v>398.4</v>
      </c>
      <c r="Q332" s="3">
        <f t="shared" si="75"/>
        <v>2.4</v>
      </c>
      <c r="R332" s="4">
        <f t="shared" si="76"/>
        <v>144</v>
      </c>
      <c r="S332" s="3">
        <f t="shared" si="77"/>
        <v>103</v>
      </c>
      <c r="T332" s="1">
        <v>0.62070000000000003</v>
      </c>
      <c r="U332" s="6">
        <f t="shared" si="68"/>
        <v>103.03620000000001</v>
      </c>
    </row>
    <row r="333" spans="1:21" x14ac:dyDescent="0.35">
      <c r="A333">
        <v>332</v>
      </c>
      <c r="B333" s="5">
        <v>44528</v>
      </c>
      <c r="C333" s="4">
        <f t="shared" si="69"/>
        <v>2021</v>
      </c>
      <c r="D333" s="4">
        <f t="shared" si="70"/>
        <v>11</v>
      </c>
      <c r="E333" s="14">
        <v>44528</v>
      </c>
      <c r="F333" s="4">
        <f t="shared" si="71"/>
        <v>28</v>
      </c>
      <c r="G333">
        <v>183</v>
      </c>
      <c r="H333">
        <v>164</v>
      </c>
      <c r="I333" s="13">
        <f t="shared" si="72"/>
        <v>0.89</v>
      </c>
      <c r="J333">
        <f t="shared" si="65"/>
        <v>19</v>
      </c>
      <c r="K333" s="2">
        <v>2.8935185185185184E-4</v>
      </c>
      <c r="L333" s="11">
        <f t="shared" si="66"/>
        <v>68.333333333333343</v>
      </c>
      <c r="M333" s="3">
        <f t="shared" si="73"/>
        <v>0.41666666666666669</v>
      </c>
      <c r="N333" s="4">
        <f t="shared" si="74"/>
        <v>25</v>
      </c>
      <c r="O333" s="2">
        <v>1.4351851851851852E-3</v>
      </c>
      <c r="P333" s="9">
        <f t="shared" si="67"/>
        <v>338.93333333333339</v>
      </c>
      <c r="Q333" s="3">
        <f t="shared" si="75"/>
        <v>2.0666666666666669</v>
      </c>
      <c r="R333" s="4">
        <f t="shared" si="76"/>
        <v>124.00000000000001</v>
      </c>
      <c r="S333" s="3">
        <f t="shared" si="77"/>
        <v>108</v>
      </c>
      <c r="T333" s="1">
        <v>0.65910000000000002</v>
      </c>
      <c r="U333" s="6">
        <f t="shared" si="68"/>
        <v>108.0924</v>
      </c>
    </row>
    <row r="334" spans="1:21" x14ac:dyDescent="0.35">
      <c r="A334">
        <v>333</v>
      </c>
      <c r="B334" s="5">
        <v>44529</v>
      </c>
      <c r="C334" s="4">
        <f t="shared" si="69"/>
        <v>2021</v>
      </c>
      <c r="D334" s="4">
        <f t="shared" si="70"/>
        <v>11</v>
      </c>
      <c r="E334" s="14">
        <v>44529</v>
      </c>
      <c r="F334" s="4">
        <f t="shared" si="71"/>
        <v>29</v>
      </c>
      <c r="G334">
        <v>197</v>
      </c>
      <c r="H334">
        <v>182</v>
      </c>
      <c r="I334" s="13">
        <f t="shared" si="72"/>
        <v>0.92</v>
      </c>
      <c r="J334">
        <f t="shared" si="65"/>
        <v>15</v>
      </c>
      <c r="K334" s="2">
        <v>3.2407407407407406E-4</v>
      </c>
      <c r="L334" s="11">
        <f t="shared" si="66"/>
        <v>84.933333333333337</v>
      </c>
      <c r="M334" s="3">
        <f t="shared" si="73"/>
        <v>0.46666666666666667</v>
      </c>
      <c r="N334" s="4">
        <f t="shared" si="74"/>
        <v>28</v>
      </c>
      <c r="O334" s="2">
        <v>1.6782407407407408E-3</v>
      </c>
      <c r="P334" s="9">
        <f t="shared" si="67"/>
        <v>439.83333333333331</v>
      </c>
      <c r="Q334" s="3">
        <f t="shared" si="75"/>
        <v>2.4166666666666665</v>
      </c>
      <c r="R334" s="4">
        <f t="shared" si="76"/>
        <v>145</v>
      </c>
      <c r="S334" s="3">
        <f t="shared" si="77"/>
        <v>117</v>
      </c>
      <c r="T334" s="1">
        <v>0.64800000000000002</v>
      </c>
      <c r="U334" s="6">
        <f t="shared" si="68"/>
        <v>117.93600000000001</v>
      </c>
    </row>
    <row r="335" spans="1:21" x14ac:dyDescent="0.35">
      <c r="A335">
        <v>334</v>
      </c>
      <c r="B335" s="5">
        <v>44530</v>
      </c>
      <c r="C335" s="4">
        <f t="shared" si="69"/>
        <v>2021</v>
      </c>
      <c r="D335" s="4">
        <f t="shared" si="70"/>
        <v>11</v>
      </c>
      <c r="E335" s="14">
        <v>44530</v>
      </c>
      <c r="F335" s="4">
        <f t="shared" si="71"/>
        <v>30</v>
      </c>
      <c r="G335">
        <v>60</v>
      </c>
      <c r="H335">
        <v>58</v>
      </c>
      <c r="I335" s="13">
        <f t="shared" si="72"/>
        <v>0.96</v>
      </c>
      <c r="J335">
        <f t="shared" si="65"/>
        <v>2</v>
      </c>
      <c r="K335" s="2">
        <v>4.2824074074074075E-4</v>
      </c>
      <c r="L335" s="11">
        <f t="shared" si="66"/>
        <v>35.766666666666666</v>
      </c>
      <c r="M335" s="3">
        <f t="shared" si="73"/>
        <v>0.6166666666666667</v>
      </c>
      <c r="N335" s="4">
        <f t="shared" si="74"/>
        <v>37</v>
      </c>
      <c r="O335" s="2">
        <v>1.8055555555555555E-3</v>
      </c>
      <c r="P335" s="9">
        <f t="shared" si="67"/>
        <v>150.80000000000001</v>
      </c>
      <c r="Q335" s="3">
        <f t="shared" si="75"/>
        <v>2.6</v>
      </c>
      <c r="R335" s="4">
        <f t="shared" si="76"/>
        <v>156</v>
      </c>
      <c r="S335" s="3">
        <f t="shared" si="77"/>
        <v>31</v>
      </c>
      <c r="T335" s="1">
        <v>0.54239999999999999</v>
      </c>
      <c r="U335" s="6">
        <f t="shared" si="68"/>
        <v>31.459199999999999</v>
      </c>
    </row>
    <row r="336" spans="1:21" x14ac:dyDescent="0.35">
      <c r="A336">
        <v>335</v>
      </c>
      <c r="B336" s="5">
        <v>44531</v>
      </c>
      <c r="C336" s="4">
        <f t="shared" si="69"/>
        <v>2021</v>
      </c>
      <c r="D336" s="4">
        <f t="shared" si="70"/>
        <v>12</v>
      </c>
      <c r="E336" s="14">
        <v>44531</v>
      </c>
      <c r="F336" s="4">
        <f t="shared" si="71"/>
        <v>1</v>
      </c>
      <c r="G336">
        <v>241</v>
      </c>
      <c r="H336">
        <v>224</v>
      </c>
      <c r="I336" s="13">
        <f t="shared" si="72"/>
        <v>0.92</v>
      </c>
      <c r="J336">
        <f t="shared" si="65"/>
        <v>17</v>
      </c>
      <c r="K336" s="2">
        <v>2.6620370370370372E-4</v>
      </c>
      <c r="L336" s="11">
        <f t="shared" si="66"/>
        <v>85.866666666666674</v>
      </c>
      <c r="M336" s="3">
        <f t="shared" si="73"/>
        <v>0.38333333333333336</v>
      </c>
      <c r="N336" s="4">
        <f t="shared" si="74"/>
        <v>23</v>
      </c>
      <c r="O336" s="2">
        <v>1.6782407407407408E-3</v>
      </c>
      <c r="P336" s="9">
        <f t="shared" si="67"/>
        <v>541.33333333333326</v>
      </c>
      <c r="Q336" s="3">
        <f t="shared" si="75"/>
        <v>2.4166666666666665</v>
      </c>
      <c r="R336" s="4">
        <f t="shared" si="76"/>
        <v>145</v>
      </c>
      <c r="S336" s="3">
        <f t="shared" si="77"/>
        <v>157</v>
      </c>
      <c r="T336" s="1">
        <v>0.7046</v>
      </c>
      <c r="U336" s="6">
        <f t="shared" si="68"/>
        <v>157.8304</v>
      </c>
    </row>
    <row r="337" spans="1:21" x14ac:dyDescent="0.35">
      <c r="A337">
        <v>336</v>
      </c>
      <c r="B337" s="5">
        <v>44532</v>
      </c>
      <c r="C337" s="4">
        <f t="shared" si="69"/>
        <v>2021</v>
      </c>
      <c r="D337" s="4">
        <f t="shared" si="70"/>
        <v>12</v>
      </c>
      <c r="E337" s="14">
        <v>44532</v>
      </c>
      <c r="F337" s="4">
        <f t="shared" si="71"/>
        <v>2</v>
      </c>
      <c r="G337">
        <v>307</v>
      </c>
      <c r="H337">
        <v>295</v>
      </c>
      <c r="I337" s="13">
        <f t="shared" si="72"/>
        <v>0.96</v>
      </c>
      <c r="J337">
        <f t="shared" si="65"/>
        <v>12</v>
      </c>
      <c r="K337" s="2">
        <v>3.3564814814814812E-4</v>
      </c>
      <c r="L337" s="11">
        <f t="shared" si="66"/>
        <v>142.58333333333334</v>
      </c>
      <c r="M337" s="3">
        <f t="shared" si="73"/>
        <v>0.48333333333333334</v>
      </c>
      <c r="N337" s="4">
        <f t="shared" si="74"/>
        <v>29</v>
      </c>
      <c r="O337" s="2">
        <v>1.5740740740740741E-3</v>
      </c>
      <c r="P337" s="9">
        <f t="shared" si="67"/>
        <v>668.66666666666663</v>
      </c>
      <c r="Q337" s="3">
        <f t="shared" si="75"/>
        <v>2.2666666666666666</v>
      </c>
      <c r="R337" s="4">
        <f t="shared" si="76"/>
        <v>136</v>
      </c>
      <c r="S337" s="3">
        <f t="shared" si="77"/>
        <v>178</v>
      </c>
      <c r="T337" s="1">
        <v>0.60460000000000003</v>
      </c>
      <c r="U337" s="6">
        <f t="shared" si="68"/>
        <v>178.357</v>
      </c>
    </row>
    <row r="338" spans="1:21" x14ac:dyDescent="0.35">
      <c r="A338">
        <v>337</v>
      </c>
      <c r="B338" s="5">
        <v>44533</v>
      </c>
      <c r="C338" s="4">
        <f t="shared" si="69"/>
        <v>2021</v>
      </c>
      <c r="D338" s="4">
        <f t="shared" si="70"/>
        <v>12</v>
      </c>
      <c r="E338" s="14">
        <v>44533</v>
      </c>
      <c r="F338" s="4">
        <f t="shared" si="71"/>
        <v>3</v>
      </c>
      <c r="G338">
        <v>295</v>
      </c>
      <c r="H338">
        <v>289</v>
      </c>
      <c r="I338" s="13">
        <f t="shared" si="72"/>
        <v>0.97</v>
      </c>
      <c r="J338">
        <f t="shared" si="65"/>
        <v>6</v>
      </c>
      <c r="K338" s="2">
        <v>3.0092592592592595E-4</v>
      </c>
      <c r="L338" s="11">
        <f t="shared" si="66"/>
        <v>125.23333333333333</v>
      </c>
      <c r="M338" s="3">
        <f t="shared" si="73"/>
        <v>0.43333333333333335</v>
      </c>
      <c r="N338" s="4">
        <f t="shared" si="74"/>
        <v>26</v>
      </c>
      <c r="O338" s="2">
        <v>1.6550925925925926E-3</v>
      </c>
      <c r="P338" s="9">
        <f t="shared" si="67"/>
        <v>688.7833333333333</v>
      </c>
      <c r="Q338" s="3">
        <f t="shared" si="75"/>
        <v>2.3833333333333333</v>
      </c>
      <c r="R338" s="4">
        <f t="shared" si="76"/>
        <v>143</v>
      </c>
      <c r="S338" s="3">
        <f t="shared" si="77"/>
        <v>204</v>
      </c>
      <c r="T338" s="1">
        <v>0.70689999999999997</v>
      </c>
      <c r="U338" s="6">
        <f t="shared" si="68"/>
        <v>204.29409999999999</v>
      </c>
    </row>
    <row r="339" spans="1:21" x14ac:dyDescent="0.35">
      <c r="A339">
        <v>338</v>
      </c>
      <c r="B339" s="5">
        <v>44534</v>
      </c>
      <c r="C339" s="4">
        <f t="shared" si="69"/>
        <v>2021</v>
      </c>
      <c r="D339" s="4">
        <f t="shared" si="70"/>
        <v>12</v>
      </c>
      <c r="E339" s="14">
        <v>44534</v>
      </c>
      <c r="F339" s="4">
        <f t="shared" si="71"/>
        <v>4</v>
      </c>
      <c r="G339">
        <v>239</v>
      </c>
      <c r="H339">
        <v>230</v>
      </c>
      <c r="I339" s="13">
        <f t="shared" si="72"/>
        <v>0.96</v>
      </c>
      <c r="J339">
        <f t="shared" si="65"/>
        <v>9</v>
      </c>
      <c r="K339" s="2">
        <v>3.0092592592592595E-4</v>
      </c>
      <c r="L339" s="11">
        <f t="shared" si="66"/>
        <v>99.666666666666671</v>
      </c>
      <c r="M339" s="3">
        <f t="shared" si="73"/>
        <v>0.43333333333333335</v>
      </c>
      <c r="N339" s="4">
        <f t="shared" si="74"/>
        <v>26</v>
      </c>
      <c r="O339" s="2">
        <v>1.5509259259259259E-3</v>
      </c>
      <c r="P339" s="9">
        <f t="shared" si="67"/>
        <v>513.66666666666663</v>
      </c>
      <c r="Q339" s="3">
        <f t="shared" si="75"/>
        <v>2.2333333333333334</v>
      </c>
      <c r="R339" s="4">
        <f t="shared" si="76"/>
        <v>134</v>
      </c>
      <c r="S339" s="3">
        <f t="shared" si="77"/>
        <v>158</v>
      </c>
      <c r="T339" s="1">
        <v>0.68910000000000005</v>
      </c>
      <c r="U339" s="6">
        <f t="shared" si="68"/>
        <v>158.49300000000002</v>
      </c>
    </row>
    <row r="340" spans="1:21" x14ac:dyDescent="0.35">
      <c r="A340">
        <v>339</v>
      </c>
      <c r="B340" s="5">
        <v>44535</v>
      </c>
      <c r="C340" s="4">
        <f t="shared" si="69"/>
        <v>2021</v>
      </c>
      <c r="D340" s="4">
        <f t="shared" si="70"/>
        <v>12</v>
      </c>
      <c r="E340" s="14">
        <v>44535</v>
      </c>
      <c r="F340" s="4">
        <f t="shared" si="71"/>
        <v>5</v>
      </c>
      <c r="G340">
        <v>241</v>
      </c>
      <c r="H340">
        <v>231</v>
      </c>
      <c r="I340" s="13">
        <f t="shared" si="72"/>
        <v>0.95</v>
      </c>
      <c r="J340">
        <f t="shared" si="65"/>
        <v>10</v>
      </c>
      <c r="K340" s="2">
        <v>2.6620370370370372E-4</v>
      </c>
      <c r="L340" s="11">
        <f t="shared" si="66"/>
        <v>88.550000000000011</v>
      </c>
      <c r="M340" s="3">
        <f t="shared" si="73"/>
        <v>0.38333333333333336</v>
      </c>
      <c r="N340" s="4">
        <f t="shared" si="74"/>
        <v>23</v>
      </c>
      <c r="O340" s="2">
        <v>1.6782407407407408E-3</v>
      </c>
      <c r="P340" s="9">
        <f t="shared" si="67"/>
        <v>558.25</v>
      </c>
      <c r="Q340" s="3">
        <f t="shared" si="75"/>
        <v>2.4166666666666665</v>
      </c>
      <c r="R340" s="4">
        <f t="shared" si="76"/>
        <v>145</v>
      </c>
      <c r="S340" s="3">
        <f t="shared" si="77"/>
        <v>167</v>
      </c>
      <c r="T340" s="1">
        <v>0.72460000000000002</v>
      </c>
      <c r="U340" s="6">
        <f t="shared" si="68"/>
        <v>167.3826</v>
      </c>
    </row>
    <row r="341" spans="1:21" x14ac:dyDescent="0.35">
      <c r="A341">
        <v>340</v>
      </c>
      <c r="B341" s="5">
        <v>44536</v>
      </c>
      <c r="C341" s="4">
        <f t="shared" si="69"/>
        <v>2021</v>
      </c>
      <c r="D341" s="4">
        <f t="shared" si="70"/>
        <v>12</v>
      </c>
      <c r="E341" s="14">
        <v>44536</v>
      </c>
      <c r="F341" s="4">
        <f t="shared" si="71"/>
        <v>6</v>
      </c>
      <c r="G341">
        <v>211</v>
      </c>
      <c r="H341">
        <v>195</v>
      </c>
      <c r="I341" s="13">
        <f t="shared" si="72"/>
        <v>0.92</v>
      </c>
      <c r="J341">
        <f t="shared" si="65"/>
        <v>16</v>
      </c>
      <c r="K341" s="2">
        <v>3.8194444444444446E-4</v>
      </c>
      <c r="L341" s="11">
        <f t="shared" si="66"/>
        <v>107.25000000000001</v>
      </c>
      <c r="M341" s="3">
        <f t="shared" si="73"/>
        <v>0.55000000000000004</v>
      </c>
      <c r="N341" s="4">
        <f t="shared" si="74"/>
        <v>33</v>
      </c>
      <c r="O341" s="2">
        <v>1.8749999999999999E-3</v>
      </c>
      <c r="P341" s="9">
        <f t="shared" si="67"/>
        <v>526.5</v>
      </c>
      <c r="Q341" s="3">
        <f t="shared" si="75"/>
        <v>2.7</v>
      </c>
      <c r="R341" s="4">
        <f t="shared" si="76"/>
        <v>162</v>
      </c>
      <c r="S341" s="3">
        <f t="shared" si="77"/>
        <v>102</v>
      </c>
      <c r="T341" s="1">
        <v>0.52400000000000002</v>
      </c>
      <c r="U341" s="6">
        <f t="shared" si="68"/>
        <v>102.18</v>
      </c>
    </row>
    <row r="342" spans="1:21" x14ac:dyDescent="0.35">
      <c r="A342">
        <v>341</v>
      </c>
      <c r="B342" s="5">
        <v>44537</v>
      </c>
      <c r="C342" s="4">
        <f t="shared" si="69"/>
        <v>2021</v>
      </c>
      <c r="D342" s="4">
        <f t="shared" si="70"/>
        <v>12</v>
      </c>
      <c r="E342" s="14">
        <v>44537</v>
      </c>
      <c r="F342" s="4">
        <f t="shared" si="71"/>
        <v>7</v>
      </c>
      <c r="G342">
        <v>40</v>
      </c>
      <c r="H342">
        <v>35</v>
      </c>
      <c r="I342" s="13">
        <f t="shared" si="72"/>
        <v>0.87</v>
      </c>
      <c r="J342">
        <f t="shared" si="65"/>
        <v>5</v>
      </c>
      <c r="K342" s="2">
        <v>4.6296296296296298E-4</v>
      </c>
      <c r="L342" s="11">
        <f t="shared" si="66"/>
        <v>23.333333333333332</v>
      </c>
      <c r="M342" s="3">
        <f t="shared" si="73"/>
        <v>0.66666666666666663</v>
      </c>
      <c r="N342" s="4">
        <f t="shared" si="74"/>
        <v>40</v>
      </c>
      <c r="O342" s="2">
        <v>1.7939814814814815E-3</v>
      </c>
      <c r="P342" s="9">
        <f t="shared" si="67"/>
        <v>90.416666666666671</v>
      </c>
      <c r="Q342" s="3">
        <f t="shared" si="75"/>
        <v>2.5833333333333335</v>
      </c>
      <c r="R342" s="4">
        <f t="shared" si="76"/>
        <v>155</v>
      </c>
      <c r="S342" s="3">
        <f t="shared" si="77"/>
        <v>16</v>
      </c>
      <c r="T342" s="1">
        <v>0.47499999999999998</v>
      </c>
      <c r="U342" s="6">
        <f t="shared" si="68"/>
        <v>16.625</v>
      </c>
    </row>
    <row r="343" spans="1:21" x14ac:dyDescent="0.35">
      <c r="A343">
        <v>342</v>
      </c>
      <c r="B343" s="5">
        <v>44538</v>
      </c>
      <c r="C343" s="4">
        <f t="shared" si="69"/>
        <v>2021</v>
      </c>
      <c r="D343" s="4">
        <f t="shared" si="70"/>
        <v>12</v>
      </c>
      <c r="E343" s="14">
        <v>44538</v>
      </c>
      <c r="F343" s="4">
        <f t="shared" si="71"/>
        <v>8</v>
      </c>
      <c r="G343">
        <v>192</v>
      </c>
      <c r="H343">
        <v>174</v>
      </c>
      <c r="I343" s="13">
        <f t="shared" si="72"/>
        <v>0.9</v>
      </c>
      <c r="J343">
        <f t="shared" si="65"/>
        <v>18</v>
      </c>
      <c r="K343" s="2">
        <v>3.7037037037037035E-4</v>
      </c>
      <c r="L343" s="11">
        <f t="shared" si="66"/>
        <v>92.8</v>
      </c>
      <c r="M343" s="3">
        <f t="shared" si="73"/>
        <v>0.53333333333333333</v>
      </c>
      <c r="N343" s="4">
        <f t="shared" si="74"/>
        <v>32</v>
      </c>
      <c r="O343" s="2">
        <v>1.5740740740740741E-3</v>
      </c>
      <c r="P343" s="9">
        <f t="shared" si="67"/>
        <v>394.4</v>
      </c>
      <c r="Q343" s="3">
        <f t="shared" si="75"/>
        <v>2.2666666666666666</v>
      </c>
      <c r="R343" s="4">
        <f t="shared" si="76"/>
        <v>136</v>
      </c>
      <c r="S343" s="3">
        <f t="shared" si="77"/>
        <v>97</v>
      </c>
      <c r="T343" s="1">
        <v>0.55789999999999995</v>
      </c>
      <c r="U343" s="6">
        <f t="shared" si="68"/>
        <v>97.07459999999999</v>
      </c>
    </row>
    <row r="344" spans="1:21" x14ac:dyDescent="0.35">
      <c r="A344">
        <v>343</v>
      </c>
      <c r="B344" s="5">
        <v>44539</v>
      </c>
      <c r="C344" s="4">
        <f t="shared" si="69"/>
        <v>2021</v>
      </c>
      <c r="D344" s="4">
        <f t="shared" si="70"/>
        <v>12</v>
      </c>
      <c r="E344" s="14">
        <v>44539</v>
      </c>
      <c r="F344" s="4">
        <f t="shared" si="71"/>
        <v>9</v>
      </c>
      <c r="G344">
        <v>201</v>
      </c>
      <c r="H344">
        <v>179</v>
      </c>
      <c r="I344" s="13">
        <f t="shared" si="72"/>
        <v>0.89</v>
      </c>
      <c r="J344">
        <f t="shared" si="65"/>
        <v>22</v>
      </c>
      <c r="K344" s="2">
        <v>4.0509259259259258E-4</v>
      </c>
      <c r="L344" s="11">
        <f t="shared" si="66"/>
        <v>104.41666666666667</v>
      </c>
      <c r="M344" s="3">
        <f t="shared" si="73"/>
        <v>0.58333333333333337</v>
      </c>
      <c r="N344" s="4">
        <f t="shared" si="74"/>
        <v>35</v>
      </c>
      <c r="O344" s="2">
        <v>1.5972222222222223E-3</v>
      </c>
      <c r="P344" s="9">
        <f t="shared" si="67"/>
        <v>411.7</v>
      </c>
      <c r="Q344" s="3">
        <f t="shared" si="75"/>
        <v>2.2999999999999998</v>
      </c>
      <c r="R344" s="4">
        <f t="shared" si="76"/>
        <v>138</v>
      </c>
      <c r="S344" s="3">
        <f t="shared" si="77"/>
        <v>102</v>
      </c>
      <c r="T344" s="1">
        <v>0.57289999999999996</v>
      </c>
      <c r="U344" s="6">
        <f t="shared" si="68"/>
        <v>102.5491</v>
      </c>
    </row>
    <row r="345" spans="1:21" x14ac:dyDescent="0.35">
      <c r="A345">
        <v>344</v>
      </c>
      <c r="B345" s="5">
        <v>44540</v>
      </c>
      <c r="C345" s="4">
        <f t="shared" si="69"/>
        <v>2021</v>
      </c>
      <c r="D345" s="4">
        <f t="shared" si="70"/>
        <v>12</v>
      </c>
      <c r="E345" s="14">
        <v>44540</v>
      </c>
      <c r="F345" s="4">
        <f t="shared" si="71"/>
        <v>10</v>
      </c>
      <c r="G345">
        <v>274</v>
      </c>
      <c r="H345">
        <v>247</v>
      </c>
      <c r="I345" s="13">
        <f t="shared" si="72"/>
        <v>0.9</v>
      </c>
      <c r="J345">
        <f t="shared" si="65"/>
        <v>27</v>
      </c>
      <c r="K345" s="2">
        <v>3.2407407407407406E-4</v>
      </c>
      <c r="L345" s="11">
        <f t="shared" si="66"/>
        <v>115.26666666666667</v>
      </c>
      <c r="M345" s="3">
        <f t="shared" si="73"/>
        <v>0.46666666666666667</v>
      </c>
      <c r="N345" s="4">
        <f t="shared" si="74"/>
        <v>28</v>
      </c>
      <c r="O345" s="2">
        <v>1.5046296296296296E-3</v>
      </c>
      <c r="P345" s="9">
        <f t="shared" si="67"/>
        <v>535.16666666666663</v>
      </c>
      <c r="Q345" s="3">
        <f t="shared" si="75"/>
        <v>2.1666666666666665</v>
      </c>
      <c r="R345" s="4">
        <f t="shared" si="76"/>
        <v>130</v>
      </c>
      <c r="S345" s="3">
        <f t="shared" si="77"/>
        <v>157</v>
      </c>
      <c r="T345" s="1">
        <v>0.63939999999999997</v>
      </c>
      <c r="U345" s="6">
        <f t="shared" si="68"/>
        <v>157.93179999999998</v>
      </c>
    </row>
    <row r="346" spans="1:21" x14ac:dyDescent="0.35">
      <c r="A346">
        <v>345</v>
      </c>
      <c r="B346" s="5">
        <v>44541</v>
      </c>
      <c r="C346" s="4">
        <f t="shared" si="69"/>
        <v>2021</v>
      </c>
      <c r="D346" s="4">
        <f t="shared" si="70"/>
        <v>12</v>
      </c>
      <c r="E346" s="14">
        <v>44541</v>
      </c>
      <c r="F346" s="4">
        <f t="shared" si="71"/>
        <v>11</v>
      </c>
      <c r="G346">
        <v>205</v>
      </c>
      <c r="H346">
        <v>176</v>
      </c>
      <c r="I346" s="13">
        <f t="shared" si="72"/>
        <v>0.85</v>
      </c>
      <c r="J346">
        <f t="shared" si="65"/>
        <v>29</v>
      </c>
      <c r="K346" s="2">
        <v>4.7453703703703704E-4</v>
      </c>
      <c r="L346" s="11">
        <f t="shared" si="66"/>
        <v>120.26666666666667</v>
      </c>
      <c r="M346" s="3">
        <f t="shared" si="73"/>
        <v>0.68333333333333335</v>
      </c>
      <c r="N346" s="4">
        <f t="shared" si="74"/>
        <v>41</v>
      </c>
      <c r="O346" s="2">
        <v>1.5740740740740741E-3</v>
      </c>
      <c r="P346" s="9">
        <f t="shared" si="67"/>
        <v>398.93333333333334</v>
      </c>
      <c r="Q346" s="3">
        <f t="shared" si="75"/>
        <v>2.2666666666666666</v>
      </c>
      <c r="R346" s="4">
        <f t="shared" si="76"/>
        <v>136</v>
      </c>
      <c r="S346" s="3">
        <f t="shared" si="77"/>
        <v>81</v>
      </c>
      <c r="T346" s="1">
        <v>0.46229999999999999</v>
      </c>
      <c r="U346" s="6">
        <f t="shared" si="68"/>
        <v>81.364800000000002</v>
      </c>
    </row>
    <row r="347" spans="1:21" x14ac:dyDescent="0.35">
      <c r="A347">
        <v>346</v>
      </c>
      <c r="B347" s="5">
        <v>44542</v>
      </c>
      <c r="C347" s="4">
        <f t="shared" si="69"/>
        <v>2021</v>
      </c>
      <c r="D347" s="4">
        <f t="shared" si="70"/>
        <v>12</v>
      </c>
      <c r="E347" s="14">
        <v>44542</v>
      </c>
      <c r="F347" s="4">
        <f t="shared" si="71"/>
        <v>12</v>
      </c>
      <c r="G347">
        <v>177</v>
      </c>
      <c r="H347">
        <v>160</v>
      </c>
      <c r="I347" s="13">
        <f t="shared" si="72"/>
        <v>0.9</v>
      </c>
      <c r="J347">
        <f t="shared" si="65"/>
        <v>17</v>
      </c>
      <c r="K347" s="2">
        <v>3.2407407407407406E-4</v>
      </c>
      <c r="L347" s="11">
        <f t="shared" si="66"/>
        <v>74.666666666666671</v>
      </c>
      <c r="M347" s="3">
        <f t="shared" si="73"/>
        <v>0.46666666666666667</v>
      </c>
      <c r="N347" s="4">
        <f t="shared" si="74"/>
        <v>28</v>
      </c>
      <c r="O347" s="2">
        <v>1.6203703703703703E-3</v>
      </c>
      <c r="P347" s="9">
        <f t="shared" si="67"/>
        <v>373.33333333333337</v>
      </c>
      <c r="Q347" s="3">
        <f t="shared" si="75"/>
        <v>2.3333333333333335</v>
      </c>
      <c r="R347" s="4">
        <f t="shared" si="76"/>
        <v>140</v>
      </c>
      <c r="S347" s="3">
        <f t="shared" si="77"/>
        <v>94</v>
      </c>
      <c r="T347" s="1">
        <v>0.59199999999999997</v>
      </c>
      <c r="U347" s="6">
        <f t="shared" si="68"/>
        <v>94.72</v>
      </c>
    </row>
    <row r="348" spans="1:21" x14ac:dyDescent="0.35">
      <c r="A348">
        <v>347</v>
      </c>
      <c r="B348" s="5">
        <v>44543</v>
      </c>
      <c r="C348" s="4">
        <f t="shared" si="69"/>
        <v>2021</v>
      </c>
      <c r="D348" s="4">
        <f t="shared" si="70"/>
        <v>12</v>
      </c>
      <c r="E348" s="14">
        <v>44543</v>
      </c>
      <c r="F348" s="4">
        <f t="shared" si="71"/>
        <v>13</v>
      </c>
      <c r="G348">
        <v>159</v>
      </c>
      <c r="H348">
        <v>151</v>
      </c>
      <c r="I348" s="13">
        <f t="shared" si="72"/>
        <v>0.94</v>
      </c>
      <c r="J348">
        <f t="shared" si="65"/>
        <v>8</v>
      </c>
      <c r="K348" s="2">
        <v>2.5462962962962961E-4</v>
      </c>
      <c r="L348" s="11">
        <f t="shared" si="66"/>
        <v>55.36666666666666</v>
      </c>
      <c r="M348" s="3">
        <f t="shared" si="73"/>
        <v>0.36666666666666664</v>
      </c>
      <c r="N348" s="4">
        <f t="shared" si="74"/>
        <v>22</v>
      </c>
      <c r="O348" s="2">
        <v>1.4814814814814814E-3</v>
      </c>
      <c r="P348" s="9">
        <f t="shared" si="67"/>
        <v>322.13333333333333</v>
      </c>
      <c r="Q348" s="3">
        <f t="shared" si="75"/>
        <v>2.1333333333333333</v>
      </c>
      <c r="R348" s="4">
        <f t="shared" si="76"/>
        <v>128</v>
      </c>
      <c r="S348" s="3">
        <f t="shared" si="77"/>
        <v>110</v>
      </c>
      <c r="T348" s="1">
        <v>0.73250000000000004</v>
      </c>
      <c r="U348" s="6">
        <f t="shared" si="68"/>
        <v>110.6075</v>
      </c>
    </row>
    <row r="349" spans="1:21" x14ac:dyDescent="0.35">
      <c r="A349">
        <v>348</v>
      </c>
      <c r="B349" s="5">
        <v>44544</v>
      </c>
      <c r="C349" s="4">
        <f t="shared" si="69"/>
        <v>2021</v>
      </c>
      <c r="D349" s="4">
        <f t="shared" si="70"/>
        <v>12</v>
      </c>
      <c r="E349" s="14">
        <v>44544</v>
      </c>
      <c r="F349" s="4">
        <f t="shared" si="71"/>
        <v>14</v>
      </c>
      <c r="G349">
        <v>33</v>
      </c>
      <c r="H349">
        <v>28</v>
      </c>
      <c r="I349" s="13">
        <f t="shared" si="72"/>
        <v>0.84</v>
      </c>
      <c r="J349">
        <f t="shared" si="65"/>
        <v>5</v>
      </c>
      <c r="K349" s="2">
        <v>1.5046296296296297E-4</v>
      </c>
      <c r="L349" s="11">
        <f t="shared" si="66"/>
        <v>6.0666666666666664</v>
      </c>
      <c r="M349" s="3">
        <f t="shared" si="73"/>
        <v>0.21666666666666667</v>
      </c>
      <c r="N349" s="4">
        <f t="shared" si="74"/>
        <v>13</v>
      </c>
      <c r="O349" s="2">
        <v>1.736111111111111E-3</v>
      </c>
      <c r="P349" s="9">
        <f t="shared" si="67"/>
        <v>70</v>
      </c>
      <c r="Q349" s="3">
        <f t="shared" si="75"/>
        <v>2.5</v>
      </c>
      <c r="R349" s="4">
        <f t="shared" si="76"/>
        <v>150</v>
      </c>
      <c r="S349" s="3">
        <f t="shared" si="77"/>
        <v>18</v>
      </c>
      <c r="T349" s="1">
        <v>0.66669999999999996</v>
      </c>
      <c r="U349" s="6">
        <f t="shared" si="68"/>
        <v>18.6676</v>
      </c>
    </row>
    <row r="350" spans="1:21" x14ac:dyDescent="0.35">
      <c r="A350">
        <v>349</v>
      </c>
      <c r="B350" s="5">
        <v>44545</v>
      </c>
      <c r="C350" s="4">
        <f t="shared" si="69"/>
        <v>2021</v>
      </c>
      <c r="D350" s="4">
        <f t="shared" si="70"/>
        <v>12</v>
      </c>
      <c r="E350" s="14">
        <v>44545</v>
      </c>
      <c r="F350" s="4">
        <f t="shared" si="71"/>
        <v>15</v>
      </c>
      <c r="G350">
        <v>228</v>
      </c>
      <c r="H350">
        <v>210</v>
      </c>
      <c r="I350" s="13">
        <f t="shared" si="72"/>
        <v>0.92</v>
      </c>
      <c r="J350">
        <f t="shared" si="65"/>
        <v>18</v>
      </c>
      <c r="K350" s="2">
        <v>2.6620370370370372E-4</v>
      </c>
      <c r="L350" s="11">
        <f t="shared" si="66"/>
        <v>80.5</v>
      </c>
      <c r="M350" s="3">
        <f t="shared" si="73"/>
        <v>0.38333333333333336</v>
      </c>
      <c r="N350" s="4">
        <f t="shared" si="74"/>
        <v>23</v>
      </c>
      <c r="O350" s="2">
        <v>1.4814814814814814E-3</v>
      </c>
      <c r="P350" s="9">
        <f t="shared" si="67"/>
        <v>448</v>
      </c>
      <c r="Q350" s="3">
        <f t="shared" si="75"/>
        <v>2.1333333333333333</v>
      </c>
      <c r="R350" s="4">
        <f t="shared" si="76"/>
        <v>128</v>
      </c>
      <c r="S350" s="3">
        <f t="shared" si="77"/>
        <v>140</v>
      </c>
      <c r="T350" s="1">
        <v>0.66669999999999996</v>
      </c>
      <c r="U350" s="6">
        <f t="shared" si="68"/>
        <v>140.00700000000001</v>
      </c>
    </row>
    <row r="351" spans="1:21" x14ac:dyDescent="0.35">
      <c r="A351">
        <v>350</v>
      </c>
      <c r="B351" s="5">
        <v>44546</v>
      </c>
      <c r="C351" s="4">
        <f t="shared" si="69"/>
        <v>2021</v>
      </c>
      <c r="D351" s="4">
        <f t="shared" si="70"/>
        <v>12</v>
      </c>
      <c r="E351" s="14">
        <v>44546</v>
      </c>
      <c r="F351" s="4">
        <f t="shared" si="71"/>
        <v>16</v>
      </c>
      <c r="G351">
        <v>177</v>
      </c>
      <c r="H351">
        <v>172</v>
      </c>
      <c r="I351" s="13">
        <f t="shared" si="72"/>
        <v>0.97</v>
      </c>
      <c r="J351">
        <f t="shared" si="65"/>
        <v>5</v>
      </c>
      <c r="K351" s="2">
        <v>2.8935185185185184E-4</v>
      </c>
      <c r="L351" s="11">
        <f t="shared" si="66"/>
        <v>71.666666666666671</v>
      </c>
      <c r="M351" s="3">
        <f t="shared" si="73"/>
        <v>0.41666666666666669</v>
      </c>
      <c r="N351" s="4">
        <f t="shared" si="74"/>
        <v>25</v>
      </c>
      <c r="O351" s="2">
        <v>1.5625000000000001E-3</v>
      </c>
      <c r="P351" s="9">
        <f t="shared" si="67"/>
        <v>387</v>
      </c>
      <c r="Q351" s="3">
        <f t="shared" si="75"/>
        <v>2.25</v>
      </c>
      <c r="R351" s="4">
        <f t="shared" si="76"/>
        <v>135</v>
      </c>
      <c r="S351" s="3">
        <f t="shared" si="77"/>
        <v>118</v>
      </c>
      <c r="T351" s="1">
        <v>0.69140000000000001</v>
      </c>
      <c r="U351" s="6">
        <f t="shared" si="68"/>
        <v>118.9208</v>
      </c>
    </row>
    <row r="352" spans="1:21" x14ac:dyDescent="0.35">
      <c r="A352">
        <v>351</v>
      </c>
      <c r="B352" s="5">
        <v>44547</v>
      </c>
      <c r="C352" s="4">
        <f t="shared" si="69"/>
        <v>2021</v>
      </c>
      <c r="D352" s="4">
        <f t="shared" si="70"/>
        <v>12</v>
      </c>
      <c r="E352" s="14">
        <v>44547</v>
      </c>
      <c r="F352" s="4">
        <f t="shared" si="71"/>
        <v>17</v>
      </c>
      <c r="G352">
        <v>197</v>
      </c>
      <c r="H352">
        <v>169</v>
      </c>
      <c r="I352" s="13">
        <f t="shared" si="72"/>
        <v>0.85</v>
      </c>
      <c r="J352">
        <f t="shared" si="65"/>
        <v>28</v>
      </c>
      <c r="K352" s="2">
        <v>3.9351851851851852E-4</v>
      </c>
      <c r="L352" s="11">
        <f t="shared" si="66"/>
        <v>95.766666666666666</v>
      </c>
      <c r="M352" s="3">
        <f t="shared" si="73"/>
        <v>0.56666666666666665</v>
      </c>
      <c r="N352" s="4">
        <f t="shared" si="74"/>
        <v>34</v>
      </c>
      <c r="O352" s="2">
        <v>1.736111111111111E-3</v>
      </c>
      <c r="P352" s="9">
        <f t="shared" si="67"/>
        <v>422.5</v>
      </c>
      <c r="Q352" s="3">
        <f t="shared" si="75"/>
        <v>2.5</v>
      </c>
      <c r="R352" s="4">
        <f t="shared" si="76"/>
        <v>150</v>
      </c>
      <c r="S352" s="3">
        <f t="shared" si="77"/>
        <v>94</v>
      </c>
      <c r="T352" s="1">
        <v>0.55669999999999997</v>
      </c>
      <c r="U352" s="6">
        <f t="shared" si="68"/>
        <v>94.082299999999989</v>
      </c>
    </row>
    <row r="353" spans="1:21" x14ac:dyDescent="0.35">
      <c r="A353">
        <v>352</v>
      </c>
      <c r="B353" s="5">
        <v>44548</v>
      </c>
      <c r="C353" s="4">
        <f t="shared" si="69"/>
        <v>2021</v>
      </c>
      <c r="D353" s="4">
        <f t="shared" si="70"/>
        <v>12</v>
      </c>
      <c r="E353" s="14">
        <v>44548</v>
      </c>
      <c r="F353" s="4">
        <f t="shared" si="71"/>
        <v>18</v>
      </c>
      <c r="G353">
        <v>721</v>
      </c>
      <c r="H353">
        <v>616</v>
      </c>
      <c r="I353" s="13">
        <f t="shared" si="72"/>
        <v>0.85</v>
      </c>
      <c r="J353">
        <f t="shared" si="65"/>
        <v>105</v>
      </c>
      <c r="K353" s="2">
        <v>6.5972222222222224E-4</v>
      </c>
      <c r="L353" s="11">
        <f t="shared" si="66"/>
        <v>585.19999999999993</v>
      </c>
      <c r="M353" s="3">
        <f t="shared" si="73"/>
        <v>0.95</v>
      </c>
      <c r="N353" s="4">
        <f t="shared" si="74"/>
        <v>57</v>
      </c>
      <c r="O353" s="2">
        <v>1.3310185185185185E-3</v>
      </c>
      <c r="P353" s="9">
        <f t="shared" si="67"/>
        <v>1180.6666666666665</v>
      </c>
      <c r="Q353" s="3">
        <f t="shared" si="75"/>
        <v>1.9166666666666665</v>
      </c>
      <c r="R353" s="4">
        <f t="shared" si="76"/>
        <v>114.99999999999999</v>
      </c>
      <c r="S353" s="3">
        <f t="shared" si="77"/>
        <v>174</v>
      </c>
      <c r="T353" s="1">
        <v>0.28310000000000002</v>
      </c>
      <c r="U353" s="6">
        <f t="shared" si="68"/>
        <v>174.3896</v>
      </c>
    </row>
    <row r="354" spans="1:21" x14ac:dyDescent="0.35">
      <c r="A354">
        <v>353</v>
      </c>
      <c r="B354" s="5">
        <v>44549</v>
      </c>
      <c r="C354" s="4">
        <f t="shared" si="69"/>
        <v>2021</v>
      </c>
      <c r="D354" s="4">
        <f t="shared" si="70"/>
        <v>12</v>
      </c>
      <c r="E354" s="14">
        <v>44549</v>
      </c>
      <c r="F354" s="4">
        <f t="shared" si="71"/>
        <v>19</v>
      </c>
      <c r="G354">
        <v>301</v>
      </c>
      <c r="H354">
        <v>270</v>
      </c>
      <c r="I354" s="13">
        <f t="shared" si="72"/>
        <v>0.89</v>
      </c>
      <c r="J354">
        <f t="shared" si="65"/>
        <v>31</v>
      </c>
      <c r="K354" s="2">
        <v>4.861111111111111E-4</v>
      </c>
      <c r="L354" s="11">
        <f t="shared" si="66"/>
        <v>189</v>
      </c>
      <c r="M354" s="3">
        <f t="shared" si="73"/>
        <v>0.7</v>
      </c>
      <c r="N354" s="4">
        <f t="shared" si="74"/>
        <v>42</v>
      </c>
      <c r="O354" s="2">
        <v>1.4467592592592592E-3</v>
      </c>
      <c r="P354" s="9">
        <f t="shared" si="67"/>
        <v>562.5</v>
      </c>
      <c r="Q354" s="3">
        <f t="shared" si="75"/>
        <v>2.0833333333333335</v>
      </c>
      <c r="R354" s="4">
        <f t="shared" si="76"/>
        <v>125.00000000000001</v>
      </c>
      <c r="S354" s="3">
        <f t="shared" si="77"/>
        <v>114</v>
      </c>
      <c r="T354" s="1">
        <v>0.42470000000000002</v>
      </c>
      <c r="U354" s="6">
        <f t="shared" si="68"/>
        <v>114.66900000000001</v>
      </c>
    </row>
    <row r="355" spans="1:21" x14ac:dyDescent="0.35">
      <c r="A355">
        <v>354</v>
      </c>
      <c r="B355" s="5">
        <v>44550</v>
      </c>
      <c r="C355" s="4">
        <f t="shared" si="69"/>
        <v>2021</v>
      </c>
      <c r="D355" s="4">
        <f t="shared" si="70"/>
        <v>12</v>
      </c>
      <c r="E355" s="14">
        <v>44550</v>
      </c>
      <c r="F355" s="4">
        <f t="shared" si="71"/>
        <v>20</v>
      </c>
      <c r="G355">
        <v>179</v>
      </c>
      <c r="H355">
        <v>175</v>
      </c>
      <c r="I355" s="13">
        <f t="shared" si="72"/>
        <v>0.97</v>
      </c>
      <c r="J355">
        <f t="shared" si="65"/>
        <v>4</v>
      </c>
      <c r="K355" s="2">
        <v>2.7777777777777778E-4</v>
      </c>
      <c r="L355" s="11">
        <f t="shared" si="66"/>
        <v>70</v>
      </c>
      <c r="M355" s="3">
        <f t="shared" si="73"/>
        <v>0.4</v>
      </c>
      <c r="N355" s="4">
        <f t="shared" si="74"/>
        <v>24</v>
      </c>
      <c r="O355" s="2">
        <v>1.6319444444444445E-3</v>
      </c>
      <c r="P355" s="9">
        <f t="shared" si="67"/>
        <v>411.25</v>
      </c>
      <c r="Q355" s="3">
        <f t="shared" si="75"/>
        <v>2.35</v>
      </c>
      <c r="R355" s="4">
        <f t="shared" si="76"/>
        <v>141</v>
      </c>
      <c r="S355" s="3">
        <f t="shared" si="77"/>
        <v>124</v>
      </c>
      <c r="T355" s="1">
        <v>0.71350000000000002</v>
      </c>
      <c r="U355" s="6">
        <f t="shared" si="68"/>
        <v>124.8625</v>
      </c>
    </row>
    <row r="356" spans="1:21" x14ac:dyDescent="0.35">
      <c r="A356">
        <v>355</v>
      </c>
      <c r="B356" s="5">
        <v>44551</v>
      </c>
      <c r="C356" s="4">
        <f t="shared" si="69"/>
        <v>2021</v>
      </c>
      <c r="D356" s="4">
        <f t="shared" si="70"/>
        <v>12</v>
      </c>
      <c r="E356" s="14">
        <v>44551</v>
      </c>
      <c r="F356" s="4">
        <f t="shared" si="71"/>
        <v>21</v>
      </c>
      <c r="G356">
        <v>45</v>
      </c>
      <c r="H356">
        <v>45</v>
      </c>
      <c r="I356" s="13">
        <f t="shared" si="72"/>
        <v>1</v>
      </c>
      <c r="J356">
        <f t="shared" si="65"/>
        <v>0</v>
      </c>
      <c r="K356" s="2">
        <v>1.8518518518518518E-4</v>
      </c>
      <c r="L356" s="11">
        <f t="shared" si="66"/>
        <v>12</v>
      </c>
      <c r="M356" s="3">
        <f t="shared" si="73"/>
        <v>0.26666666666666666</v>
      </c>
      <c r="N356" s="4">
        <f t="shared" si="74"/>
        <v>16</v>
      </c>
      <c r="O356" s="2">
        <v>1.5162037037037036E-3</v>
      </c>
      <c r="P356" s="9">
        <f t="shared" si="67"/>
        <v>98.249999999999986</v>
      </c>
      <c r="Q356" s="3">
        <f t="shared" si="75"/>
        <v>2.1833333333333331</v>
      </c>
      <c r="R356" s="4">
        <f t="shared" si="76"/>
        <v>131</v>
      </c>
      <c r="S356" s="3">
        <f t="shared" si="77"/>
        <v>39</v>
      </c>
      <c r="T356" s="1">
        <v>0.86670000000000003</v>
      </c>
      <c r="U356" s="6">
        <f t="shared" si="68"/>
        <v>39.0015</v>
      </c>
    </row>
    <row r="357" spans="1:21" x14ac:dyDescent="0.35">
      <c r="A357">
        <v>356</v>
      </c>
      <c r="B357" s="5">
        <v>44552</v>
      </c>
      <c r="C357" s="4">
        <f t="shared" si="69"/>
        <v>2021</v>
      </c>
      <c r="D357" s="4">
        <f t="shared" si="70"/>
        <v>12</v>
      </c>
      <c r="E357" s="14">
        <v>44552</v>
      </c>
      <c r="F357" s="4">
        <f t="shared" si="71"/>
        <v>22</v>
      </c>
      <c r="G357">
        <v>180</v>
      </c>
      <c r="H357">
        <v>164</v>
      </c>
      <c r="I357" s="13">
        <f t="shared" si="72"/>
        <v>0.91</v>
      </c>
      <c r="J357">
        <f t="shared" si="65"/>
        <v>16</v>
      </c>
      <c r="K357" s="2">
        <v>2.8935185185185184E-4</v>
      </c>
      <c r="L357" s="11">
        <f t="shared" si="66"/>
        <v>68.333333333333343</v>
      </c>
      <c r="M357" s="3">
        <f t="shared" si="73"/>
        <v>0.41666666666666669</v>
      </c>
      <c r="N357" s="4">
        <f t="shared" si="74"/>
        <v>25</v>
      </c>
      <c r="O357" s="2">
        <v>1.6435185185185185E-3</v>
      </c>
      <c r="P357" s="9">
        <f t="shared" si="67"/>
        <v>388.13333333333333</v>
      </c>
      <c r="Q357" s="3">
        <f t="shared" si="75"/>
        <v>2.3666666666666667</v>
      </c>
      <c r="R357" s="4">
        <f t="shared" si="76"/>
        <v>142</v>
      </c>
      <c r="S357" s="3">
        <f t="shared" si="77"/>
        <v>101</v>
      </c>
      <c r="T357" s="1">
        <v>0.61799999999999999</v>
      </c>
      <c r="U357" s="6">
        <f t="shared" si="68"/>
        <v>101.352</v>
      </c>
    </row>
    <row r="358" spans="1:21" x14ac:dyDescent="0.35">
      <c r="A358">
        <v>357</v>
      </c>
      <c r="B358" s="5">
        <v>44553</v>
      </c>
      <c r="C358" s="4">
        <f t="shared" si="69"/>
        <v>2021</v>
      </c>
      <c r="D358" s="4">
        <f t="shared" si="70"/>
        <v>12</v>
      </c>
      <c r="E358" s="14">
        <v>44553</v>
      </c>
      <c r="F358" s="4">
        <f t="shared" si="71"/>
        <v>23</v>
      </c>
      <c r="G358">
        <v>206</v>
      </c>
      <c r="H358">
        <v>200</v>
      </c>
      <c r="I358" s="13">
        <f t="shared" si="72"/>
        <v>0.97</v>
      </c>
      <c r="J358">
        <f t="shared" si="65"/>
        <v>6</v>
      </c>
      <c r="K358" s="2">
        <v>2.5462962962962961E-4</v>
      </c>
      <c r="L358" s="11">
        <f t="shared" si="66"/>
        <v>73.333333333333329</v>
      </c>
      <c r="M358" s="3">
        <f t="shared" si="73"/>
        <v>0.36666666666666664</v>
      </c>
      <c r="N358" s="4">
        <f t="shared" si="74"/>
        <v>22</v>
      </c>
      <c r="O358" s="2">
        <v>1.6087962962962963E-3</v>
      </c>
      <c r="P358" s="9">
        <f t="shared" si="67"/>
        <v>463.33333333333326</v>
      </c>
      <c r="Q358" s="3">
        <f t="shared" si="75"/>
        <v>2.3166666666666664</v>
      </c>
      <c r="R358" s="4">
        <f t="shared" si="76"/>
        <v>139</v>
      </c>
      <c r="S358" s="3">
        <f t="shared" si="77"/>
        <v>149</v>
      </c>
      <c r="T358" s="1">
        <v>0.74629999999999996</v>
      </c>
      <c r="U358" s="6">
        <f t="shared" si="68"/>
        <v>149.26</v>
      </c>
    </row>
    <row r="359" spans="1:21" x14ac:dyDescent="0.35">
      <c r="A359">
        <v>358</v>
      </c>
      <c r="B359" s="5">
        <v>44554</v>
      </c>
      <c r="C359" s="4">
        <f t="shared" si="69"/>
        <v>2021</v>
      </c>
      <c r="D359" s="4">
        <f t="shared" si="70"/>
        <v>12</v>
      </c>
      <c r="E359" s="14">
        <v>44554</v>
      </c>
      <c r="F359" s="4">
        <f t="shared" si="71"/>
        <v>24</v>
      </c>
      <c r="G359">
        <v>187</v>
      </c>
      <c r="H359">
        <v>181</v>
      </c>
      <c r="I359" s="13">
        <f t="shared" si="72"/>
        <v>0.96</v>
      </c>
      <c r="J359">
        <f t="shared" si="65"/>
        <v>6</v>
      </c>
      <c r="K359" s="2">
        <v>3.7037037037037035E-4</v>
      </c>
      <c r="L359" s="11">
        <f t="shared" si="66"/>
        <v>96.533333333333331</v>
      </c>
      <c r="M359" s="3">
        <f t="shared" si="73"/>
        <v>0.53333333333333333</v>
      </c>
      <c r="N359" s="4">
        <f t="shared" si="74"/>
        <v>32</v>
      </c>
      <c r="O359" s="2">
        <v>1.736111111111111E-3</v>
      </c>
      <c r="P359" s="9">
        <f t="shared" si="67"/>
        <v>452.5</v>
      </c>
      <c r="Q359" s="3">
        <f t="shared" si="75"/>
        <v>2.5</v>
      </c>
      <c r="R359" s="4">
        <f t="shared" si="76"/>
        <v>150</v>
      </c>
      <c r="S359" s="3">
        <f t="shared" si="77"/>
        <v>113</v>
      </c>
      <c r="T359" s="1">
        <v>0.627</v>
      </c>
      <c r="U359" s="6">
        <f t="shared" si="68"/>
        <v>113.48699999999999</v>
      </c>
    </row>
    <row r="360" spans="1:21" x14ac:dyDescent="0.35">
      <c r="A360">
        <v>359</v>
      </c>
      <c r="B360" s="5">
        <v>44555</v>
      </c>
      <c r="C360" s="4">
        <f t="shared" si="69"/>
        <v>2021</v>
      </c>
      <c r="D360" s="4">
        <f t="shared" si="70"/>
        <v>12</v>
      </c>
      <c r="E360" s="14">
        <v>44555</v>
      </c>
      <c r="F360" s="4">
        <f t="shared" si="71"/>
        <v>25</v>
      </c>
      <c r="G360">
        <v>186</v>
      </c>
      <c r="H360">
        <v>177</v>
      </c>
      <c r="I360" s="13">
        <f t="shared" si="72"/>
        <v>0.95</v>
      </c>
      <c r="J360">
        <f t="shared" si="65"/>
        <v>9</v>
      </c>
      <c r="K360" s="2">
        <v>3.2407407407407406E-4</v>
      </c>
      <c r="L360" s="11">
        <f t="shared" si="66"/>
        <v>82.6</v>
      </c>
      <c r="M360" s="3">
        <f t="shared" si="73"/>
        <v>0.46666666666666667</v>
      </c>
      <c r="N360" s="4">
        <f t="shared" si="74"/>
        <v>28</v>
      </c>
      <c r="O360" s="2">
        <v>1.6435185185185185E-3</v>
      </c>
      <c r="P360" s="9">
        <f t="shared" si="67"/>
        <v>418.9</v>
      </c>
      <c r="Q360" s="3">
        <f t="shared" si="75"/>
        <v>2.3666666666666667</v>
      </c>
      <c r="R360" s="4">
        <f t="shared" si="76"/>
        <v>142</v>
      </c>
      <c r="S360" s="3">
        <f t="shared" si="77"/>
        <v>120</v>
      </c>
      <c r="T360" s="1">
        <v>0.67930000000000001</v>
      </c>
      <c r="U360" s="6">
        <f t="shared" si="68"/>
        <v>120.23610000000001</v>
      </c>
    </row>
    <row r="361" spans="1:21" x14ac:dyDescent="0.35">
      <c r="A361">
        <v>360</v>
      </c>
      <c r="B361" s="5">
        <v>44556</v>
      </c>
      <c r="C361" s="4">
        <f t="shared" si="69"/>
        <v>2021</v>
      </c>
      <c r="D361" s="4">
        <f t="shared" si="70"/>
        <v>12</v>
      </c>
      <c r="E361" s="14">
        <v>44556</v>
      </c>
      <c r="F361" s="4">
        <f t="shared" si="71"/>
        <v>26</v>
      </c>
      <c r="G361">
        <v>189</v>
      </c>
      <c r="H361">
        <v>180</v>
      </c>
      <c r="I361" s="13">
        <f t="shared" si="72"/>
        <v>0.95</v>
      </c>
      <c r="J361">
        <f t="shared" si="65"/>
        <v>9</v>
      </c>
      <c r="K361" s="2">
        <v>4.0509259259259258E-4</v>
      </c>
      <c r="L361" s="11">
        <f t="shared" si="66"/>
        <v>105</v>
      </c>
      <c r="M361" s="3">
        <f t="shared" si="73"/>
        <v>0.58333333333333337</v>
      </c>
      <c r="N361" s="4">
        <f t="shared" si="74"/>
        <v>35</v>
      </c>
      <c r="O361" s="2">
        <v>1.5625000000000001E-3</v>
      </c>
      <c r="P361" s="9">
        <f t="shared" si="67"/>
        <v>405</v>
      </c>
      <c r="Q361" s="3">
        <f t="shared" si="75"/>
        <v>2.25</v>
      </c>
      <c r="R361" s="4">
        <f t="shared" si="76"/>
        <v>135</v>
      </c>
      <c r="S361" s="3">
        <f t="shared" si="77"/>
        <v>101</v>
      </c>
      <c r="T361" s="1">
        <v>0.5645</v>
      </c>
      <c r="U361" s="6">
        <f t="shared" si="68"/>
        <v>101.61</v>
      </c>
    </row>
    <row r="362" spans="1:21" x14ac:dyDescent="0.35">
      <c r="A362">
        <v>361</v>
      </c>
      <c r="B362" s="5">
        <v>44557</v>
      </c>
      <c r="C362" s="4">
        <f t="shared" si="69"/>
        <v>2021</v>
      </c>
      <c r="D362" s="4">
        <f t="shared" si="70"/>
        <v>12</v>
      </c>
      <c r="E362" s="14">
        <v>44557</v>
      </c>
      <c r="F362" s="4">
        <f t="shared" si="71"/>
        <v>27</v>
      </c>
      <c r="G362">
        <v>127</v>
      </c>
      <c r="H362">
        <v>116</v>
      </c>
      <c r="I362" s="13">
        <f t="shared" si="72"/>
        <v>0.91</v>
      </c>
      <c r="J362">
        <f t="shared" si="65"/>
        <v>11</v>
      </c>
      <c r="K362" s="2">
        <v>3.9351851851851852E-4</v>
      </c>
      <c r="L362" s="11">
        <f t="shared" si="66"/>
        <v>65.733333333333334</v>
      </c>
      <c r="M362" s="3">
        <f t="shared" si="73"/>
        <v>0.56666666666666665</v>
      </c>
      <c r="N362" s="4">
        <f t="shared" si="74"/>
        <v>34</v>
      </c>
      <c r="O362" s="2">
        <v>1.6782407407407408E-3</v>
      </c>
      <c r="P362" s="9">
        <f t="shared" si="67"/>
        <v>280.33333333333331</v>
      </c>
      <c r="Q362" s="3">
        <f t="shared" si="75"/>
        <v>2.4166666666666665</v>
      </c>
      <c r="R362" s="4">
        <f t="shared" si="76"/>
        <v>145</v>
      </c>
      <c r="S362" s="3">
        <f t="shared" si="77"/>
        <v>65</v>
      </c>
      <c r="T362" s="1">
        <v>0.5645</v>
      </c>
      <c r="U362" s="6">
        <f t="shared" si="68"/>
        <v>65.481999999999999</v>
      </c>
    </row>
    <row r="363" spans="1:21" x14ac:dyDescent="0.35">
      <c r="A363">
        <v>362</v>
      </c>
      <c r="B363" s="5">
        <v>44558</v>
      </c>
      <c r="C363" s="4">
        <f t="shared" si="69"/>
        <v>2021</v>
      </c>
      <c r="D363" s="4">
        <f t="shared" si="70"/>
        <v>12</v>
      </c>
      <c r="E363" s="14">
        <v>44558</v>
      </c>
      <c r="F363" s="4">
        <f t="shared" si="71"/>
        <v>28</v>
      </c>
      <c r="G363">
        <v>93</v>
      </c>
      <c r="H363">
        <v>90</v>
      </c>
      <c r="I363" s="13">
        <f t="shared" si="72"/>
        <v>0.96</v>
      </c>
      <c r="J363">
        <f t="shared" si="65"/>
        <v>3</v>
      </c>
      <c r="K363" s="2">
        <v>3.0092592592592595E-4</v>
      </c>
      <c r="L363" s="11">
        <f t="shared" si="66"/>
        <v>39</v>
      </c>
      <c r="M363" s="3">
        <f t="shared" si="73"/>
        <v>0.43333333333333335</v>
      </c>
      <c r="N363" s="4">
        <f t="shared" si="74"/>
        <v>26</v>
      </c>
      <c r="O363" s="2">
        <v>1.3541666666666667E-3</v>
      </c>
      <c r="P363" s="9">
        <f t="shared" si="67"/>
        <v>175.5</v>
      </c>
      <c r="Q363" s="3">
        <f t="shared" si="75"/>
        <v>1.95</v>
      </c>
      <c r="R363" s="4">
        <f t="shared" si="76"/>
        <v>117</v>
      </c>
      <c r="S363" s="3">
        <f t="shared" si="77"/>
        <v>57</v>
      </c>
      <c r="T363" s="1">
        <v>0.63439999999999996</v>
      </c>
      <c r="U363" s="6">
        <f t="shared" si="68"/>
        <v>57.095999999999997</v>
      </c>
    </row>
    <row r="364" spans="1:21" x14ac:dyDescent="0.35">
      <c r="A364">
        <v>363</v>
      </c>
      <c r="B364" s="5">
        <v>44559</v>
      </c>
      <c r="C364" s="4">
        <f t="shared" si="69"/>
        <v>2021</v>
      </c>
      <c r="D364" s="4">
        <f t="shared" si="70"/>
        <v>12</v>
      </c>
      <c r="E364" s="14">
        <v>44559</v>
      </c>
      <c r="F364" s="4">
        <f t="shared" si="71"/>
        <v>29</v>
      </c>
      <c r="G364">
        <v>328</v>
      </c>
      <c r="H364">
        <v>292</v>
      </c>
      <c r="I364" s="13">
        <f t="shared" si="72"/>
        <v>0.89</v>
      </c>
      <c r="J364">
        <f t="shared" si="65"/>
        <v>36</v>
      </c>
      <c r="K364" s="2">
        <v>4.2824074074074075E-4</v>
      </c>
      <c r="L364" s="11">
        <f t="shared" si="66"/>
        <v>180.06666666666666</v>
      </c>
      <c r="M364" s="3">
        <f t="shared" si="73"/>
        <v>0.6166666666666667</v>
      </c>
      <c r="N364" s="4">
        <f t="shared" si="74"/>
        <v>37</v>
      </c>
      <c r="O364" s="2">
        <v>1.5856481481481481E-3</v>
      </c>
      <c r="P364" s="9">
        <f t="shared" si="67"/>
        <v>666.73333333333335</v>
      </c>
      <c r="Q364" s="3">
        <f t="shared" si="75"/>
        <v>2.2833333333333332</v>
      </c>
      <c r="R364" s="4">
        <f t="shared" si="76"/>
        <v>137</v>
      </c>
      <c r="S364" s="3">
        <f t="shared" si="77"/>
        <v>145</v>
      </c>
      <c r="T364" s="1">
        <v>0.49680000000000002</v>
      </c>
      <c r="U364" s="6">
        <f t="shared" si="68"/>
        <v>145.06560000000002</v>
      </c>
    </row>
    <row r="365" spans="1:21" x14ac:dyDescent="0.35">
      <c r="A365">
        <v>364</v>
      </c>
      <c r="B365" s="5">
        <v>44560</v>
      </c>
      <c r="C365" s="4">
        <f t="shared" si="69"/>
        <v>2021</v>
      </c>
      <c r="D365" s="4">
        <f t="shared" si="70"/>
        <v>12</v>
      </c>
      <c r="E365" s="14">
        <v>44560</v>
      </c>
      <c r="F365" s="4">
        <f t="shared" si="71"/>
        <v>30</v>
      </c>
      <c r="G365">
        <v>238</v>
      </c>
      <c r="H365">
        <v>223</v>
      </c>
      <c r="I365" s="13">
        <f t="shared" si="72"/>
        <v>0.93</v>
      </c>
      <c r="J365">
        <f t="shared" si="65"/>
        <v>15</v>
      </c>
      <c r="K365" s="2">
        <v>3.8194444444444446E-4</v>
      </c>
      <c r="L365" s="11">
        <f t="shared" si="66"/>
        <v>122.65</v>
      </c>
      <c r="M365" s="3">
        <f t="shared" si="73"/>
        <v>0.55000000000000004</v>
      </c>
      <c r="N365" s="4">
        <f t="shared" si="74"/>
        <v>33</v>
      </c>
      <c r="O365" s="2">
        <v>1.6550925925925926E-3</v>
      </c>
      <c r="P365" s="9">
        <f t="shared" si="67"/>
        <v>531.48333333333335</v>
      </c>
      <c r="Q365" s="3">
        <f t="shared" si="75"/>
        <v>2.3833333333333333</v>
      </c>
      <c r="R365" s="4">
        <f t="shared" si="76"/>
        <v>143</v>
      </c>
      <c r="S365" s="3">
        <f t="shared" si="77"/>
        <v>132</v>
      </c>
      <c r="T365" s="1">
        <v>0.59230000000000005</v>
      </c>
      <c r="U365" s="6">
        <f t="shared" si="68"/>
        <v>132.08290000000002</v>
      </c>
    </row>
    <row r="366" spans="1:21" x14ac:dyDescent="0.35">
      <c r="A366">
        <v>365</v>
      </c>
      <c r="B366" s="5">
        <v>44561</v>
      </c>
      <c r="C366" s="4">
        <f t="shared" si="69"/>
        <v>2021</v>
      </c>
      <c r="D366" s="4">
        <f t="shared" si="70"/>
        <v>12</v>
      </c>
      <c r="E366" s="14">
        <v>44561</v>
      </c>
      <c r="F366" s="4">
        <f t="shared" si="71"/>
        <v>31</v>
      </c>
      <c r="G366">
        <v>237</v>
      </c>
      <c r="H366">
        <v>222</v>
      </c>
      <c r="I366" s="13">
        <f t="shared" si="72"/>
        <v>0.93</v>
      </c>
      <c r="J366">
        <f t="shared" si="65"/>
        <v>15</v>
      </c>
      <c r="K366" s="2">
        <v>3.9351851851851852E-4</v>
      </c>
      <c r="L366" s="11">
        <f t="shared" si="66"/>
        <v>125.8</v>
      </c>
      <c r="M366" s="3">
        <f t="shared" si="73"/>
        <v>0.56666666666666665</v>
      </c>
      <c r="N366" s="4">
        <f t="shared" si="74"/>
        <v>34</v>
      </c>
      <c r="O366" s="2">
        <v>1.6666666666666668E-3</v>
      </c>
      <c r="P366" s="9">
        <f t="shared" si="67"/>
        <v>532.79999999999995</v>
      </c>
      <c r="Q366" s="3">
        <f t="shared" si="75"/>
        <v>2.4</v>
      </c>
      <c r="R366" s="4">
        <f t="shared" si="76"/>
        <v>144</v>
      </c>
      <c r="S366" s="3">
        <f t="shared" si="77"/>
        <v>119</v>
      </c>
      <c r="T366" s="1">
        <v>0.53849999999999998</v>
      </c>
      <c r="U366" s="6">
        <f t="shared" si="68"/>
        <v>119.547</v>
      </c>
    </row>
    <row r="367" spans="1:21" x14ac:dyDescent="0.35">
      <c r="A367">
        <v>366</v>
      </c>
      <c r="B367" s="5">
        <v>44562</v>
      </c>
      <c r="C367" s="4">
        <f t="shared" si="69"/>
        <v>2022</v>
      </c>
      <c r="D367" s="4">
        <f t="shared" si="70"/>
        <v>1</v>
      </c>
      <c r="E367" s="14">
        <v>44562</v>
      </c>
      <c r="F367" s="4">
        <f t="shared" si="71"/>
        <v>1</v>
      </c>
      <c r="G367">
        <v>257</v>
      </c>
      <c r="H367">
        <v>235</v>
      </c>
      <c r="I367" s="13">
        <f t="shared" si="72"/>
        <v>0.91</v>
      </c>
      <c r="J367">
        <f t="shared" si="65"/>
        <v>22</v>
      </c>
      <c r="K367" s="2">
        <v>5.2083333333333333E-4</v>
      </c>
      <c r="L367" s="11">
        <f t="shared" si="66"/>
        <v>176.25</v>
      </c>
      <c r="M367" s="3">
        <f t="shared" si="73"/>
        <v>0.75</v>
      </c>
      <c r="N367" s="4">
        <f t="shared" si="74"/>
        <v>45</v>
      </c>
      <c r="O367" s="2">
        <v>1.7476851851851852E-3</v>
      </c>
      <c r="P367" s="9">
        <f t="shared" si="67"/>
        <v>591.41666666666663</v>
      </c>
      <c r="Q367" s="3">
        <f t="shared" si="75"/>
        <v>2.5166666666666666</v>
      </c>
      <c r="R367" s="4">
        <f t="shared" si="76"/>
        <v>151</v>
      </c>
      <c r="S367" s="3">
        <f t="shared" si="77"/>
        <v>104</v>
      </c>
      <c r="T367" s="1">
        <v>0.4466</v>
      </c>
      <c r="U367" s="6">
        <f t="shared" si="68"/>
        <v>104.95099999999999</v>
      </c>
    </row>
    <row r="368" spans="1:21" x14ac:dyDescent="0.35">
      <c r="A368">
        <v>367</v>
      </c>
      <c r="B368" s="5">
        <v>44563</v>
      </c>
      <c r="C368" s="4">
        <f t="shared" si="69"/>
        <v>2022</v>
      </c>
      <c r="D368" s="4">
        <f t="shared" si="70"/>
        <v>1</v>
      </c>
      <c r="E368" s="14">
        <v>44563</v>
      </c>
      <c r="F368" s="4">
        <f t="shared" si="71"/>
        <v>2</v>
      </c>
      <c r="G368">
        <v>238</v>
      </c>
      <c r="H368">
        <v>223</v>
      </c>
      <c r="I368" s="13">
        <f t="shared" si="72"/>
        <v>0.93</v>
      </c>
      <c r="J368">
        <f t="shared" si="65"/>
        <v>15</v>
      </c>
      <c r="K368" s="2">
        <v>3.7037037037037035E-4</v>
      </c>
      <c r="L368" s="11">
        <f t="shared" si="66"/>
        <v>118.93333333333334</v>
      </c>
      <c r="M368" s="3">
        <f t="shared" si="73"/>
        <v>0.53333333333333333</v>
      </c>
      <c r="N368" s="4">
        <f t="shared" si="74"/>
        <v>32</v>
      </c>
      <c r="O368" s="2">
        <v>1.5856481481481481E-3</v>
      </c>
      <c r="P368" s="9">
        <f t="shared" si="67"/>
        <v>509.18333333333328</v>
      </c>
      <c r="Q368" s="3">
        <f t="shared" si="75"/>
        <v>2.2833333333333332</v>
      </c>
      <c r="R368" s="4">
        <f t="shared" si="76"/>
        <v>137</v>
      </c>
      <c r="S368" s="3">
        <f t="shared" si="77"/>
        <v>121</v>
      </c>
      <c r="T368" s="1">
        <v>0.54700000000000004</v>
      </c>
      <c r="U368" s="6">
        <f t="shared" si="68"/>
        <v>121.98100000000001</v>
      </c>
    </row>
    <row r="369" spans="1:21" x14ac:dyDescent="0.35">
      <c r="A369">
        <v>368</v>
      </c>
      <c r="B369" s="5">
        <v>44564</v>
      </c>
      <c r="C369" s="4">
        <f t="shared" si="69"/>
        <v>2022</v>
      </c>
      <c r="D369" s="4">
        <f t="shared" si="70"/>
        <v>1</v>
      </c>
      <c r="E369" s="14">
        <v>44564</v>
      </c>
      <c r="F369" s="4">
        <f t="shared" si="71"/>
        <v>3</v>
      </c>
      <c r="G369">
        <v>199</v>
      </c>
      <c r="H369">
        <v>164</v>
      </c>
      <c r="I369" s="13">
        <f t="shared" si="72"/>
        <v>0.82</v>
      </c>
      <c r="J369">
        <f t="shared" si="65"/>
        <v>35</v>
      </c>
      <c r="K369" s="2">
        <v>3.7037037037037035E-4</v>
      </c>
      <c r="L369" s="11">
        <f t="shared" si="66"/>
        <v>87.466666666666669</v>
      </c>
      <c r="M369" s="3">
        <f t="shared" si="73"/>
        <v>0.53333333333333333</v>
      </c>
      <c r="N369" s="4">
        <f t="shared" si="74"/>
        <v>32</v>
      </c>
      <c r="O369" s="2">
        <v>1.5393518518518519E-3</v>
      </c>
      <c r="P369" s="9">
        <f t="shared" si="67"/>
        <v>363.53333333333336</v>
      </c>
      <c r="Q369" s="3">
        <f t="shared" si="75"/>
        <v>2.2166666666666668</v>
      </c>
      <c r="R369" s="4">
        <f t="shared" si="76"/>
        <v>133</v>
      </c>
      <c r="S369" s="3">
        <f t="shared" si="77"/>
        <v>97</v>
      </c>
      <c r="T369" s="1">
        <v>0.59179999999999999</v>
      </c>
      <c r="U369" s="6">
        <f t="shared" si="68"/>
        <v>97.055199999999999</v>
      </c>
    </row>
    <row r="370" spans="1:21" x14ac:dyDescent="0.35">
      <c r="A370">
        <v>369</v>
      </c>
      <c r="B370" s="5">
        <v>44565</v>
      </c>
      <c r="C370" s="4">
        <f t="shared" si="69"/>
        <v>2022</v>
      </c>
      <c r="D370" s="4">
        <f t="shared" si="70"/>
        <v>1</v>
      </c>
      <c r="E370" s="14">
        <v>44565</v>
      </c>
      <c r="F370" s="4">
        <f t="shared" si="71"/>
        <v>4</v>
      </c>
      <c r="G370">
        <v>30</v>
      </c>
      <c r="H370">
        <v>27</v>
      </c>
      <c r="I370" s="13">
        <f t="shared" si="72"/>
        <v>0.9</v>
      </c>
      <c r="J370">
        <f t="shared" si="65"/>
        <v>3</v>
      </c>
      <c r="K370" s="2">
        <v>3.7037037037037035E-4</v>
      </c>
      <c r="L370" s="11">
        <f t="shared" si="66"/>
        <v>14.4</v>
      </c>
      <c r="M370" s="3">
        <f t="shared" si="73"/>
        <v>0.53333333333333333</v>
      </c>
      <c r="N370" s="4">
        <f t="shared" si="74"/>
        <v>32</v>
      </c>
      <c r="O370" s="2">
        <v>1.7824074074074075E-3</v>
      </c>
      <c r="P370" s="9">
        <f t="shared" si="67"/>
        <v>69.3</v>
      </c>
      <c r="Q370" s="3">
        <f t="shared" si="75"/>
        <v>2.5666666666666664</v>
      </c>
      <c r="R370" s="4">
        <f t="shared" si="76"/>
        <v>154</v>
      </c>
      <c r="S370" s="3">
        <f t="shared" si="77"/>
        <v>16</v>
      </c>
      <c r="T370" s="1">
        <v>0.60709999999999997</v>
      </c>
      <c r="U370" s="6">
        <f t="shared" si="68"/>
        <v>16.3917</v>
      </c>
    </row>
    <row r="371" spans="1:21" x14ac:dyDescent="0.35">
      <c r="A371">
        <v>370</v>
      </c>
      <c r="B371" s="5">
        <v>44566</v>
      </c>
      <c r="C371" s="4">
        <f t="shared" si="69"/>
        <v>2022</v>
      </c>
      <c r="D371" s="4">
        <f t="shared" si="70"/>
        <v>1</v>
      </c>
      <c r="E371" s="14">
        <v>44566</v>
      </c>
      <c r="F371" s="4">
        <f t="shared" si="71"/>
        <v>5</v>
      </c>
      <c r="G371">
        <v>176</v>
      </c>
      <c r="H371">
        <v>163</v>
      </c>
      <c r="I371" s="13">
        <f t="shared" si="72"/>
        <v>0.92</v>
      </c>
      <c r="J371">
        <f t="shared" si="65"/>
        <v>13</v>
      </c>
      <c r="K371" s="2">
        <v>4.3981481481481481E-4</v>
      </c>
      <c r="L371" s="11">
        <f t="shared" si="66"/>
        <v>103.23333333333333</v>
      </c>
      <c r="M371" s="3">
        <f t="shared" si="73"/>
        <v>0.6333333333333333</v>
      </c>
      <c r="N371" s="4">
        <f t="shared" si="74"/>
        <v>38</v>
      </c>
      <c r="O371" s="2">
        <v>1.4467592592592592E-3</v>
      </c>
      <c r="P371" s="9">
        <f t="shared" si="67"/>
        <v>339.58333333333337</v>
      </c>
      <c r="Q371" s="3">
        <f t="shared" si="75"/>
        <v>2.0833333333333335</v>
      </c>
      <c r="R371" s="4">
        <f t="shared" si="76"/>
        <v>125.00000000000001</v>
      </c>
      <c r="S371" s="3">
        <f t="shared" si="77"/>
        <v>88</v>
      </c>
      <c r="T371" s="1">
        <v>0.54290000000000005</v>
      </c>
      <c r="U371" s="6">
        <f t="shared" si="68"/>
        <v>88.492700000000013</v>
      </c>
    </row>
    <row r="372" spans="1:21" x14ac:dyDescent="0.35">
      <c r="A372">
        <v>371</v>
      </c>
      <c r="B372" s="5">
        <v>44567</v>
      </c>
      <c r="C372" s="4">
        <f t="shared" si="69"/>
        <v>2022</v>
      </c>
      <c r="D372" s="4">
        <f t="shared" si="70"/>
        <v>1</v>
      </c>
      <c r="E372" s="14">
        <v>44567</v>
      </c>
      <c r="F372" s="4">
        <f t="shared" si="71"/>
        <v>6</v>
      </c>
      <c r="G372">
        <v>162</v>
      </c>
      <c r="H372">
        <v>144</v>
      </c>
      <c r="I372" s="13">
        <f t="shared" si="72"/>
        <v>0.88</v>
      </c>
      <c r="J372">
        <f t="shared" si="65"/>
        <v>18</v>
      </c>
      <c r="K372" s="2">
        <v>4.7453703703703704E-4</v>
      </c>
      <c r="L372" s="11">
        <f t="shared" si="66"/>
        <v>98.4</v>
      </c>
      <c r="M372" s="3">
        <f t="shared" si="73"/>
        <v>0.68333333333333335</v>
      </c>
      <c r="N372" s="4">
        <f t="shared" si="74"/>
        <v>41</v>
      </c>
      <c r="O372" s="2">
        <v>1.6782407407407408E-3</v>
      </c>
      <c r="P372" s="9">
        <f t="shared" si="67"/>
        <v>348</v>
      </c>
      <c r="Q372" s="3">
        <f t="shared" si="75"/>
        <v>2.4166666666666665</v>
      </c>
      <c r="R372" s="4">
        <f t="shared" si="76"/>
        <v>145</v>
      </c>
      <c r="S372" s="3">
        <f t="shared" si="77"/>
        <v>72</v>
      </c>
      <c r="T372" s="1">
        <v>0.50309999999999999</v>
      </c>
      <c r="U372" s="6">
        <f t="shared" si="68"/>
        <v>72.446399999999997</v>
      </c>
    </row>
    <row r="373" spans="1:21" x14ac:dyDescent="0.35">
      <c r="A373">
        <v>372</v>
      </c>
      <c r="B373" s="5">
        <v>44568</v>
      </c>
      <c r="C373" s="4">
        <f t="shared" si="69"/>
        <v>2022</v>
      </c>
      <c r="D373" s="4">
        <f t="shared" si="70"/>
        <v>1</v>
      </c>
      <c r="E373" s="14">
        <v>44568</v>
      </c>
      <c r="F373" s="4">
        <f t="shared" si="71"/>
        <v>7</v>
      </c>
      <c r="G373">
        <v>169</v>
      </c>
      <c r="H373">
        <v>157</v>
      </c>
      <c r="I373" s="13">
        <f t="shared" si="72"/>
        <v>0.92</v>
      </c>
      <c r="J373">
        <f t="shared" si="65"/>
        <v>12</v>
      </c>
      <c r="K373" s="2">
        <v>3.3564814814814812E-4</v>
      </c>
      <c r="L373" s="11">
        <f t="shared" si="66"/>
        <v>75.88333333333334</v>
      </c>
      <c r="M373" s="3">
        <f t="shared" si="73"/>
        <v>0.48333333333333334</v>
      </c>
      <c r="N373" s="4">
        <f t="shared" si="74"/>
        <v>29</v>
      </c>
      <c r="O373" s="2">
        <v>1.724537037037037E-3</v>
      </c>
      <c r="P373" s="9">
        <f t="shared" si="67"/>
        <v>389.88333333333333</v>
      </c>
      <c r="Q373" s="3">
        <f t="shared" si="75"/>
        <v>2.4833333333333334</v>
      </c>
      <c r="R373" s="4">
        <f t="shared" si="76"/>
        <v>149</v>
      </c>
      <c r="S373" s="3">
        <f t="shared" si="77"/>
        <v>84</v>
      </c>
      <c r="T373" s="1">
        <v>0.53890000000000005</v>
      </c>
      <c r="U373" s="6">
        <f t="shared" si="68"/>
        <v>84.607300000000009</v>
      </c>
    </row>
    <row r="374" spans="1:21" x14ac:dyDescent="0.35">
      <c r="A374">
        <v>373</v>
      </c>
      <c r="B374" s="5">
        <v>44569</v>
      </c>
      <c r="C374" s="4">
        <f t="shared" si="69"/>
        <v>2022</v>
      </c>
      <c r="D374" s="4">
        <f t="shared" si="70"/>
        <v>1</v>
      </c>
      <c r="E374" s="14">
        <v>44569</v>
      </c>
      <c r="F374" s="4">
        <f t="shared" si="71"/>
        <v>8</v>
      </c>
      <c r="G374">
        <v>155</v>
      </c>
      <c r="H374">
        <v>146</v>
      </c>
      <c r="I374" s="13">
        <f t="shared" si="72"/>
        <v>0.94</v>
      </c>
      <c r="J374">
        <f t="shared" si="65"/>
        <v>9</v>
      </c>
      <c r="K374" s="2">
        <v>3.4722222222222224E-4</v>
      </c>
      <c r="L374" s="11">
        <f t="shared" si="66"/>
        <v>73</v>
      </c>
      <c r="M374" s="3">
        <f t="shared" si="73"/>
        <v>0.5</v>
      </c>
      <c r="N374" s="4">
        <f t="shared" si="74"/>
        <v>30</v>
      </c>
      <c r="O374" s="2">
        <v>1.5972222222222223E-3</v>
      </c>
      <c r="P374" s="9">
        <f t="shared" si="67"/>
        <v>335.79999999999995</v>
      </c>
      <c r="Q374" s="3">
        <f t="shared" si="75"/>
        <v>2.2999999999999998</v>
      </c>
      <c r="R374" s="4">
        <f t="shared" si="76"/>
        <v>138</v>
      </c>
      <c r="S374" s="3">
        <f t="shared" si="77"/>
        <v>74</v>
      </c>
      <c r="T374" s="1">
        <v>0.50980000000000003</v>
      </c>
      <c r="U374" s="6">
        <f t="shared" si="68"/>
        <v>74.430800000000005</v>
      </c>
    </row>
    <row r="375" spans="1:21" x14ac:dyDescent="0.35">
      <c r="A375">
        <v>374</v>
      </c>
      <c r="B375" s="5">
        <v>44570</v>
      </c>
      <c r="C375" s="4">
        <f t="shared" si="69"/>
        <v>2022</v>
      </c>
      <c r="D375" s="4">
        <f t="shared" si="70"/>
        <v>1</v>
      </c>
      <c r="E375" s="14">
        <v>44570</v>
      </c>
      <c r="F375" s="4">
        <f t="shared" si="71"/>
        <v>9</v>
      </c>
      <c r="G375">
        <v>247</v>
      </c>
      <c r="H375">
        <v>205</v>
      </c>
      <c r="I375" s="13">
        <f t="shared" si="72"/>
        <v>0.82</v>
      </c>
      <c r="J375">
        <f t="shared" si="65"/>
        <v>42</v>
      </c>
      <c r="K375" s="2">
        <v>5.6712962962962967E-4</v>
      </c>
      <c r="L375" s="11">
        <f t="shared" si="66"/>
        <v>167.41666666666666</v>
      </c>
      <c r="M375" s="3">
        <f t="shared" si="73"/>
        <v>0.81666666666666665</v>
      </c>
      <c r="N375" s="4">
        <f t="shared" si="74"/>
        <v>49</v>
      </c>
      <c r="O375" s="2">
        <v>1.6898148148148148E-3</v>
      </c>
      <c r="P375" s="9">
        <f t="shared" si="67"/>
        <v>498.83333333333337</v>
      </c>
      <c r="Q375" s="3">
        <f t="shared" si="75"/>
        <v>2.4333333333333336</v>
      </c>
      <c r="R375" s="4">
        <f t="shared" si="76"/>
        <v>146</v>
      </c>
      <c r="S375" s="3">
        <f t="shared" si="77"/>
        <v>78</v>
      </c>
      <c r="T375" s="1">
        <v>0.38490000000000002</v>
      </c>
      <c r="U375" s="6">
        <f t="shared" si="68"/>
        <v>78.904499999999999</v>
      </c>
    </row>
    <row r="376" spans="1:21" x14ac:dyDescent="0.35">
      <c r="A376">
        <v>375</v>
      </c>
      <c r="B376" s="5">
        <v>44571</v>
      </c>
      <c r="C376" s="4">
        <f t="shared" si="69"/>
        <v>2022</v>
      </c>
      <c r="D376" s="4">
        <f t="shared" si="70"/>
        <v>1</v>
      </c>
      <c r="E376" s="14">
        <v>44571</v>
      </c>
      <c r="F376" s="4">
        <f t="shared" si="71"/>
        <v>10</v>
      </c>
      <c r="G376">
        <v>191</v>
      </c>
      <c r="H376">
        <v>186</v>
      </c>
      <c r="I376" s="13">
        <f t="shared" si="72"/>
        <v>0.97</v>
      </c>
      <c r="J376">
        <f t="shared" si="65"/>
        <v>5</v>
      </c>
      <c r="K376" s="2">
        <v>2.7777777777777778E-4</v>
      </c>
      <c r="L376" s="11">
        <f t="shared" si="66"/>
        <v>74.400000000000006</v>
      </c>
      <c r="M376" s="3">
        <f t="shared" si="73"/>
        <v>0.4</v>
      </c>
      <c r="N376" s="4">
        <f t="shared" si="74"/>
        <v>24</v>
      </c>
      <c r="O376" s="2">
        <v>1.5509259259259259E-3</v>
      </c>
      <c r="P376" s="9">
        <f t="shared" si="67"/>
        <v>415.40000000000003</v>
      </c>
      <c r="Q376" s="3">
        <f t="shared" si="75"/>
        <v>2.2333333333333334</v>
      </c>
      <c r="R376" s="4">
        <f t="shared" si="76"/>
        <v>134</v>
      </c>
      <c r="S376" s="3">
        <f t="shared" si="77"/>
        <v>131</v>
      </c>
      <c r="T376" s="1">
        <v>0.70530000000000004</v>
      </c>
      <c r="U376" s="6">
        <f t="shared" si="68"/>
        <v>131.1858</v>
      </c>
    </row>
    <row r="377" spans="1:21" x14ac:dyDescent="0.35">
      <c r="A377">
        <v>376</v>
      </c>
      <c r="B377" s="5">
        <v>44572</v>
      </c>
      <c r="C377" s="4">
        <f t="shared" si="69"/>
        <v>2022</v>
      </c>
      <c r="D377" s="4">
        <f t="shared" si="70"/>
        <v>1</v>
      </c>
      <c r="E377" s="14">
        <v>44572</v>
      </c>
      <c r="F377" s="4">
        <f t="shared" si="71"/>
        <v>11</v>
      </c>
      <c r="G377">
        <v>30</v>
      </c>
      <c r="H377">
        <v>29</v>
      </c>
      <c r="I377" s="13">
        <f t="shared" si="72"/>
        <v>0.96</v>
      </c>
      <c r="J377">
        <f t="shared" si="65"/>
        <v>1</v>
      </c>
      <c r="K377" s="2">
        <v>6.9444444444444444E-5</v>
      </c>
      <c r="L377" s="11">
        <f t="shared" si="66"/>
        <v>2.9000000000000004</v>
      </c>
      <c r="M377" s="3">
        <f t="shared" si="73"/>
        <v>0.1</v>
      </c>
      <c r="N377" s="4">
        <f t="shared" si="74"/>
        <v>6</v>
      </c>
      <c r="O377" s="2">
        <v>1.5625000000000001E-3</v>
      </c>
      <c r="P377" s="9">
        <f t="shared" si="67"/>
        <v>65.25</v>
      </c>
      <c r="Q377" s="3">
        <f t="shared" si="75"/>
        <v>2.25</v>
      </c>
      <c r="R377" s="4">
        <f t="shared" si="76"/>
        <v>135</v>
      </c>
      <c r="S377" s="3">
        <f t="shared" si="77"/>
        <v>27</v>
      </c>
      <c r="T377" s="1">
        <v>0.93330000000000002</v>
      </c>
      <c r="U377" s="6">
        <f t="shared" si="68"/>
        <v>27.0657</v>
      </c>
    </row>
    <row r="378" spans="1:21" x14ac:dyDescent="0.35">
      <c r="A378">
        <v>377</v>
      </c>
      <c r="B378" s="5">
        <v>44573</v>
      </c>
      <c r="C378" s="4">
        <f t="shared" si="69"/>
        <v>2022</v>
      </c>
      <c r="D378" s="4">
        <f t="shared" si="70"/>
        <v>1</v>
      </c>
      <c r="E378" s="14">
        <v>44573</v>
      </c>
      <c r="F378" s="4">
        <f t="shared" si="71"/>
        <v>12</v>
      </c>
      <c r="G378">
        <v>316</v>
      </c>
      <c r="H378">
        <v>290</v>
      </c>
      <c r="I378" s="13">
        <f t="shared" si="72"/>
        <v>0.91</v>
      </c>
      <c r="J378">
        <f t="shared" si="65"/>
        <v>26</v>
      </c>
      <c r="K378" s="2">
        <v>3.5879629629629629E-4</v>
      </c>
      <c r="L378" s="11">
        <f t="shared" si="66"/>
        <v>149.83333333333334</v>
      </c>
      <c r="M378" s="3">
        <f t="shared" si="73"/>
        <v>0.51666666666666672</v>
      </c>
      <c r="N378" s="4">
        <f t="shared" si="74"/>
        <v>31.000000000000004</v>
      </c>
      <c r="O378" s="2">
        <v>1.6319444444444445E-3</v>
      </c>
      <c r="P378" s="9">
        <f t="shared" si="67"/>
        <v>681.5</v>
      </c>
      <c r="Q378" s="3">
        <f t="shared" si="75"/>
        <v>2.35</v>
      </c>
      <c r="R378" s="4">
        <f t="shared" si="76"/>
        <v>141</v>
      </c>
      <c r="S378" s="3">
        <f t="shared" si="77"/>
        <v>171</v>
      </c>
      <c r="T378" s="1">
        <v>0.59160000000000001</v>
      </c>
      <c r="U378" s="6">
        <f t="shared" si="68"/>
        <v>171.56399999999999</v>
      </c>
    </row>
    <row r="379" spans="1:21" x14ac:dyDescent="0.35">
      <c r="A379">
        <v>378</v>
      </c>
      <c r="B379" s="5">
        <v>44574</v>
      </c>
      <c r="C379" s="4">
        <f t="shared" si="69"/>
        <v>2022</v>
      </c>
      <c r="D379" s="4">
        <f t="shared" si="70"/>
        <v>1</v>
      </c>
      <c r="E379" s="14">
        <v>44574</v>
      </c>
      <c r="F379" s="4">
        <f t="shared" si="71"/>
        <v>13</v>
      </c>
      <c r="G379">
        <v>211</v>
      </c>
      <c r="H379">
        <v>195</v>
      </c>
      <c r="I379" s="13">
        <f t="shared" si="72"/>
        <v>0.92</v>
      </c>
      <c r="J379">
        <f t="shared" si="65"/>
        <v>16</v>
      </c>
      <c r="K379" s="2">
        <v>3.9351851851851852E-4</v>
      </c>
      <c r="L379" s="11">
        <f t="shared" si="66"/>
        <v>110.5</v>
      </c>
      <c r="M379" s="3">
        <f t="shared" si="73"/>
        <v>0.56666666666666665</v>
      </c>
      <c r="N379" s="4">
        <f t="shared" si="74"/>
        <v>34</v>
      </c>
      <c r="O379" s="2">
        <v>1.6319444444444445E-3</v>
      </c>
      <c r="P379" s="9">
        <f t="shared" si="67"/>
        <v>458.25</v>
      </c>
      <c r="Q379" s="3">
        <f t="shared" si="75"/>
        <v>2.35</v>
      </c>
      <c r="R379" s="4">
        <f t="shared" si="76"/>
        <v>141</v>
      </c>
      <c r="S379" s="3">
        <f t="shared" si="77"/>
        <v>108</v>
      </c>
      <c r="T379" s="1">
        <v>0.55769999999999997</v>
      </c>
      <c r="U379" s="6">
        <f t="shared" si="68"/>
        <v>108.75149999999999</v>
      </c>
    </row>
    <row r="380" spans="1:21" x14ac:dyDescent="0.35">
      <c r="A380">
        <v>379</v>
      </c>
      <c r="B380" s="5">
        <v>44575</v>
      </c>
      <c r="C380" s="4">
        <f t="shared" si="69"/>
        <v>2022</v>
      </c>
      <c r="D380" s="4">
        <f t="shared" si="70"/>
        <v>1</v>
      </c>
      <c r="E380" s="14">
        <v>44575</v>
      </c>
      <c r="F380" s="4">
        <f t="shared" si="71"/>
        <v>14</v>
      </c>
      <c r="G380">
        <v>208</v>
      </c>
      <c r="H380">
        <v>169</v>
      </c>
      <c r="I380" s="13">
        <f t="shared" si="72"/>
        <v>0.81</v>
      </c>
      <c r="J380">
        <f t="shared" si="65"/>
        <v>39</v>
      </c>
      <c r="K380" s="2">
        <v>5.2083333333333333E-4</v>
      </c>
      <c r="L380" s="11">
        <f t="shared" si="66"/>
        <v>126.75</v>
      </c>
      <c r="M380" s="3">
        <f t="shared" si="73"/>
        <v>0.75</v>
      </c>
      <c r="N380" s="4">
        <f t="shared" si="74"/>
        <v>45</v>
      </c>
      <c r="O380" s="2">
        <v>1.5972222222222223E-3</v>
      </c>
      <c r="P380" s="9">
        <f t="shared" si="67"/>
        <v>388.7</v>
      </c>
      <c r="Q380" s="3">
        <f t="shared" si="75"/>
        <v>2.2999999999999998</v>
      </c>
      <c r="R380" s="4">
        <f t="shared" si="76"/>
        <v>138</v>
      </c>
      <c r="S380" s="3">
        <f t="shared" si="77"/>
        <v>77</v>
      </c>
      <c r="T380" s="1">
        <v>0.45850000000000002</v>
      </c>
      <c r="U380" s="6">
        <f t="shared" si="68"/>
        <v>77.486500000000007</v>
      </c>
    </row>
    <row r="381" spans="1:21" x14ac:dyDescent="0.35">
      <c r="A381">
        <v>380</v>
      </c>
      <c r="B381" s="5">
        <v>44576</v>
      </c>
      <c r="C381" s="4">
        <f t="shared" si="69"/>
        <v>2022</v>
      </c>
      <c r="D381" s="4">
        <f t="shared" si="70"/>
        <v>1</v>
      </c>
      <c r="E381" s="14">
        <v>44576</v>
      </c>
      <c r="F381" s="4">
        <f t="shared" si="71"/>
        <v>15</v>
      </c>
      <c r="G381">
        <v>130</v>
      </c>
      <c r="H381">
        <v>124</v>
      </c>
      <c r="I381" s="13">
        <f t="shared" si="72"/>
        <v>0.95</v>
      </c>
      <c r="J381">
        <f t="shared" si="65"/>
        <v>6</v>
      </c>
      <c r="K381" s="2">
        <v>2.5462962962962961E-4</v>
      </c>
      <c r="L381" s="11">
        <f t="shared" si="66"/>
        <v>45.466666666666661</v>
      </c>
      <c r="M381" s="3">
        <f t="shared" si="73"/>
        <v>0.36666666666666664</v>
      </c>
      <c r="N381" s="4">
        <f t="shared" si="74"/>
        <v>22</v>
      </c>
      <c r="O381" s="2">
        <v>1.5856481481481481E-3</v>
      </c>
      <c r="P381" s="9">
        <f t="shared" si="67"/>
        <v>283.13333333333333</v>
      </c>
      <c r="Q381" s="3">
        <f t="shared" si="75"/>
        <v>2.2833333333333332</v>
      </c>
      <c r="R381" s="4">
        <f t="shared" si="76"/>
        <v>137</v>
      </c>
      <c r="S381" s="3">
        <f t="shared" si="77"/>
        <v>85</v>
      </c>
      <c r="T381" s="1">
        <v>0.68989999999999996</v>
      </c>
      <c r="U381" s="6">
        <f t="shared" si="68"/>
        <v>85.547599999999989</v>
      </c>
    </row>
    <row r="382" spans="1:21" x14ac:dyDescent="0.35">
      <c r="A382">
        <v>381</v>
      </c>
      <c r="B382" s="5">
        <v>44577</v>
      </c>
      <c r="C382" s="4">
        <f t="shared" si="69"/>
        <v>2022</v>
      </c>
      <c r="D382" s="4">
        <f t="shared" si="70"/>
        <v>1</v>
      </c>
      <c r="E382" s="14">
        <v>44577</v>
      </c>
      <c r="F382" s="4">
        <f t="shared" si="71"/>
        <v>16</v>
      </c>
      <c r="G382">
        <v>134</v>
      </c>
      <c r="H382">
        <v>129</v>
      </c>
      <c r="I382" s="13">
        <f t="shared" si="72"/>
        <v>0.96</v>
      </c>
      <c r="J382">
        <f t="shared" si="65"/>
        <v>5</v>
      </c>
      <c r="K382" s="2">
        <v>2.7777777777777778E-4</v>
      </c>
      <c r="L382" s="11">
        <f t="shared" si="66"/>
        <v>51.6</v>
      </c>
      <c r="M382" s="3">
        <f t="shared" si="73"/>
        <v>0.4</v>
      </c>
      <c r="N382" s="4">
        <f t="shared" si="74"/>
        <v>24</v>
      </c>
      <c r="O382" s="2">
        <v>1.5277777777777779E-3</v>
      </c>
      <c r="P382" s="9">
        <f t="shared" si="67"/>
        <v>283.8</v>
      </c>
      <c r="Q382" s="3">
        <f t="shared" si="75"/>
        <v>2.2000000000000002</v>
      </c>
      <c r="R382" s="4">
        <f t="shared" si="76"/>
        <v>132</v>
      </c>
      <c r="S382" s="3">
        <f t="shared" si="77"/>
        <v>91</v>
      </c>
      <c r="T382" s="1">
        <v>0.70899999999999996</v>
      </c>
      <c r="U382" s="6">
        <f t="shared" si="68"/>
        <v>91.460999999999999</v>
      </c>
    </row>
    <row r="383" spans="1:21" x14ac:dyDescent="0.35">
      <c r="A383">
        <v>382</v>
      </c>
      <c r="B383" s="5">
        <v>44578</v>
      </c>
      <c r="C383" s="4">
        <f t="shared" si="69"/>
        <v>2022</v>
      </c>
      <c r="D383" s="4">
        <f t="shared" si="70"/>
        <v>1</v>
      </c>
      <c r="E383" s="14">
        <v>44578</v>
      </c>
      <c r="F383" s="4">
        <f t="shared" si="71"/>
        <v>17</v>
      </c>
      <c r="G383">
        <v>124</v>
      </c>
      <c r="H383">
        <v>121</v>
      </c>
      <c r="I383" s="13">
        <f t="shared" si="72"/>
        <v>0.97</v>
      </c>
      <c r="J383">
        <f t="shared" si="65"/>
        <v>3</v>
      </c>
      <c r="K383" s="2">
        <v>3.1250000000000001E-4</v>
      </c>
      <c r="L383" s="11">
        <f t="shared" si="66"/>
        <v>54.45</v>
      </c>
      <c r="M383" s="3">
        <f t="shared" si="73"/>
        <v>0.45</v>
      </c>
      <c r="N383" s="4">
        <f t="shared" si="74"/>
        <v>27</v>
      </c>
      <c r="O383" s="2">
        <v>1.6087962962962963E-3</v>
      </c>
      <c r="P383" s="9">
        <f t="shared" si="67"/>
        <v>280.31666666666666</v>
      </c>
      <c r="Q383" s="3">
        <f t="shared" si="75"/>
        <v>2.3166666666666664</v>
      </c>
      <c r="R383" s="4">
        <f t="shared" si="76"/>
        <v>139</v>
      </c>
      <c r="S383" s="3">
        <f t="shared" si="77"/>
        <v>85</v>
      </c>
      <c r="T383" s="1">
        <v>0.70730000000000004</v>
      </c>
      <c r="U383" s="6">
        <f t="shared" si="68"/>
        <v>85.583300000000008</v>
      </c>
    </row>
    <row r="384" spans="1:21" x14ac:dyDescent="0.35">
      <c r="A384">
        <v>383</v>
      </c>
      <c r="B384" s="5">
        <v>44579</v>
      </c>
      <c r="C384" s="4">
        <f t="shared" si="69"/>
        <v>2022</v>
      </c>
      <c r="D384" s="4">
        <f t="shared" si="70"/>
        <v>1</v>
      </c>
      <c r="E384" s="14">
        <v>44579</v>
      </c>
      <c r="F384" s="4">
        <f t="shared" si="71"/>
        <v>18</v>
      </c>
      <c r="G384">
        <v>47</v>
      </c>
      <c r="H384">
        <v>43</v>
      </c>
      <c r="I384" s="13">
        <f t="shared" si="72"/>
        <v>0.91</v>
      </c>
      <c r="J384">
        <f t="shared" si="65"/>
        <v>4</v>
      </c>
      <c r="K384" s="2">
        <v>4.2824074074074075E-4</v>
      </c>
      <c r="L384" s="11">
        <f t="shared" si="66"/>
        <v>26.516666666666669</v>
      </c>
      <c r="M384" s="3">
        <f t="shared" si="73"/>
        <v>0.6166666666666667</v>
      </c>
      <c r="N384" s="4">
        <f t="shared" si="74"/>
        <v>37</v>
      </c>
      <c r="O384" s="2">
        <v>1.5972222222222223E-3</v>
      </c>
      <c r="P384" s="9">
        <f t="shared" si="67"/>
        <v>98.899999999999991</v>
      </c>
      <c r="Q384" s="3">
        <f t="shared" si="75"/>
        <v>2.2999999999999998</v>
      </c>
      <c r="R384" s="4">
        <f t="shared" si="76"/>
        <v>138</v>
      </c>
      <c r="S384" s="3">
        <f t="shared" si="77"/>
        <v>23</v>
      </c>
      <c r="T384" s="1">
        <v>0.54349999999999998</v>
      </c>
      <c r="U384" s="6">
        <f t="shared" si="68"/>
        <v>23.3705</v>
      </c>
    </row>
    <row r="385" spans="1:21" x14ac:dyDescent="0.35">
      <c r="A385">
        <v>384</v>
      </c>
      <c r="B385" s="5">
        <v>44580</v>
      </c>
      <c r="C385" s="4">
        <f t="shared" si="69"/>
        <v>2022</v>
      </c>
      <c r="D385" s="4">
        <f t="shared" si="70"/>
        <v>1</v>
      </c>
      <c r="E385" s="14">
        <v>44580</v>
      </c>
      <c r="F385" s="4">
        <f t="shared" si="71"/>
        <v>19</v>
      </c>
      <c r="G385">
        <v>197</v>
      </c>
      <c r="H385">
        <v>186</v>
      </c>
      <c r="I385" s="13">
        <f t="shared" si="72"/>
        <v>0.94</v>
      </c>
      <c r="J385">
        <f t="shared" si="65"/>
        <v>11</v>
      </c>
      <c r="K385" s="2">
        <v>3.2407407407407406E-4</v>
      </c>
      <c r="L385" s="11">
        <f t="shared" si="66"/>
        <v>86.8</v>
      </c>
      <c r="M385" s="3">
        <f t="shared" si="73"/>
        <v>0.46666666666666667</v>
      </c>
      <c r="N385" s="4">
        <f t="shared" si="74"/>
        <v>28</v>
      </c>
      <c r="O385" s="2">
        <v>1.5972222222222223E-3</v>
      </c>
      <c r="P385" s="9">
        <f t="shared" si="67"/>
        <v>427.79999999999995</v>
      </c>
      <c r="Q385" s="3">
        <f t="shared" si="75"/>
        <v>2.2999999999999998</v>
      </c>
      <c r="R385" s="4">
        <f t="shared" si="76"/>
        <v>138</v>
      </c>
      <c r="S385" s="3">
        <f t="shared" si="77"/>
        <v>118</v>
      </c>
      <c r="T385" s="1">
        <v>0.63829999999999998</v>
      </c>
      <c r="U385" s="6">
        <f t="shared" si="68"/>
        <v>118.7238</v>
      </c>
    </row>
    <row r="386" spans="1:21" x14ac:dyDescent="0.35">
      <c r="A386">
        <v>385</v>
      </c>
      <c r="B386" s="5">
        <v>44581</v>
      </c>
      <c r="C386" s="4">
        <f t="shared" si="69"/>
        <v>2022</v>
      </c>
      <c r="D386" s="4">
        <f t="shared" si="70"/>
        <v>1</v>
      </c>
      <c r="E386" s="14">
        <v>44581</v>
      </c>
      <c r="F386" s="4">
        <f t="shared" si="71"/>
        <v>20</v>
      </c>
      <c r="G386">
        <v>158</v>
      </c>
      <c r="H386">
        <v>146</v>
      </c>
      <c r="I386" s="13">
        <f t="shared" si="72"/>
        <v>0.92</v>
      </c>
      <c r="J386">
        <f t="shared" ref="J386:J449" si="78">G386-H386</f>
        <v>12</v>
      </c>
      <c r="K386" s="2">
        <v>3.5879629629629629E-4</v>
      </c>
      <c r="L386" s="11">
        <f t="shared" ref="L386:L449" si="79">H386*M386</f>
        <v>75.433333333333337</v>
      </c>
      <c r="M386" s="3">
        <f t="shared" si="73"/>
        <v>0.51666666666666672</v>
      </c>
      <c r="N386" s="4">
        <f t="shared" si="74"/>
        <v>31.000000000000004</v>
      </c>
      <c r="O386" s="2">
        <v>1.6666666666666668E-3</v>
      </c>
      <c r="P386" s="9">
        <f t="shared" ref="P386:P449" si="80">Q386*H386</f>
        <v>350.4</v>
      </c>
      <c r="Q386" s="3">
        <f t="shared" si="75"/>
        <v>2.4</v>
      </c>
      <c r="R386" s="4">
        <f t="shared" si="76"/>
        <v>144</v>
      </c>
      <c r="S386" s="3">
        <f t="shared" si="77"/>
        <v>83</v>
      </c>
      <c r="T386" s="1">
        <v>0.5696</v>
      </c>
      <c r="U386" s="6">
        <f t="shared" ref="U386:U449" si="81">T386*H386</f>
        <v>83.161599999999993</v>
      </c>
    </row>
    <row r="387" spans="1:21" x14ac:dyDescent="0.35">
      <c r="A387">
        <v>386</v>
      </c>
      <c r="B387" s="5">
        <v>44582</v>
      </c>
      <c r="C387" s="4">
        <f t="shared" ref="C387:C450" si="82">YEAR(B387)</f>
        <v>2022</v>
      </c>
      <c r="D387" s="4">
        <f t="shared" ref="D387:D450" si="83">MONTH(B387)</f>
        <v>1</v>
      </c>
      <c r="E387" s="14">
        <v>44582</v>
      </c>
      <c r="F387" s="4">
        <f t="shared" ref="F387:F450" si="84">DAY(B387)</f>
        <v>21</v>
      </c>
      <c r="G387">
        <v>163</v>
      </c>
      <c r="H387">
        <v>151</v>
      </c>
      <c r="I387" s="13">
        <f t="shared" ref="I387:I450" si="85">TRUNC(H387/G387,2)</f>
        <v>0.92</v>
      </c>
      <c r="J387">
        <f t="shared" si="78"/>
        <v>12</v>
      </c>
      <c r="K387" s="2">
        <v>3.2407407407407406E-4</v>
      </c>
      <c r="L387" s="11">
        <f t="shared" si="79"/>
        <v>70.466666666666669</v>
      </c>
      <c r="M387" s="3">
        <f t="shared" ref="M387:M450" si="86">MINUTE(K387)+SECOND(K387)/60</f>
        <v>0.46666666666666667</v>
      </c>
      <c r="N387" s="4">
        <f t="shared" ref="N387:N450" si="87">M387*60</f>
        <v>28</v>
      </c>
      <c r="O387" s="2">
        <v>1.5393518518518519E-3</v>
      </c>
      <c r="P387" s="9">
        <f t="shared" si="80"/>
        <v>334.7166666666667</v>
      </c>
      <c r="Q387" s="3">
        <f t="shared" ref="Q387:Q450" si="88">MINUTE(O387)+SECOND(O387)/60</f>
        <v>2.2166666666666668</v>
      </c>
      <c r="R387" s="4">
        <f t="shared" ref="R387:R450" si="89">Q387*60</f>
        <v>133</v>
      </c>
      <c r="S387" s="3">
        <f t="shared" ref="S387:S450" si="90">TRUNC(U387,0)</f>
        <v>96</v>
      </c>
      <c r="T387" s="1">
        <v>0.63749999999999996</v>
      </c>
      <c r="U387" s="6">
        <f t="shared" si="81"/>
        <v>96.262499999999989</v>
      </c>
    </row>
    <row r="388" spans="1:21" x14ac:dyDescent="0.35">
      <c r="A388">
        <v>387</v>
      </c>
      <c r="B388" s="5">
        <v>44583</v>
      </c>
      <c r="C388" s="4">
        <f t="shared" si="82"/>
        <v>2022</v>
      </c>
      <c r="D388" s="4">
        <f t="shared" si="83"/>
        <v>1</v>
      </c>
      <c r="E388" s="14">
        <v>44583</v>
      </c>
      <c r="F388" s="4">
        <f t="shared" si="84"/>
        <v>22</v>
      </c>
      <c r="G388">
        <v>178</v>
      </c>
      <c r="H388">
        <v>160</v>
      </c>
      <c r="I388" s="13">
        <f t="shared" si="85"/>
        <v>0.89</v>
      </c>
      <c r="J388">
        <f t="shared" si="78"/>
        <v>18</v>
      </c>
      <c r="K388" s="2">
        <v>4.0509259259259258E-4</v>
      </c>
      <c r="L388" s="11">
        <f t="shared" si="79"/>
        <v>93.333333333333343</v>
      </c>
      <c r="M388" s="3">
        <f t="shared" si="86"/>
        <v>0.58333333333333337</v>
      </c>
      <c r="N388" s="4">
        <f t="shared" si="87"/>
        <v>35</v>
      </c>
      <c r="O388" s="2">
        <v>1.8402777777777777E-3</v>
      </c>
      <c r="P388" s="9">
        <f t="shared" si="80"/>
        <v>424</v>
      </c>
      <c r="Q388" s="3">
        <f t="shared" si="88"/>
        <v>2.65</v>
      </c>
      <c r="R388" s="4">
        <f t="shared" si="89"/>
        <v>159</v>
      </c>
      <c r="S388" s="3">
        <f t="shared" si="90"/>
        <v>87</v>
      </c>
      <c r="T388" s="1">
        <v>0.54490000000000005</v>
      </c>
      <c r="U388" s="6">
        <f t="shared" si="81"/>
        <v>87.184000000000012</v>
      </c>
    </row>
    <row r="389" spans="1:21" x14ac:dyDescent="0.35">
      <c r="A389">
        <v>388</v>
      </c>
      <c r="B389" s="5">
        <v>44584</v>
      </c>
      <c r="C389" s="4">
        <f t="shared" si="82"/>
        <v>2022</v>
      </c>
      <c r="D389" s="4">
        <f t="shared" si="83"/>
        <v>1</v>
      </c>
      <c r="E389" s="14">
        <v>44584</v>
      </c>
      <c r="F389" s="4">
        <f t="shared" si="84"/>
        <v>23</v>
      </c>
      <c r="G389">
        <v>151</v>
      </c>
      <c r="H389">
        <v>128</v>
      </c>
      <c r="I389" s="13">
        <f t="shared" si="85"/>
        <v>0.84</v>
      </c>
      <c r="J389">
        <f t="shared" si="78"/>
        <v>23</v>
      </c>
      <c r="K389" s="2">
        <v>4.0509259259259258E-4</v>
      </c>
      <c r="L389" s="11">
        <f t="shared" si="79"/>
        <v>74.666666666666671</v>
      </c>
      <c r="M389" s="3">
        <f t="shared" si="86"/>
        <v>0.58333333333333337</v>
      </c>
      <c r="N389" s="4">
        <f t="shared" si="87"/>
        <v>35</v>
      </c>
      <c r="O389" s="2">
        <v>1.6550925925925926E-3</v>
      </c>
      <c r="P389" s="9">
        <f t="shared" si="80"/>
        <v>305.06666666666666</v>
      </c>
      <c r="Q389" s="3">
        <f t="shared" si="88"/>
        <v>2.3833333333333333</v>
      </c>
      <c r="R389" s="4">
        <f t="shared" si="89"/>
        <v>143</v>
      </c>
      <c r="S389" s="3">
        <f t="shared" si="90"/>
        <v>68</v>
      </c>
      <c r="T389" s="1">
        <v>0.53380000000000005</v>
      </c>
      <c r="U389" s="6">
        <f t="shared" si="81"/>
        <v>68.326400000000007</v>
      </c>
    </row>
    <row r="390" spans="1:21" x14ac:dyDescent="0.35">
      <c r="A390">
        <v>389</v>
      </c>
      <c r="B390" s="5">
        <v>44585</v>
      </c>
      <c r="C390" s="4">
        <f t="shared" si="82"/>
        <v>2022</v>
      </c>
      <c r="D390" s="4">
        <f t="shared" si="83"/>
        <v>1</v>
      </c>
      <c r="E390" s="14">
        <v>44585</v>
      </c>
      <c r="F390" s="4">
        <f t="shared" si="84"/>
        <v>24</v>
      </c>
      <c r="G390">
        <v>118</v>
      </c>
      <c r="H390">
        <v>106</v>
      </c>
      <c r="I390" s="13">
        <f t="shared" si="85"/>
        <v>0.89</v>
      </c>
      <c r="J390">
        <f t="shared" si="78"/>
        <v>12</v>
      </c>
      <c r="K390" s="2">
        <v>3.8194444444444446E-4</v>
      </c>
      <c r="L390" s="11">
        <f t="shared" si="79"/>
        <v>58.300000000000004</v>
      </c>
      <c r="M390" s="3">
        <f t="shared" si="86"/>
        <v>0.55000000000000004</v>
      </c>
      <c r="N390" s="4">
        <f t="shared" si="87"/>
        <v>33</v>
      </c>
      <c r="O390" s="2">
        <v>1.6782407407407408E-3</v>
      </c>
      <c r="P390" s="9">
        <f t="shared" si="80"/>
        <v>256.16666666666663</v>
      </c>
      <c r="Q390" s="3">
        <f t="shared" si="88"/>
        <v>2.4166666666666665</v>
      </c>
      <c r="R390" s="4">
        <f t="shared" si="89"/>
        <v>145</v>
      </c>
      <c r="S390" s="3">
        <f t="shared" si="90"/>
        <v>58</v>
      </c>
      <c r="T390" s="1">
        <v>0.55169999999999997</v>
      </c>
      <c r="U390" s="6">
        <f t="shared" si="81"/>
        <v>58.480199999999996</v>
      </c>
    </row>
    <row r="391" spans="1:21" x14ac:dyDescent="0.35">
      <c r="A391">
        <v>390</v>
      </c>
      <c r="B391" s="5">
        <v>44586</v>
      </c>
      <c r="C391" s="4">
        <f t="shared" si="82"/>
        <v>2022</v>
      </c>
      <c r="D391" s="4">
        <f t="shared" si="83"/>
        <v>1</v>
      </c>
      <c r="E391" s="14">
        <v>44586</v>
      </c>
      <c r="F391" s="4">
        <f t="shared" si="84"/>
        <v>25</v>
      </c>
      <c r="G391">
        <v>31</v>
      </c>
      <c r="H391">
        <v>28</v>
      </c>
      <c r="I391" s="13">
        <f t="shared" si="85"/>
        <v>0.9</v>
      </c>
      <c r="J391">
        <f t="shared" si="78"/>
        <v>3</v>
      </c>
      <c r="K391" s="2">
        <v>4.6296296296296298E-4</v>
      </c>
      <c r="L391" s="11">
        <f t="shared" si="79"/>
        <v>18.666666666666664</v>
      </c>
      <c r="M391" s="3">
        <f t="shared" si="86"/>
        <v>0.66666666666666663</v>
      </c>
      <c r="N391" s="4">
        <f t="shared" si="87"/>
        <v>40</v>
      </c>
      <c r="O391" s="2">
        <v>1.8518518518518519E-3</v>
      </c>
      <c r="P391" s="9">
        <f t="shared" si="80"/>
        <v>74.666666666666657</v>
      </c>
      <c r="Q391" s="3">
        <f t="shared" si="88"/>
        <v>2.6666666666666665</v>
      </c>
      <c r="R391" s="4">
        <f t="shared" si="89"/>
        <v>160</v>
      </c>
      <c r="S391" s="3">
        <f t="shared" si="90"/>
        <v>12</v>
      </c>
      <c r="T391" s="1">
        <v>0.43330000000000002</v>
      </c>
      <c r="U391" s="6">
        <f t="shared" si="81"/>
        <v>12.132400000000001</v>
      </c>
    </row>
    <row r="392" spans="1:21" x14ac:dyDescent="0.35">
      <c r="A392">
        <v>391</v>
      </c>
      <c r="B392" s="5">
        <v>44587</v>
      </c>
      <c r="C392" s="4">
        <f t="shared" si="82"/>
        <v>2022</v>
      </c>
      <c r="D392" s="4">
        <f t="shared" si="83"/>
        <v>1</v>
      </c>
      <c r="E392" s="14">
        <v>44587</v>
      </c>
      <c r="F392" s="4">
        <f t="shared" si="84"/>
        <v>26</v>
      </c>
      <c r="G392">
        <v>139</v>
      </c>
      <c r="H392">
        <v>134</v>
      </c>
      <c r="I392" s="13">
        <f t="shared" si="85"/>
        <v>0.96</v>
      </c>
      <c r="J392">
        <f t="shared" si="78"/>
        <v>5</v>
      </c>
      <c r="K392" s="2">
        <v>3.5879629629629629E-4</v>
      </c>
      <c r="L392" s="11">
        <f t="shared" si="79"/>
        <v>69.233333333333334</v>
      </c>
      <c r="M392" s="3">
        <f t="shared" si="86"/>
        <v>0.51666666666666672</v>
      </c>
      <c r="N392" s="4">
        <f t="shared" si="87"/>
        <v>31.000000000000004</v>
      </c>
      <c r="O392" s="2">
        <v>1.6550925925925926E-3</v>
      </c>
      <c r="P392" s="9">
        <f t="shared" si="80"/>
        <v>319.36666666666667</v>
      </c>
      <c r="Q392" s="3">
        <f t="shared" si="88"/>
        <v>2.3833333333333333</v>
      </c>
      <c r="R392" s="4">
        <f t="shared" si="89"/>
        <v>143</v>
      </c>
      <c r="S392" s="3">
        <f t="shared" si="90"/>
        <v>79</v>
      </c>
      <c r="T392" s="1">
        <v>0.59419999999999995</v>
      </c>
      <c r="U392" s="6">
        <f t="shared" si="81"/>
        <v>79.622799999999998</v>
      </c>
    </row>
    <row r="393" spans="1:21" x14ac:dyDescent="0.35">
      <c r="A393">
        <v>392</v>
      </c>
      <c r="B393" s="5">
        <v>44588</v>
      </c>
      <c r="C393" s="4">
        <f t="shared" si="82"/>
        <v>2022</v>
      </c>
      <c r="D393" s="4">
        <f t="shared" si="83"/>
        <v>1</v>
      </c>
      <c r="E393" s="14">
        <v>44588</v>
      </c>
      <c r="F393" s="4">
        <f t="shared" si="84"/>
        <v>27</v>
      </c>
      <c r="G393">
        <v>171</v>
      </c>
      <c r="H393">
        <v>154</v>
      </c>
      <c r="I393" s="13">
        <f t="shared" si="85"/>
        <v>0.9</v>
      </c>
      <c r="J393">
        <f t="shared" si="78"/>
        <v>17</v>
      </c>
      <c r="K393" s="2">
        <v>3.1250000000000001E-4</v>
      </c>
      <c r="L393" s="11">
        <f t="shared" si="79"/>
        <v>69.3</v>
      </c>
      <c r="M393" s="3">
        <f t="shared" si="86"/>
        <v>0.45</v>
      </c>
      <c r="N393" s="4">
        <f t="shared" si="87"/>
        <v>27</v>
      </c>
      <c r="O393" s="2">
        <v>1.6666666666666668E-3</v>
      </c>
      <c r="P393" s="9">
        <f t="shared" si="80"/>
        <v>369.59999999999997</v>
      </c>
      <c r="Q393" s="3">
        <f t="shared" si="88"/>
        <v>2.4</v>
      </c>
      <c r="R393" s="4">
        <f t="shared" si="89"/>
        <v>144</v>
      </c>
      <c r="S393" s="3">
        <f t="shared" si="90"/>
        <v>101</v>
      </c>
      <c r="T393" s="1">
        <v>0.65659999999999996</v>
      </c>
      <c r="U393" s="6">
        <f t="shared" si="81"/>
        <v>101.1164</v>
      </c>
    </row>
    <row r="394" spans="1:21" x14ac:dyDescent="0.35">
      <c r="A394">
        <v>393</v>
      </c>
      <c r="B394" s="5">
        <v>44589</v>
      </c>
      <c r="C394" s="4">
        <f t="shared" si="82"/>
        <v>2022</v>
      </c>
      <c r="D394" s="4">
        <f t="shared" si="83"/>
        <v>1</v>
      </c>
      <c r="E394" s="14">
        <v>44589</v>
      </c>
      <c r="F394" s="4">
        <f t="shared" si="84"/>
        <v>28</v>
      </c>
      <c r="G394">
        <v>160</v>
      </c>
      <c r="H394">
        <v>156</v>
      </c>
      <c r="I394" s="13">
        <f t="shared" si="85"/>
        <v>0.97</v>
      </c>
      <c r="J394">
        <f t="shared" si="78"/>
        <v>4</v>
      </c>
      <c r="K394" s="2">
        <v>3.1250000000000001E-4</v>
      </c>
      <c r="L394" s="11">
        <f t="shared" si="79"/>
        <v>70.2</v>
      </c>
      <c r="M394" s="3">
        <f t="shared" si="86"/>
        <v>0.45</v>
      </c>
      <c r="N394" s="4">
        <f t="shared" si="87"/>
        <v>27</v>
      </c>
      <c r="O394" s="2">
        <v>1.5625000000000001E-3</v>
      </c>
      <c r="P394" s="9">
        <f t="shared" si="80"/>
        <v>351</v>
      </c>
      <c r="Q394" s="3">
        <f t="shared" si="88"/>
        <v>2.25</v>
      </c>
      <c r="R394" s="4">
        <f t="shared" si="89"/>
        <v>135</v>
      </c>
      <c r="S394" s="3">
        <f t="shared" si="90"/>
        <v>100</v>
      </c>
      <c r="T394" s="1">
        <v>0.64559999999999995</v>
      </c>
      <c r="U394" s="6">
        <f t="shared" si="81"/>
        <v>100.71359999999999</v>
      </c>
    </row>
    <row r="395" spans="1:21" x14ac:dyDescent="0.35">
      <c r="A395">
        <v>394</v>
      </c>
      <c r="B395" s="5">
        <v>44590</v>
      </c>
      <c r="C395" s="4">
        <f t="shared" si="82"/>
        <v>2022</v>
      </c>
      <c r="D395" s="4">
        <f t="shared" si="83"/>
        <v>1</v>
      </c>
      <c r="E395" s="14">
        <v>44590</v>
      </c>
      <c r="F395" s="4">
        <f t="shared" si="84"/>
        <v>29</v>
      </c>
      <c r="G395">
        <v>177</v>
      </c>
      <c r="H395">
        <v>169</v>
      </c>
      <c r="I395" s="13">
        <f t="shared" si="85"/>
        <v>0.95</v>
      </c>
      <c r="J395">
        <f t="shared" si="78"/>
        <v>8</v>
      </c>
      <c r="K395" s="2">
        <v>3.3564814814814812E-4</v>
      </c>
      <c r="L395" s="11">
        <f t="shared" si="79"/>
        <v>81.683333333333337</v>
      </c>
      <c r="M395" s="3">
        <f t="shared" si="86"/>
        <v>0.48333333333333334</v>
      </c>
      <c r="N395" s="4">
        <f t="shared" si="87"/>
        <v>29</v>
      </c>
      <c r="O395" s="2">
        <v>1.7476851851851852E-3</v>
      </c>
      <c r="P395" s="9">
        <f t="shared" si="80"/>
        <v>425.31666666666666</v>
      </c>
      <c r="Q395" s="3">
        <f t="shared" si="88"/>
        <v>2.5166666666666666</v>
      </c>
      <c r="R395" s="4">
        <f t="shared" si="89"/>
        <v>151</v>
      </c>
      <c r="S395" s="3">
        <f t="shared" si="90"/>
        <v>108</v>
      </c>
      <c r="T395" s="1">
        <v>0.64370000000000005</v>
      </c>
      <c r="U395" s="6">
        <f t="shared" si="81"/>
        <v>108.78530000000001</v>
      </c>
    </row>
    <row r="396" spans="1:21" x14ac:dyDescent="0.35">
      <c r="A396">
        <v>395</v>
      </c>
      <c r="B396" s="5">
        <v>44591</v>
      </c>
      <c r="C396" s="4">
        <f t="shared" si="82"/>
        <v>2022</v>
      </c>
      <c r="D396" s="4">
        <f t="shared" si="83"/>
        <v>1</v>
      </c>
      <c r="E396" s="14">
        <v>44591</v>
      </c>
      <c r="F396" s="4">
        <f t="shared" si="84"/>
        <v>30</v>
      </c>
      <c r="G396">
        <v>187</v>
      </c>
      <c r="H396">
        <v>180</v>
      </c>
      <c r="I396" s="13">
        <f t="shared" si="85"/>
        <v>0.96</v>
      </c>
      <c r="J396">
        <f t="shared" si="78"/>
        <v>7</v>
      </c>
      <c r="K396" s="2">
        <v>3.0092592592592595E-4</v>
      </c>
      <c r="L396" s="11">
        <f t="shared" si="79"/>
        <v>78</v>
      </c>
      <c r="M396" s="3">
        <f t="shared" si="86"/>
        <v>0.43333333333333335</v>
      </c>
      <c r="N396" s="4">
        <f t="shared" si="87"/>
        <v>26</v>
      </c>
      <c r="O396" s="2">
        <v>1.6435185185185185E-3</v>
      </c>
      <c r="P396" s="9">
        <f t="shared" si="80"/>
        <v>426</v>
      </c>
      <c r="Q396" s="3">
        <f t="shared" si="88"/>
        <v>2.3666666666666667</v>
      </c>
      <c r="R396" s="4">
        <f t="shared" si="89"/>
        <v>142</v>
      </c>
      <c r="S396" s="3">
        <f t="shared" si="90"/>
        <v>118</v>
      </c>
      <c r="T396" s="1">
        <v>0.65590000000000004</v>
      </c>
      <c r="U396" s="6">
        <f t="shared" si="81"/>
        <v>118.06200000000001</v>
      </c>
    </row>
    <row r="397" spans="1:21" x14ac:dyDescent="0.35">
      <c r="A397">
        <v>396</v>
      </c>
      <c r="B397" s="5">
        <v>44592</v>
      </c>
      <c r="C397" s="4">
        <f t="shared" si="82"/>
        <v>2022</v>
      </c>
      <c r="D397" s="4">
        <f t="shared" si="83"/>
        <v>1</v>
      </c>
      <c r="E397" s="14">
        <v>44592</v>
      </c>
      <c r="F397" s="4">
        <f t="shared" si="84"/>
        <v>31</v>
      </c>
      <c r="G397">
        <v>147</v>
      </c>
      <c r="H397">
        <v>138</v>
      </c>
      <c r="I397" s="13">
        <f t="shared" si="85"/>
        <v>0.93</v>
      </c>
      <c r="J397">
        <f t="shared" si="78"/>
        <v>9</v>
      </c>
      <c r="K397" s="2">
        <v>3.0092592592592595E-4</v>
      </c>
      <c r="L397" s="11">
        <f t="shared" si="79"/>
        <v>59.800000000000004</v>
      </c>
      <c r="M397" s="3">
        <f t="shared" si="86"/>
        <v>0.43333333333333335</v>
      </c>
      <c r="N397" s="4">
        <f t="shared" si="87"/>
        <v>26</v>
      </c>
      <c r="O397" s="2">
        <v>1.6666666666666668E-3</v>
      </c>
      <c r="P397" s="9">
        <f t="shared" si="80"/>
        <v>331.2</v>
      </c>
      <c r="Q397" s="3">
        <f t="shared" si="88"/>
        <v>2.4</v>
      </c>
      <c r="R397" s="4">
        <f t="shared" si="89"/>
        <v>144</v>
      </c>
      <c r="S397" s="3">
        <f t="shared" si="90"/>
        <v>84</v>
      </c>
      <c r="T397" s="1">
        <v>0.61380000000000001</v>
      </c>
      <c r="U397" s="6">
        <f t="shared" si="81"/>
        <v>84.704400000000007</v>
      </c>
    </row>
    <row r="398" spans="1:21" x14ac:dyDescent="0.35">
      <c r="A398">
        <v>397</v>
      </c>
      <c r="B398" s="5">
        <v>44593</v>
      </c>
      <c r="C398" s="4">
        <f t="shared" si="82"/>
        <v>2022</v>
      </c>
      <c r="D398" s="4">
        <f t="shared" si="83"/>
        <v>2</v>
      </c>
      <c r="E398" s="14">
        <v>44593</v>
      </c>
      <c r="F398" s="4">
        <f t="shared" si="84"/>
        <v>1</v>
      </c>
      <c r="G398">
        <v>35</v>
      </c>
      <c r="H398">
        <v>35</v>
      </c>
      <c r="I398" s="13">
        <f t="shared" si="85"/>
        <v>1</v>
      </c>
      <c r="J398">
        <f t="shared" si="78"/>
        <v>0</v>
      </c>
      <c r="K398" s="2">
        <v>9.2592592592592588E-5</v>
      </c>
      <c r="L398" s="11">
        <f t="shared" si="79"/>
        <v>4.666666666666667</v>
      </c>
      <c r="M398" s="3">
        <f t="shared" si="86"/>
        <v>0.13333333333333333</v>
      </c>
      <c r="N398" s="4">
        <f t="shared" si="87"/>
        <v>8</v>
      </c>
      <c r="O398" s="2">
        <v>1.5046296296296296E-3</v>
      </c>
      <c r="P398" s="9">
        <f t="shared" si="80"/>
        <v>75.833333333333329</v>
      </c>
      <c r="Q398" s="3">
        <f t="shared" si="88"/>
        <v>2.1666666666666665</v>
      </c>
      <c r="R398" s="4">
        <f t="shared" si="89"/>
        <v>130</v>
      </c>
      <c r="S398" s="3">
        <f t="shared" si="90"/>
        <v>30</v>
      </c>
      <c r="T398" s="1">
        <v>0.88570000000000004</v>
      </c>
      <c r="U398" s="6">
        <f t="shared" si="81"/>
        <v>30.999500000000001</v>
      </c>
    </row>
    <row r="399" spans="1:21" x14ac:dyDescent="0.35">
      <c r="A399">
        <v>398</v>
      </c>
      <c r="B399" s="5">
        <v>44594</v>
      </c>
      <c r="C399" s="4">
        <f t="shared" si="82"/>
        <v>2022</v>
      </c>
      <c r="D399" s="4">
        <f t="shared" si="83"/>
        <v>2</v>
      </c>
      <c r="E399" s="14">
        <v>44594</v>
      </c>
      <c r="F399" s="4">
        <f t="shared" si="84"/>
        <v>2</v>
      </c>
      <c r="G399">
        <v>208</v>
      </c>
      <c r="H399">
        <v>194</v>
      </c>
      <c r="I399" s="13">
        <f t="shared" si="85"/>
        <v>0.93</v>
      </c>
      <c r="J399">
        <f t="shared" si="78"/>
        <v>14</v>
      </c>
      <c r="K399" s="2">
        <v>4.0509259259259258E-4</v>
      </c>
      <c r="L399" s="11">
        <f t="shared" si="79"/>
        <v>113.16666666666667</v>
      </c>
      <c r="M399" s="3">
        <f t="shared" si="86"/>
        <v>0.58333333333333337</v>
      </c>
      <c r="N399" s="4">
        <f t="shared" si="87"/>
        <v>35</v>
      </c>
      <c r="O399" s="2">
        <v>1.6898148148148148E-3</v>
      </c>
      <c r="P399" s="9">
        <f t="shared" si="80"/>
        <v>472.06666666666672</v>
      </c>
      <c r="Q399" s="3">
        <f t="shared" si="88"/>
        <v>2.4333333333333336</v>
      </c>
      <c r="R399" s="4">
        <f t="shared" si="89"/>
        <v>146</v>
      </c>
      <c r="S399" s="3">
        <f t="shared" si="90"/>
        <v>110</v>
      </c>
      <c r="T399" s="1">
        <v>0.56930000000000003</v>
      </c>
      <c r="U399" s="6">
        <f t="shared" si="81"/>
        <v>110.44420000000001</v>
      </c>
    </row>
    <row r="400" spans="1:21" x14ac:dyDescent="0.35">
      <c r="A400">
        <v>399</v>
      </c>
      <c r="B400" s="5">
        <v>44595</v>
      </c>
      <c r="C400" s="4">
        <f t="shared" si="82"/>
        <v>2022</v>
      </c>
      <c r="D400" s="4">
        <f t="shared" si="83"/>
        <v>2</v>
      </c>
      <c r="E400" s="14">
        <v>44595</v>
      </c>
      <c r="F400" s="4">
        <f t="shared" si="84"/>
        <v>3</v>
      </c>
      <c r="G400">
        <v>162</v>
      </c>
      <c r="H400">
        <v>155</v>
      </c>
      <c r="I400" s="13">
        <f t="shared" si="85"/>
        <v>0.95</v>
      </c>
      <c r="J400">
        <f t="shared" si="78"/>
        <v>7</v>
      </c>
      <c r="K400" s="2">
        <v>2.199074074074074E-4</v>
      </c>
      <c r="L400" s="11">
        <f t="shared" si="79"/>
        <v>49.083333333333329</v>
      </c>
      <c r="M400" s="3">
        <f t="shared" si="86"/>
        <v>0.31666666666666665</v>
      </c>
      <c r="N400" s="4">
        <f t="shared" si="87"/>
        <v>19</v>
      </c>
      <c r="O400" s="2">
        <v>1.5856481481481481E-3</v>
      </c>
      <c r="P400" s="9">
        <f t="shared" si="80"/>
        <v>353.91666666666663</v>
      </c>
      <c r="Q400" s="3">
        <f t="shared" si="88"/>
        <v>2.2833333333333332</v>
      </c>
      <c r="R400" s="4">
        <f t="shared" si="89"/>
        <v>137</v>
      </c>
      <c r="S400" s="3">
        <f t="shared" si="90"/>
        <v>120</v>
      </c>
      <c r="T400" s="1">
        <v>0.77990000000000004</v>
      </c>
      <c r="U400" s="6">
        <f t="shared" si="81"/>
        <v>120.8845</v>
      </c>
    </row>
    <row r="401" spans="1:21" x14ac:dyDescent="0.35">
      <c r="A401">
        <v>400</v>
      </c>
      <c r="B401" s="5">
        <v>44596</v>
      </c>
      <c r="C401" s="4">
        <f t="shared" si="82"/>
        <v>2022</v>
      </c>
      <c r="D401" s="4">
        <f t="shared" si="83"/>
        <v>2</v>
      </c>
      <c r="E401" s="14">
        <v>44596</v>
      </c>
      <c r="F401" s="4">
        <f t="shared" si="84"/>
        <v>4</v>
      </c>
      <c r="G401">
        <v>152</v>
      </c>
      <c r="H401">
        <v>143</v>
      </c>
      <c r="I401" s="13">
        <f t="shared" si="85"/>
        <v>0.94</v>
      </c>
      <c r="J401">
        <f t="shared" si="78"/>
        <v>9</v>
      </c>
      <c r="K401" s="2">
        <v>2.5462962962962961E-4</v>
      </c>
      <c r="L401" s="11">
        <f t="shared" si="79"/>
        <v>52.43333333333333</v>
      </c>
      <c r="M401" s="3">
        <f t="shared" si="86"/>
        <v>0.36666666666666664</v>
      </c>
      <c r="N401" s="4">
        <f t="shared" si="87"/>
        <v>22</v>
      </c>
      <c r="O401" s="2">
        <v>1.712962962962963E-3</v>
      </c>
      <c r="P401" s="9">
        <f t="shared" si="80"/>
        <v>352.73333333333335</v>
      </c>
      <c r="Q401" s="3">
        <f t="shared" si="88"/>
        <v>2.4666666666666668</v>
      </c>
      <c r="R401" s="4">
        <f t="shared" si="89"/>
        <v>148</v>
      </c>
      <c r="S401" s="3">
        <f t="shared" si="90"/>
        <v>100</v>
      </c>
      <c r="T401" s="1">
        <v>0.7</v>
      </c>
      <c r="U401" s="6">
        <f t="shared" si="81"/>
        <v>100.1</v>
      </c>
    </row>
    <row r="402" spans="1:21" x14ac:dyDescent="0.35">
      <c r="A402">
        <v>401</v>
      </c>
      <c r="B402" s="5">
        <v>44597</v>
      </c>
      <c r="C402" s="4">
        <f t="shared" si="82"/>
        <v>2022</v>
      </c>
      <c r="D402" s="4">
        <f t="shared" si="83"/>
        <v>2</v>
      </c>
      <c r="E402" s="14">
        <v>44597</v>
      </c>
      <c r="F402" s="4">
        <f t="shared" si="84"/>
        <v>5</v>
      </c>
      <c r="G402">
        <v>132</v>
      </c>
      <c r="H402">
        <v>125</v>
      </c>
      <c r="I402" s="13">
        <f t="shared" si="85"/>
        <v>0.94</v>
      </c>
      <c r="J402">
        <f t="shared" si="78"/>
        <v>7</v>
      </c>
      <c r="K402" s="2">
        <v>3.0092592592592595E-4</v>
      </c>
      <c r="L402" s="11">
        <f t="shared" si="79"/>
        <v>54.166666666666671</v>
      </c>
      <c r="M402" s="3">
        <f t="shared" si="86"/>
        <v>0.43333333333333335</v>
      </c>
      <c r="N402" s="4">
        <f t="shared" si="87"/>
        <v>26</v>
      </c>
      <c r="O402" s="2">
        <v>1.4699074074074074E-3</v>
      </c>
      <c r="P402" s="9">
        <f t="shared" si="80"/>
        <v>264.58333333333331</v>
      </c>
      <c r="Q402" s="3">
        <f t="shared" si="88"/>
        <v>2.1166666666666667</v>
      </c>
      <c r="R402" s="4">
        <f t="shared" si="89"/>
        <v>127</v>
      </c>
      <c r="S402" s="3">
        <f t="shared" si="90"/>
        <v>86</v>
      </c>
      <c r="T402" s="1">
        <v>0.68940000000000001</v>
      </c>
      <c r="U402" s="6">
        <f t="shared" si="81"/>
        <v>86.174999999999997</v>
      </c>
    </row>
    <row r="403" spans="1:21" x14ac:dyDescent="0.35">
      <c r="A403">
        <v>402</v>
      </c>
      <c r="B403" s="5">
        <v>44598</v>
      </c>
      <c r="C403" s="4">
        <f t="shared" si="82"/>
        <v>2022</v>
      </c>
      <c r="D403" s="4">
        <f t="shared" si="83"/>
        <v>2</v>
      </c>
      <c r="E403" s="14">
        <v>44598</v>
      </c>
      <c r="F403" s="4">
        <f t="shared" si="84"/>
        <v>6</v>
      </c>
      <c r="G403">
        <v>133</v>
      </c>
      <c r="H403">
        <v>131</v>
      </c>
      <c r="I403" s="13">
        <f t="shared" si="85"/>
        <v>0.98</v>
      </c>
      <c r="J403">
        <f t="shared" si="78"/>
        <v>2</v>
      </c>
      <c r="K403" s="2">
        <v>1.3888888888888889E-4</v>
      </c>
      <c r="L403" s="11">
        <f t="shared" si="79"/>
        <v>26.200000000000003</v>
      </c>
      <c r="M403" s="3">
        <f t="shared" si="86"/>
        <v>0.2</v>
      </c>
      <c r="N403" s="4">
        <f t="shared" si="87"/>
        <v>12</v>
      </c>
      <c r="O403" s="2">
        <v>1.6087962962962963E-3</v>
      </c>
      <c r="P403" s="9">
        <f t="shared" si="80"/>
        <v>303.48333333333329</v>
      </c>
      <c r="Q403" s="3">
        <f t="shared" si="88"/>
        <v>2.3166666666666664</v>
      </c>
      <c r="R403" s="4">
        <f t="shared" si="89"/>
        <v>139</v>
      </c>
      <c r="S403" s="3">
        <f t="shared" si="90"/>
        <v>114</v>
      </c>
      <c r="T403" s="1">
        <v>0.87119999999999997</v>
      </c>
      <c r="U403" s="6">
        <f t="shared" si="81"/>
        <v>114.1272</v>
      </c>
    </row>
    <row r="404" spans="1:21" x14ac:dyDescent="0.35">
      <c r="A404">
        <v>403</v>
      </c>
      <c r="B404" s="5">
        <v>44599</v>
      </c>
      <c r="C404" s="4">
        <f t="shared" si="82"/>
        <v>2022</v>
      </c>
      <c r="D404" s="4">
        <f t="shared" si="83"/>
        <v>2</v>
      </c>
      <c r="E404" s="14">
        <v>44599</v>
      </c>
      <c r="F404" s="4">
        <f t="shared" si="84"/>
        <v>7</v>
      </c>
      <c r="G404">
        <v>129</v>
      </c>
      <c r="H404">
        <v>121</v>
      </c>
      <c r="I404" s="13">
        <f t="shared" si="85"/>
        <v>0.93</v>
      </c>
      <c r="J404">
        <f t="shared" si="78"/>
        <v>8</v>
      </c>
      <c r="K404" s="2">
        <v>3.8194444444444446E-4</v>
      </c>
      <c r="L404" s="11">
        <f t="shared" si="79"/>
        <v>66.550000000000011</v>
      </c>
      <c r="M404" s="3">
        <f t="shared" si="86"/>
        <v>0.55000000000000004</v>
      </c>
      <c r="N404" s="4">
        <f t="shared" si="87"/>
        <v>33</v>
      </c>
      <c r="O404" s="2">
        <v>1.8171296296296297E-3</v>
      </c>
      <c r="P404" s="9">
        <f t="shared" si="80"/>
        <v>316.61666666666667</v>
      </c>
      <c r="Q404" s="3">
        <f t="shared" si="88"/>
        <v>2.6166666666666667</v>
      </c>
      <c r="R404" s="4">
        <f t="shared" si="89"/>
        <v>157</v>
      </c>
      <c r="S404" s="3">
        <f t="shared" si="90"/>
        <v>74</v>
      </c>
      <c r="T404" s="1">
        <v>0.61419999999999997</v>
      </c>
      <c r="U404" s="6">
        <f t="shared" si="81"/>
        <v>74.31819999999999</v>
      </c>
    </row>
    <row r="405" spans="1:21" x14ac:dyDescent="0.35">
      <c r="A405">
        <v>404</v>
      </c>
      <c r="B405" s="5">
        <v>44600</v>
      </c>
      <c r="C405" s="4">
        <f t="shared" si="82"/>
        <v>2022</v>
      </c>
      <c r="D405" s="4">
        <f t="shared" si="83"/>
        <v>2</v>
      </c>
      <c r="E405" s="14">
        <v>44600</v>
      </c>
      <c r="F405" s="4">
        <f t="shared" si="84"/>
        <v>8</v>
      </c>
      <c r="G405">
        <v>37</v>
      </c>
      <c r="H405">
        <v>35</v>
      </c>
      <c r="I405" s="13">
        <f t="shared" si="85"/>
        <v>0.94</v>
      </c>
      <c r="J405">
        <f t="shared" si="78"/>
        <v>2</v>
      </c>
      <c r="K405" s="2">
        <v>2.199074074074074E-4</v>
      </c>
      <c r="L405" s="11">
        <f t="shared" si="79"/>
        <v>11.083333333333332</v>
      </c>
      <c r="M405" s="3">
        <f t="shared" si="86"/>
        <v>0.31666666666666665</v>
      </c>
      <c r="N405" s="4">
        <f t="shared" si="87"/>
        <v>19</v>
      </c>
      <c r="O405" s="2">
        <v>1.6319444444444445E-3</v>
      </c>
      <c r="P405" s="9">
        <f t="shared" si="80"/>
        <v>82.25</v>
      </c>
      <c r="Q405" s="3">
        <f t="shared" si="88"/>
        <v>2.35</v>
      </c>
      <c r="R405" s="4">
        <f t="shared" si="89"/>
        <v>141</v>
      </c>
      <c r="S405" s="3">
        <f t="shared" si="90"/>
        <v>26</v>
      </c>
      <c r="T405" s="1">
        <v>0.75680000000000003</v>
      </c>
      <c r="U405" s="6">
        <f t="shared" si="81"/>
        <v>26.488</v>
      </c>
    </row>
    <row r="406" spans="1:21" x14ac:dyDescent="0.35">
      <c r="A406">
        <v>405</v>
      </c>
      <c r="B406" s="5">
        <v>44601</v>
      </c>
      <c r="C406" s="4">
        <f t="shared" si="82"/>
        <v>2022</v>
      </c>
      <c r="D406" s="4">
        <f t="shared" si="83"/>
        <v>2</v>
      </c>
      <c r="E406" s="14">
        <v>44601</v>
      </c>
      <c r="F406" s="4">
        <f t="shared" si="84"/>
        <v>9</v>
      </c>
      <c r="G406">
        <v>56</v>
      </c>
      <c r="H406">
        <v>54</v>
      </c>
      <c r="I406" s="13">
        <f t="shared" si="85"/>
        <v>0.96</v>
      </c>
      <c r="J406">
        <f t="shared" si="78"/>
        <v>2</v>
      </c>
      <c r="K406" s="2">
        <v>1.5046296296296297E-4</v>
      </c>
      <c r="L406" s="11">
        <f t="shared" si="79"/>
        <v>11.700000000000001</v>
      </c>
      <c r="M406" s="3">
        <f t="shared" si="86"/>
        <v>0.21666666666666667</v>
      </c>
      <c r="N406" s="4">
        <f t="shared" si="87"/>
        <v>13</v>
      </c>
      <c r="O406" s="2">
        <v>1.7708333333333332E-3</v>
      </c>
      <c r="P406" s="9">
        <f t="shared" si="80"/>
        <v>137.69999999999999</v>
      </c>
      <c r="Q406" s="3">
        <f t="shared" si="88"/>
        <v>2.5499999999999998</v>
      </c>
      <c r="R406" s="4">
        <f t="shared" si="89"/>
        <v>153</v>
      </c>
      <c r="S406" s="3">
        <f t="shared" si="90"/>
        <v>47</v>
      </c>
      <c r="T406" s="1">
        <v>0.87270000000000003</v>
      </c>
      <c r="U406" s="6">
        <f t="shared" si="81"/>
        <v>47.125799999999998</v>
      </c>
    </row>
    <row r="407" spans="1:21" x14ac:dyDescent="0.35">
      <c r="A407">
        <v>406</v>
      </c>
      <c r="B407" s="5">
        <v>44602</v>
      </c>
      <c r="C407" s="4">
        <f t="shared" si="82"/>
        <v>2022</v>
      </c>
      <c r="D407" s="4">
        <f t="shared" si="83"/>
        <v>2</v>
      </c>
      <c r="E407" s="14">
        <v>44602</v>
      </c>
      <c r="F407" s="4">
        <f t="shared" si="84"/>
        <v>10</v>
      </c>
      <c r="G407">
        <v>215</v>
      </c>
      <c r="H407">
        <v>210</v>
      </c>
      <c r="I407" s="13">
        <f t="shared" si="85"/>
        <v>0.97</v>
      </c>
      <c r="J407">
        <f t="shared" si="78"/>
        <v>5</v>
      </c>
      <c r="K407" s="2">
        <v>1.3888888888888889E-4</v>
      </c>
      <c r="L407" s="11">
        <f t="shared" si="79"/>
        <v>42</v>
      </c>
      <c r="M407" s="3">
        <f t="shared" si="86"/>
        <v>0.2</v>
      </c>
      <c r="N407" s="4">
        <f t="shared" si="87"/>
        <v>12</v>
      </c>
      <c r="O407" s="2">
        <v>1.0879629629629629E-3</v>
      </c>
      <c r="P407" s="9">
        <f t="shared" si="80"/>
        <v>329</v>
      </c>
      <c r="Q407" s="3">
        <f t="shared" si="88"/>
        <v>1.5666666666666667</v>
      </c>
      <c r="R407" s="4">
        <f t="shared" si="89"/>
        <v>94</v>
      </c>
      <c r="S407" s="3">
        <f t="shared" si="90"/>
        <v>184</v>
      </c>
      <c r="T407" s="1">
        <v>0.87739999999999996</v>
      </c>
      <c r="U407" s="6">
        <f t="shared" si="81"/>
        <v>184.25399999999999</v>
      </c>
    </row>
    <row r="408" spans="1:21" x14ac:dyDescent="0.35">
      <c r="A408">
        <v>407</v>
      </c>
      <c r="B408" s="5">
        <v>44603</v>
      </c>
      <c r="C408" s="4">
        <f t="shared" si="82"/>
        <v>2022</v>
      </c>
      <c r="D408" s="4">
        <f t="shared" si="83"/>
        <v>2</v>
      </c>
      <c r="E408" s="14">
        <v>44603</v>
      </c>
      <c r="F408" s="4">
        <f t="shared" si="84"/>
        <v>11</v>
      </c>
      <c r="G408">
        <v>50</v>
      </c>
      <c r="H408">
        <v>46</v>
      </c>
      <c r="I408" s="13">
        <f t="shared" si="85"/>
        <v>0.92</v>
      </c>
      <c r="J408">
        <f t="shared" si="78"/>
        <v>4</v>
      </c>
      <c r="K408" s="2">
        <v>1.6203703703703703E-4</v>
      </c>
      <c r="L408" s="11">
        <f t="shared" si="79"/>
        <v>10.733333333333334</v>
      </c>
      <c r="M408" s="3">
        <f t="shared" si="86"/>
        <v>0.23333333333333334</v>
      </c>
      <c r="N408" s="4">
        <f t="shared" si="87"/>
        <v>14</v>
      </c>
      <c r="O408" s="2">
        <v>1.8749999999999999E-3</v>
      </c>
      <c r="P408" s="9">
        <f t="shared" si="80"/>
        <v>124.2</v>
      </c>
      <c r="Q408" s="3">
        <f t="shared" si="88"/>
        <v>2.7</v>
      </c>
      <c r="R408" s="4">
        <f t="shared" si="89"/>
        <v>162</v>
      </c>
      <c r="S408" s="3">
        <f t="shared" si="90"/>
        <v>33</v>
      </c>
      <c r="T408" s="1">
        <v>0.72</v>
      </c>
      <c r="U408" s="6">
        <f t="shared" si="81"/>
        <v>33.119999999999997</v>
      </c>
    </row>
    <row r="409" spans="1:21" x14ac:dyDescent="0.35">
      <c r="A409">
        <v>408</v>
      </c>
      <c r="B409" s="5">
        <v>44604</v>
      </c>
      <c r="C409" s="4">
        <f t="shared" si="82"/>
        <v>2022</v>
      </c>
      <c r="D409" s="4">
        <f t="shared" si="83"/>
        <v>2</v>
      </c>
      <c r="E409" s="14">
        <v>44604</v>
      </c>
      <c r="F409" s="4">
        <f t="shared" si="84"/>
        <v>12</v>
      </c>
      <c r="G409">
        <v>136</v>
      </c>
      <c r="H409">
        <v>129</v>
      </c>
      <c r="I409" s="13">
        <f t="shared" si="85"/>
        <v>0.94</v>
      </c>
      <c r="J409">
        <f t="shared" si="78"/>
        <v>7</v>
      </c>
      <c r="K409" s="2">
        <v>2.5462962962962961E-4</v>
      </c>
      <c r="L409" s="11">
        <f t="shared" si="79"/>
        <v>47.3</v>
      </c>
      <c r="M409" s="3">
        <f t="shared" si="86"/>
        <v>0.36666666666666664</v>
      </c>
      <c r="N409" s="4">
        <f t="shared" si="87"/>
        <v>22</v>
      </c>
      <c r="O409" s="2">
        <v>1.6898148148148148E-3</v>
      </c>
      <c r="P409" s="9">
        <f t="shared" si="80"/>
        <v>313.90000000000003</v>
      </c>
      <c r="Q409" s="3">
        <f t="shared" si="88"/>
        <v>2.4333333333333336</v>
      </c>
      <c r="R409" s="4">
        <f t="shared" si="89"/>
        <v>146</v>
      </c>
      <c r="S409" s="3">
        <f t="shared" si="90"/>
        <v>85</v>
      </c>
      <c r="T409" s="1">
        <v>0.66420000000000001</v>
      </c>
      <c r="U409" s="6">
        <f t="shared" si="81"/>
        <v>85.681799999999996</v>
      </c>
    </row>
    <row r="410" spans="1:21" x14ac:dyDescent="0.35">
      <c r="A410">
        <v>409</v>
      </c>
      <c r="B410" s="5">
        <v>44605</v>
      </c>
      <c r="C410" s="4">
        <f t="shared" si="82"/>
        <v>2022</v>
      </c>
      <c r="D410" s="4">
        <f t="shared" si="83"/>
        <v>2</v>
      </c>
      <c r="E410" s="14">
        <v>44605</v>
      </c>
      <c r="F410" s="4">
        <f t="shared" si="84"/>
        <v>13</v>
      </c>
      <c r="G410">
        <v>160</v>
      </c>
      <c r="H410">
        <v>142</v>
      </c>
      <c r="I410" s="13">
        <f t="shared" si="85"/>
        <v>0.88</v>
      </c>
      <c r="J410">
        <f t="shared" si="78"/>
        <v>18</v>
      </c>
      <c r="K410" s="2">
        <v>4.0509259259259258E-4</v>
      </c>
      <c r="L410" s="11">
        <f t="shared" si="79"/>
        <v>82.833333333333343</v>
      </c>
      <c r="M410" s="3">
        <f t="shared" si="86"/>
        <v>0.58333333333333337</v>
      </c>
      <c r="N410" s="4">
        <f t="shared" si="87"/>
        <v>35</v>
      </c>
      <c r="O410" s="2">
        <v>1.7824074074074075E-3</v>
      </c>
      <c r="P410" s="9">
        <f t="shared" si="80"/>
        <v>364.46666666666664</v>
      </c>
      <c r="Q410" s="3">
        <f t="shared" si="88"/>
        <v>2.5666666666666664</v>
      </c>
      <c r="R410" s="4">
        <f t="shared" si="89"/>
        <v>154</v>
      </c>
      <c r="S410" s="3">
        <f t="shared" si="90"/>
        <v>79</v>
      </c>
      <c r="T410" s="1">
        <v>0.55920000000000003</v>
      </c>
      <c r="U410" s="6">
        <f t="shared" si="81"/>
        <v>79.406400000000005</v>
      </c>
    </row>
    <row r="411" spans="1:21" x14ac:dyDescent="0.35">
      <c r="A411">
        <v>410</v>
      </c>
      <c r="B411" s="5">
        <v>44606</v>
      </c>
      <c r="C411" s="4">
        <f t="shared" si="82"/>
        <v>2022</v>
      </c>
      <c r="D411" s="4">
        <f t="shared" si="83"/>
        <v>2</v>
      </c>
      <c r="E411" s="14">
        <v>44606</v>
      </c>
      <c r="F411" s="4">
        <f t="shared" si="84"/>
        <v>14</v>
      </c>
      <c r="G411">
        <v>132</v>
      </c>
      <c r="H411">
        <v>115</v>
      </c>
      <c r="I411" s="13">
        <f t="shared" si="85"/>
        <v>0.87</v>
      </c>
      <c r="J411">
        <f t="shared" si="78"/>
        <v>17</v>
      </c>
      <c r="K411" s="2">
        <v>4.1666666666666669E-4</v>
      </c>
      <c r="L411" s="11">
        <f t="shared" si="79"/>
        <v>69</v>
      </c>
      <c r="M411" s="3">
        <f t="shared" si="86"/>
        <v>0.6</v>
      </c>
      <c r="N411" s="4">
        <f t="shared" si="87"/>
        <v>36</v>
      </c>
      <c r="O411" s="2">
        <v>1.7013888888888888E-3</v>
      </c>
      <c r="P411" s="9">
        <f t="shared" si="80"/>
        <v>281.75</v>
      </c>
      <c r="Q411" s="3">
        <f t="shared" si="88"/>
        <v>2.4500000000000002</v>
      </c>
      <c r="R411" s="4">
        <f t="shared" si="89"/>
        <v>147</v>
      </c>
      <c r="S411" s="3">
        <f t="shared" si="90"/>
        <v>56</v>
      </c>
      <c r="T411" s="1">
        <v>0.4884</v>
      </c>
      <c r="U411" s="6">
        <f t="shared" si="81"/>
        <v>56.165999999999997</v>
      </c>
    </row>
    <row r="412" spans="1:21" x14ac:dyDescent="0.35">
      <c r="A412">
        <v>411</v>
      </c>
      <c r="B412" s="5">
        <v>44607</v>
      </c>
      <c r="C412" s="4">
        <f t="shared" si="82"/>
        <v>2022</v>
      </c>
      <c r="D412" s="4">
        <f t="shared" si="83"/>
        <v>2</v>
      </c>
      <c r="E412" s="14">
        <v>44607</v>
      </c>
      <c r="F412" s="4">
        <f t="shared" si="84"/>
        <v>15</v>
      </c>
      <c r="G412">
        <v>30</v>
      </c>
      <c r="H412">
        <v>28</v>
      </c>
      <c r="I412" s="13">
        <f t="shared" si="85"/>
        <v>0.93</v>
      </c>
      <c r="J412">
        <f t="shared" si="78"/>
        <v>2</v>
      </c>
      <c r="K412" s="2">
        <v>5.4398148148148144E-4</v>
      </c>
      <c r="L412" s="11">
        <f t="shared" si="79"/>
        <v>21.933333333333334</v>
      </c>
      <c r="M412" s="3">
        <f t="shared" si="86"/>
        <v>0.78333333333333333</v>
      </c>
      <c r="N412" s="4">
        <f t="shared" si="87"/>
        <v>47</v>
      </c>
      <c r="O412" s="2">
        <v>1.8055555555555555E-3</v>
      </c>
      <c r="P412" s="9">
        <f t="shared" si="80"/>
        <v>72.8</v>
      </c>
      <c r="Q412" s="3">
        <f t="shared" si="88"/>
        <v>2.6</v>
      </c>
      <c r="R412" s="4">
        <f t="shared" si="89"/>
        <v>156</v>
      </c>
      <c r="S412" s="3">
        <f t="shared" si="90"/>
        <v>11</v>
      </c>
      <c r="T412" s="1">
        <v>0.4</v>
      </c>
      <c r="U412" s="6">
        <f t="shared" si="81"/>
        <v>11.200000000000001</v>
      </c>
    </row>
    <row r="413" spans="1:21" x14ac:dyDescent="0.35">
      <c r="A413">
        <v>412</v>
      </c>
      <c r="B413" s="5">
        <v>44608</v>
      </c>
      <c r="C413" s="4">
        <f t="shared" si="82"/>
        <v>2022</v>
      </c>
      <c r="D413" s="4">
        <f t="shared" si="83"/>
        <v>2</v>
      </c>
      <c r="E413" s="14">
        <v>44608</v>
      </c>
      <c r="F413" s="4">
        <f t="shared" si="84"/>
        <v>16</v>
      </c>
      <c r="G413">
        <v>150</v>
      </c>
      <c r="H413">
        <v>140</v>
      </c>
      <c r="I413" s="13">
        <f t="shared" si="85"/>
        <v>0.93</v>
      </c>
      <c r="J413">
        <f t="shared" si="78"/>
        <v>10</v>
      </c>
      <c r="K413" s="2">
        <v>3.3564814814814812E-4</v>
      </c>
      <c r="L413" s="11">
        <f t="shared" si="79"/>
        <v>67.666666666666671</v>
      </c>
      <c r="M413" s="3">
        <f t="shared" si="86"/>
        <v>0.48333333333333334</v>
      </c>
      <c r="N413" s="4">
        <f t="shared" si="87"/>
        <v>29</v>
      </c>
      <c r="O413" s="2">
        <v>1.7592592592592592E-3</v>
      </c>
      <c r="P413" s="9">
        <f t="shared" si="80"/>
        <v>354.66666666666663</v>
      </c>
      <c r="Q413" s="3">
        <f t="shared" si="88"/>
        <v>2.5333333333333332</v>
      </c>
      <c r="R413" s="4">
        <f t="shared" si="89"/>
        <v>152</v>
      </c>
      <c r="S413" s="3">
        <f t="shared" si="90"/>
        <v>88</v>
      </c>
      <c r="T413" s="1">
        <v>0.63090000000000002</v>
      </c>
      <c r="U413" s="6">
        <f t="shared" si="81"/>
        <v>88.326000000000008</v>
      </c>
    </row>
    <row r="414" spans="1:21" x14ac:dyDescent="0.35">
      <c r="A414">
        <v>413</v>
      </c>
      <c r="B414" s="5">
        <v>44609</v>
      </c>
      <c r="C414" s="4">
        <f t="shared" si="82"/>
        <v>2022</v>
      </c>
      <c r="D414" s="4">
        <f t="shared" si="83"/>
        <v>2</v>
      </c>
      <c r="E414" s="14">
        <v>44609</v>
      </c>
      <c r="F414" s="4">
        <f t="shared" si="84"/>
        <v>17</v>
      </c>
      <c r="G414">
        <v>160</v>
      </c>
      <c r="H414">
        <v>144</v>
      </c>
      <c r="I414" s="13">
        <f t="shared" si="85"/>
        <v>0.9</v>
      </c>
      <c r="J414">
        <f t="shared" si="78"/>
        <v>16</v>
      </c>
      <c r="K414" s="2">
        <v>5.3240740740740744E-4</v>
      </c>
      <c r="L414" s="11">
        <f t="shared" si="79"/>
        <v>110.4</v>
      </c>
      <c r="M414" s="3">
        <f t="shared" si="86"/>
        <v>0.76666666666666672</v>
      </c>
      <c r="N414" s="4">
        <f t="shared" si="87"/>
        <v>46</v>
      </c>
      <c r="O414" s="2">
        <v>1.8402777777777777E-3</v>
      </c>
      <c r="P414" s="9">
        <f t="shared" si="80"/>
        <v>381.59999999999997</v>
      </c>
      <c r="Q414" s="3">
        <f t="shared" si="88"/>
        <v>2.65</v>
      </c>
      <c r="R414" s="4">
        <f t="shared" si="89"/>
        <v>159</v>
      </c>
      <c r="S414" s="3">
        <f t="shared" si="90"/>
        <v>71</v>
      </c>
      <c r="T414" s="1">
        <v>0.49680000000000002</v>
      </c>
      <c r="U414" s="6">
        <f t="shared" si="81"/>
        <v>71.539200000000008</v>
      </c>
    </row>
    <row r="415" spans="1:21" x14ac:dyDescent="0.35">
      <c r="A415">
        <v>414</v>
      </c>
      <c r="B415" s="5">
        <v>44610</v>
      </c>
      <c r="C415" s="4">
        <f t="shared" si="82"/>
        <v>2022</v>
      </c>
      <c r="D415" s="4">
        <f t="shared" si="83"/>
        <v>2</v>
      </c>
      <c r="E415" s="14">
        <v>44610</v>
      </c>
      <c r="F415" s="4">
        <f t="shared" si="84"/>
        <v>18</v>
      </c>
      <c r="G415">
        <v>132</v>
      </c>
      <c r="H415">
        <v>122</v>
      </c>
      <c r="I415" s="13">
        <f t="shared" si="85"/>
        <v>0.92</v>
      </c>
      <c r="J415">
        <f t="shared" si="78"/>
        <v>10</v>
      </c>
      <c r="K415" s="2">
        <v>4.2824074074074075E-4</v>
      </c>
      <c r="L415" s="11">
        <f t="shared" si="79"/>
        <v>75.233333333333334</v>
      </c>
      <c r="M415" s="3">
        <f t="shared" si="86"/>
        <v>0.6166666666666667</v>
      </c>
      <c r="N415" s="4">
        <f t="shared" si="87"/>
        <v>37</v>
      </c>
      <c r="O415" s="2">
        <v>1.8287037037037037E-3</v>
      </c>
      <c r="P415" s="9">
        <f t="shared" si="80"/>
        <v>321.26666666666665</v>
      </c>
      <c r="Q415" s="3">
        <f t="shared" si="88"/>
        <v>2.6333333333333333</v>
      </c>
      <c r="R415" s="4">
        <f t="shared" si="89"/>
        <v>158</v>
      </c>
      <c r="S415" s="3">
        <f t="shared" si="90"/>
        <v>61</v>
      </c>
      <c r="T415" s="1">
        <v>0.5</v>
      </c>
      <c r="U415" s="6">
        <f t="shared" si="81"/>
        <v>61</v>
      </c>
    </row>
    <row r="416" spans="1:21" x14ac:dyDescent="0.35">
      <c r="A416">
        <v>415</v>
      </c>
      <c r="B416" s="5">
        <v>44611</v>
      </c>
      <c r="C416" s="4">
        <f t="shared" si="82"/>
        <v>2022</v>
      </c>
      <c r="D416" s="4">
        <f t="shared" si="83"/>
        <v>2</v>
      </c>
      <c r="E416" s="14">
        <v>44611</v>
      </c>
      <c r="F416" s="4">
        <f t="shared" si="84"/>
        <v>19</v>
      </c>
      <c r="G416">
        <v>161</v>
      </c>
      <c r="H416">
        <v>151</v>
      </c>
      <c r="I416" s="13">
        <f t="shared" si="85"/>
        <v>0.93</v>
      </c>
      <c r="J416">
        <f t="shared" si="78"/>
        <v>10</v>
      </c>
      <c r="K416" s="2">
        <v>3.2407407407407406E-4</v>
      </c>
      <c r="L416" s="11">
        <f t="shared" si="79"/>
        <v>70.466666666666669</v>
      </c>
      <c r="M416" s="3">
        <f t="shared" si="86"/>
        <v>0.46666666666666667</v>
      </c>
      <c r="N416" s="4">
        <f t="shared" si="87"/>
        <v>28</v>
      </c>
      <c r="O416" s="2">
        <v>1.4699074074074074E-3</v>
      </c>
      <c r="P416" s="9">
        <f t="shared" si="80"/>
        <v>319.61666666666667</v>
      </c>
      <c r="Q416" s="3">
        <f t="shared" si="88"/>
        <v>2.1166666666666667</v>
      </c>
      <c r="R416" s="4">
        <f t="shared" si="89"/>
        <v>127</v>
      </c>
      <c r="S416" s="3">
        <f t="shared" si="90"/>
        <v>92</v>
      </c>
      <c r="T416" s="1">
        <v>0.6139</v>
      </c>
      <c r="U416" s="6">
        <f t="shared" si="81"/>
        <v>92.698899999999995</v>
      </c>
    </row>
    <row r="417" spans="1:21" x14ac:dyDescent="0.35">
      <c r="A417">
        <v>416</v>
      </c>
      <c r="B417" s="5">
        <v>44612</v>
      </c>
      <c r="C417" s="4">
        <f t="shared" si="82"/>
        <v>2022</v>
      </c>
      <c r="D417" s="4">
        <f t="shared" si="83"/>
        <v>2</v>
      </c>
      <c r="E417" s="14">
        <v>44612</v>
      </c>
      <c r="F417" s="4">
        <f t="shared" si="84"/>
        <v>20</v>
      </c>
      <c r="G417">
        <v>156</v>
      </c>
      <c r="H417">
        <v>149</v>
      </c>
      <c r="I417" s="13">
        <f t="shared" si="85"/>
        <v>0.95</v>
      </c>
      <c r="J417">
        <f t="shared" si="78"/>
        <v>7</v>
      </c>
      <c r="K417" s="2">
        <v>2.5462962962962961E-4</v>
      </c>
      <c r="L417" s="11">
        <f t="shared" si="79"/>
        <v>54.633333333333333</v>
      </c>
      <c r="M417" s="3">
        <f t="shared" si="86"/>
        <v>0.36666666666666664</v>
      </c>
      <c r="N417" s="4">
        <f t="shared" si="87"/>
        <v>22</v>
      </c>
      <c r="O417" s="2">
        <v>1.712962962962963E-3</v>
      </c>
      <c r="P417" s="9">
        <f t="shared" si="80"/>
        <v>367.53333333333336</v>
      </c>
      <c r="Q417" s="3">
        <f t="shared" si="88"/>
        <v>2.4666666666666668</v>
      </c>
      <c r="R417" s="4">
        <f t="shared" si="89"/>
        <v>148</v>
      </c>
      <c r="S417" s="3">
        <f t="shared" si="90"/>
        <v>104</v>
      </c>
      <c r="T417" s="1">
        <v>0.70320000000000005</v>
      </c>
      <c r="U417" s="6">
        <f t="shared" si="81"/>
        <v>104.77680000000001</v>
      </c>
    </row>
    <row r="418" spans="1:21" x14ac:dyDescent="0.35">
      <c r="A418">
        <v>417</v>
      </c>
      <c r="B418" s="5">
        <v>44613</v>
      </c>
      <c r="C418" s="4">
        <f t="shared" si="82"/>
        <v>2022</v>
      </c>
      <c r="D418" s="4">
        <f t="shared" si="83"/>
        <v>2</v>
      </c>
      <c r="E418" s="14">
        <v>44613</v>
      </c>
      <c r="F418" s="4">
        <f t="shared" si="84"/>
        <v>21</v>
      </c>
      <c r="G418">
        <v>137</v>
      </c>
      <c r="H418">
        <v>128</v>
      </c>
      <c r="I418" s="13">
        <f t="shared" si="85"/>
        <v>0.93</v>
      </c>
      <c r="J418">
        <f t="shared" si="78"/>
        <v>9</v>
      </c>
      <c r="K418" s="2">
        <v>3.5879629629629629E-4</v>
      </c>
      <c r="L418" s="11">
        <f t="shared" si="79"/>
        <v>66.13333333333334</v>
      </c>
      <c r="M418" s="3">
        <f t="shared" si="86"/>
        <v>0.51666666666666672</v>
      </c>
      <c r="N418" s="4">
        <f t="shared" si="87"/>
        <v>31.000000000000004</v>
      </c>
      <c r="O418" s="2">
        <v>1.736111111111111E-3</v>
      </c>
      <c r="P418" s="9">
        <f t="shared" si="80"/>
        <v>320</v>
      </c>
      <c r="Q418" s="3">
        <f t="shared" si="88"/>
        <v>2.5</v>
      </c>
      <c r="R418" s="4">
        <f t="shared" si="89"/>
        <v>150</v>
      </c>
      <c r="S418" s="3">
        <f t="shared" si="90"/>
        <v>80</v>
      </c>
      <c r="T418" s="1">
        <v>0.62690000000000001</v>
      </c>
      <c r="U418" s="6">
        <f t="shared" si="81"/>
        <v>80.243200000000002</v>
      </c>
    </row>
    <row r="419" spans="1:21" x14ac:dyDescent="0.35">
      <c r="A419">
        <v>418</v>
      </c>
      <c r="B419" s="5">
        <v>44614</v>
      </c>
      <c r="C419" s="4">
        <f t="shared" si="82"/>
        <v>2022</v>
      </c>
      <c r="D419" s="4">
        <f t="shared" si="83"/>
        <v>2</v>
      </c>
      <c r="E419" s="14">
        <v>44614</v>
      </c>
      <c r="F419" s="4">
        <f t="shared" si="84"/>
        <v>22</v>
      </c>
      <c r="G419">
        <v>28</v>
      </c>
      <c r="H419">
        <v>25</v>
      </c>
      <c r="I419" s="13">
        <f t="shared" si="85"/>
        <v>0.89</v>
      </c>
      <c r="J419">
        <f t="shared" si="78"/>
        <v>3</v>
      </c>
      <c r="K419" s="2">
        <v>6.9444444444444447E-4</v>
      </c>
      <c r="L419" s="11">
        <f t="shared" si="79"/>
        <v>25</v>
      </c>
      <c r="M419" s="3">
        <f t="shared" si="86"/>
        <v>1</v>
      </c>
      <c r="N419" s="4">
        <f t="shared" si="87"/>
        <v>60</v>
      </c>
      <c r="O419" s="2">
        <v>1.9328703703703704E-3</v>
      </c>
      <c r="P419" s="9">
        <f t="shared" si="80"/>
        <v>69.583333333333329</v>
      </c>
      <c r="Q419" s="3">
        <f t="shared" si="88"/>
        <v>2.7833333333333332</v>
      </c>
      <c r="R419" s="4">
        <f t="shared" si="89"/>
        <v>167</v>
      </c>
      <c r="S419" s="3">
        <f t="shared" si="90"/>
        <v>8</v>
      </c>
      <c r="T419" s="1">
        <v>0.32140000000000002</v>
      </c>
      <c r="U419" s="6">
        <f t="shared" si="81"/>
        <v>8.0350000000000001</v>
      </c>
    </row>
    <row r="420" spans="1:21" x14ac:dyDescent="0.35">
      <c r="A420">
        <v>419</v>
      </c>
      <c r="B420" s="5">
        <v>44615</v>
      </c>
      <c r="C420" s="4">
        <f t="shared" si="82"/>
        <v>2022</v>
      </c>
      <c r="D420" s="4">
        <f t="shared" si="83"/>
        <v>2</v>
      </c>
      <c r="E420" s="14">
        <v>44615</v>
      </c>
      <c r="F420" s="4">
        <f t="shared" si="84"/>
        <v>23</v>
      </c>
      <c r="G420">
        <v>141</v>
      </c>
      <c r="H420">
        <v>133</v>
      </c>
      <c r="I420" s="13">
        <f t="shared" si="85"/>
        <v>0.94</v>
      </c>
      <c r="J420">
        <f t="shared" si="78"/>
        <v>8</v>
      </c>
      <c r="K420" s="2">
        <v>3.8194444444444446E-4</v>
      </c>
      <c r="L420" s="11">
        <f t="shared" si="79"/>
        <v>73.150000000000006</v>
      </c>
      <c r="M420" s="3">
        <f t="shared" si="86"/>
        <v>0.55000000000000004</v>
      </c>
      <c r="N420" s="4">
        <f t="shared" si="87"/>
        <v>33</v>
      </c>
      <c r="O420" s="2">
        <v>1.8749999999999999E-3</v>
      </c>
      <c r="P420" s="9">
        <f t="shared" si="80"/>
        <v>359.1</v>
      </c>
      <c r="Q420" s="3">
        <f t="shared" si="88"/>
        <v>2.7</v>
      </c>
      <c r="R420" s="4">
        <f t="shared" si="89"/>
        <v>162</v>
      </c>
      <c r="S420" s="3">
        <f t="shared" si="90"/>
        <v>84</v>
      </c>
      <c r="T420" s="1">
        <v>0.6331</v>
      </c>
      <c r="U420" s="6">
        <f t="shared" si="81"/>
        <v>84.202299999999994</v>
      </c>
    </row>
    <row r="421" spans="1:21" x14ac:dyDescent="0.35">
      <c r="A421">
        <v>420</v>
      </c>
      <c r="B421" s="5">
        <v>44616</v>
      </c>
      <c r="C421" s="4">
        <f t="shared" si="82"/>
        <v>2022</v>
      </c>
      <c r="D421" s="4">
        <f t="shared" si="83"/>
        <v>2</v>
      </c>
      <c r="E421" s="14">
        <v>44616</v>
      </c>
      <c r="F421" s="4">
        <f t="shared" si="84"/>
        <v>24</v>
      </c>
      <c r="G421">
        <v>130</v>
      </c>
      <c r="H421">
        <v>123</v>
      </c>
      <c r="I421" s="13">
        <f t="shared" si="85"/>
        <v>0.94</v>
      </c>
      <c r="J421">
        <f t="shared" si="78"/>
        <v>7</v>
      </c>
      <c r="K421" s="2">
        <v>3.7037037037037035E-4</v>
      </c>
      <c r="L421" s="11">
        <f t="shared" si="79"/>
        <v>65.599999999999994</v>
      </c>
      <c r="M421" s="3">
        <f t="shared" si="86"/>
        <v>0.53333333333333333</v>
      </c>
      <c r="N421" s="4">
        <f t="shared" si="87"/>
        <v>32</v>
      </c>
      <c r="O421" s="2">
        <v>1.8518518518518519E-3</v>
      </c>
      <c r="P421" s="9">
        <f t="shared" si="80"/>
        <v>328</v>
      </c>
      <c r="Q421" s="3">
        <f t="shared" si="88"/>
        <v>2.6666666666666665</v>
      </c>
      <c r="R421" s="4">
        <f t="shared" si="89"/>
        <v>160</v>
      </c>
      <c r="S421" s="3">
        <f t="shared" si="90"/>
        <v>65</v>
      </c>
      <c r="T421" s="1">
        <v>0.53490000000000004</v>
      </c>
      <c r="U421" s="6">
        <f t="shared" si="81"/>
        <v>65.792700000000011</v>
      </c>
    </row>
    <row r="422" spans="1:21" x14ac:dyDescent="0.35">
      <c r="A422">
        <v>421</v>
      </c>
      <c r="B422" s="5">
        <v>44617</v>
      </c>
      <c r="C422" s="4">
        <f t="shared" si="82"/>
        <v>2022</v>
      </c>
      <c r="D422" s="4">
        <f t="shared" si="83"/>
        <v>2</v>
      </c>
      <c r="E422" s="14">
        <v>44617</v>
      </c>
      <c r="F422" s="4">
        <f t="shared" si="84"/>
        <v>25</v>
      </c>
      <c r="G422">
        <v>161</v>
      </c>
      <c r="H422">
        <v>155</v>
      </c>
      <c r="I422" s="13">
        <f t="shared" si="85"/>
        <v>0.96</v>
      </c>
      <c r="J422">
        <f t="shared" si="78"/>
        <v>6</v>
      </c>
      <c r="K422" s="2">
        <v>3.1250000000000001E-4</v>
      </c>
      <c r="L422" s="11">
        <f t="shared" si="79"/>
        <v>69.75</v>
      </c>
      <c r="M422" s="3">
        <f t="shared" si="86"/>
        <v>0.45</v>
      </c>
      <c r="N422" s="4">
        <f t="shared" si="87"/>
        <v>27</v>
      </c>
      <c r="O422" s="2">
        <v>1.8865740740740742E-3</v>
      </c>
      <c r="P422" s="9">
        <f t="shared" si="80"/>
        <v>421.08333333333337</v>
      </c>
      <c r="Q422" s="3">
        <f t="shared" si="88"/>
        <v>2.7166666666666668</v>
      </c>
      <c r="R422" s="4">
        <f t="shared" si="89"/>
        <v>163</v>
      </c>
      <c r="S422" s="3">
        <f t="shared" si="90"/>
        <v>114</v>
      </c>
      <c r="T422" s="1">
        <v>0.73580000000000001</v>
      </c>
      <c r="U422" s="6">
        <f t="shared" si="81"/>
        <v>114.04900000000001</v>
      </c>
    </row>
    <row r="423" spans="1:21" x14ac:dyDescent="0.35">
      <c r="A423">
        <v>422</v>
      </c>
      <c r="B423" s="5">
        <v>44618</v>
      </c>
      <c r="C423" s="4">
        <f t="shared" si="82"/>
        <v>2022</v>
      </c>
      <c r="D423" s="4">
        <f t="shared" si="83"/>
        <v>2</v>
      </c>
      <c r="E423" s="14">
        <v>44618</v>
      </c>
      <c r="F423" s="4">
        <f t="shared" si="84"/>
        <v>26</v>
      </c>
      <c r="G423">
        <v>139</v>
      </c>
      <c r="H423">
        <v>132</v>
      </c>
      <c r="I423" s="13">
        <f t="shared" si="85"/>
        <v>0.94</v>
      </c>
      <c r="J423">
        <f t="shared" si="78"/>
        <v>7</v>
      </c>
      <c r="K423" s="2">
        <v>3.2407407407407406E-4</v>
      </c>
      <c r="L423" s="11">
        <f t="shared" si="79"/>
        <v>61.6</v>
      </c>
      <c r="M423" s="3">
        <f t="shared" si="86"/>
        <v>0.46666666666666667</v>
      </c>
      <c r="N423" s="4">
        <f t="shared" si="87"/>
        <v>28</v>
      </c>
      <c r="O423" s="2">
        <v>1.8518518518518519E-3</v>
      </c>
      <c r="P423" s="9">
        <f t="shared" si="80"/>
        <v>352</v>
      </c>
      <c r="Q423" s="3">
        <f t="shared" si="88"/>
        <v>2.6666666666666665</v>
      </c>
      <c r="R423" s="4">
        <f t="shared" si="89"/>
        <v>160</v>
      </c>
      <c r="S423" s="3">
        <f t="shared" si="90"/>
        <v>83</v>
      </c>
      <c r="T423" s="1">
        <v>0.6331</v>
      </c>
      <c r="U423" s="6">
        <f t="shared" si="81"/>
        <v>83.569199999999995</v>
      </c>
    </row>
    <row r="424" spans="1:21" x14ac:dyDescent="0.35">
      <c r="A424">
        <v>423</v>
      </c>
      <c r="B424" s="5">
        <v>44619</v>
      </c>
      <c r="C424" s="4">
        <f t="shared" si="82"/>
        <v>2022</v>
      </c>
      <c r="D424" s="4">
        <f t="shared" si="83"/>
        <v>2</v>
      </c>
      <c r="E424" s="14">
        <v>44619</v>
      </c>
      <c r="F424" s="4">
        <f t="shared" si="84"/>
        <v>27</v>
      </c>
      <c r="G424">
        <v>167</v>
      </c>
      <c r="H424">
        <v>130</v>
      </c>
      <c r="I424" s="13">
        <f t="shared" si="85"/>
        <v>0.77</v>
      </c>
      <c r="J424">
        <f t="shared" si="78"/>
        <v>37</v>
      </c>
      <c r="K424" s="2">
        <v>3.3564814814814812E-4</v>
      </c>
      <c r="L424" s="11">
        <f t="shared" si="79"/>
        <v>62.833333333333336</v>
      </c>
      <c r="M424" s="3">
        <f t="shared" si="86"/>
        <v>0.48333333333333334</v>
      </c>
      <c r="N424" s="4">
        <f t="shared" si="87"/>
        <v>29</v>
      </c>
      <c r="O424" s="2">
        <v>1.7824074074074075E-3</v>
      </c>
      <c r="P424" s="9">
        <f t="shared" si="80"/>
        <v>333.66666666666663</v>
      </c>
      <c r="Q424" s="3">
        <f t="shared" si="88"/>
        <v>2.5666666666666664</v>
      </c>
      <c r="R424" s="4">
        <f t="shared" si="89"/>
        <v>154</v>
      </c>
      <c r="S424" s="3">
        <f t="shared" si="90"/>
        <v>70</v>
      </c>
      <c r="T424" s="1">
        <v>0.54600000000000004</v>
      </c>
      <c r="U424" s="6">
        <f t="shared" si="81"/>
        <v>70.98</v>
      </c>
    </row>
    <row r="425" spans="1:21" x14ac:dyDescent="0.35">
      <c r="A425">
        <v>424</v>
      </c>
      <c r="B425" s="5">
        <v>44620</v>
      </c>
      <c r="C425" s="4">
        <f t="shared" si="82"/>
        <v>2022</v>
      </c>
      <c r="D425" s="4">
        <f t="shared" si="83"/>
        <v>2</v>
      </c>
      <c r="E425" s="14">
        <v>44620</v>
      </c>
      <c r="F425" s="4">
        <f t="shared" si="84"/>
        <v>28</v>
      </c>
      <c r="G425">
        <v>138</v>
      </c>
      <c r="H425">
        <v>122</v>
      </c>
      <c r="I425" s="13">
        <f t="shared" si="85"/>
        <v>0.88</v>
      </c>
      <c r="J425">
        <f t="shared" si="78"/>
        <v>16</v>
      </c>
      <c r="K425" s="2">
        <v>4.0509259259259258E-4</v>
      </c>
      <c r="L425" s="11">
        <f t="shared" si="79"/>
        <v>71.166666666666671</v>
      </c>
      <c r="M425" s="3">
        <f t="shared" si="86"/>
        <v>0.58333333333333337</v>
      </c>
      <c r="N425" s="4">
        <f t="shared" si="87"/>
        <v>35</v>
      </c>
      <c r="O425" s="2">
        <v>1.9560185185185184E-3</v>
      </c>
      <c r="P425" s="9">
        <f t="shared" si="80"/>
        <v>343.63333333333333</v>
      </c>
      <c r="Q425" s="3">
        <f t="shared" si="88"/>
        <v>2.8166666666666664</v>
      </c>
      <c r="R425" s="4">
        <f t="shared" si="89"/>
        <v>169</v>
      </c>
      <c r="S425" s="3">
        <f t="shared" si="90"/>
        <v>70</v>
      </c>
      <c r="T425" s="1">
        <v>0.57779999999999998</v>
      </c>
      <c r="U425" s="6">
        <f t="shared" si="81"/>
        <v>70.491599999999991</v>
      </c>
    </row>
    <row r="426" spans="1:21" x14ac:dyDescent="0.35">
      <c r="A426">
        <v>425</v>
      </c>
      <c r="B426" s="5">
        <v>44621</v>
      </c>
      <c r="C426" s="4">
        <f t="shared" si="82"/>
        <v>2022</v>
      </c>
      <c r="D426" s="4">
        <f t="shared" si="83"/>
        <v>3</v>
      </c>
      <c r="E426" s="14">
        <v>44621</v>
      </c>
      <c r="F426" s="4">
        <f t="shared" si="84"/>
        <v>1</v>
      </c>
      <c r="G426">
        <v>47</v>
      </c>
      <c r="H426">
        <v>44</v>
      </c>
      <c r="I426" s="13">
        <f t="shared" si="85"/>
        <v>0.93</v>
      </c>
      <c r="J426">
        <f t="shared" si="78"/>
        <v>3</v>
      </c>
      <c r="K426" s="2">
        <v>3.0092592592592595E-4</v>
      </c>
      <c r="L426" s="11">
        <f t="shared" si="79"/>
        <v>19.066666666666666</v>
      </c>
      <c r="M426" s="3">
        <f t="shared" si="86"/>
        <v>0.43333333333333335</v>
      </c>
      <c r="N426" s="4">
        <f t="shared" si="87"/>
        <v>26</v>
      </c>
      <c r="O426" s="2">
        <v>2.2106481481481482E-3</v>
      </c>
      <c r="P426" s="9">
        <f t="shared" si="80"/>
        <v>140.06666666666666</v>
      </c>
      <c r="Q426" s="3">
        <f t="shared" si="88"/>
        <v>3.1833333333333331</v>
      </c>
      <c r="R426" s="4">
        <f t="shared" si="89"/>
        <v>191</v>
      </c>
      <c r="S426" s="3">
        <f t="shared" si="90"/>
        <v>27</v>
      </c>
      <c r="T426" s="1">
        <v>0.63039999999999996</v>
      </c>
      <c r="U426" s="6">
        <f t="shared" si="81"/>
        <v>27.737599999999997</v>
      </c>
    </row>
    <row r="427" spans="1:21" x14ac:dyDescent="0.35">
      <c r="A427">
        <v>426</v>
      </c>
      <c r="B427" s="5">
        <v>44622</v>
      </c>
      <c r="C427" s="4">
        <f t="shared" si="82"/>
        <v>2022</v>
      </c>
      <c r="D427" s="4">
        <f t="shared" si="83"/>
        <v>3</v>
      </c>
      <c r="E427" s="14">
        <v>44622</v>
      </c>
      <c r="F427" s="4">
        <f t="shared" si="84"/>
        <v>2</v>
      </c>
      <c r="G427">
        <v>230</v>
      </c>
      <c r="H427">
        <v>206</v>
      </c>
      <c r="I427" s="13">
        <f t="shared" si="85"/>
        <v>0.89</v>
      </c>
      <c r="J427">
        <f t="shared" si="78"/>
        <v>24</v>
      </c>
      <c r="K427" s="2">
        <v>4.3981481481481481E-4</v>
      </c>
      <c r="L427" s="11">
        <f t="shared" si="79"/>
        <v>130.46666666666667</v>
      </c>
      <c r="M427" s="3">
        <f t="shared" si="86"/>
        <v>0.6333333333333333</v>
      </c>
      <c r="N427" s="4">
        <f t="shared" si="87"/>
        <v>38</v>
      </c>
      <c r="O427" s="2">
        <v>1.7824074074074075E-3</v>
      </c>
      <c r="P427" s="9">
        <f t="shared" si="80"/>
        <v>528.73333333333323</v>
      </c>
      <c r="Q427" s="3">
        <f t="shared" si="88"/>
        <v>2.5666666666666664</v>
      </c>
      <c r="R427" s="4">
        <f t="shared" si="89"/>
        <v>154</v>
      </c>
      <c r="S427" s="3">
        <f t="shared" si="90"/>
        <v>96</v>
      </c>
      <c r="T427" s="1">
        <v>0.4672</v>
      </c>
      <c r="U427" s="6">
        <f t="shared" si="81"/>
        <v>96.243200000000002</v>
      </c>
    </row>
    <row r="428" spans="1:21" x14ac:dyDescent="0.35">
      <c r="A428">
        <v>427</v>
      </c>
      <c r="B428" s="5">
        <v>44623</v>
      </c>
      <c r="C428" s="4">
        <f t="shared" si="82"/>
        <v>2022</v>
      </c>
      <c r="D428" s="4">
        <f t="shared" si="83"/>
        <v>3</v>
      </c>
      <c r="E428" s="14">
        <v>44623</v>
      </c>
      <c r="F428" s="4">
        <f t="shared" si="84"/>
        <v>3</v>
      </c>
      <c r="G428">
        <v>177</v>
      </c>
      <c r="H428">
        <v>153</v>
      </c>
      <c r="I428" s="13">
        <f t="shared" si="85"/>
        <v>0.86</v>
      </c>
      <c r="J428">
        <f t="shared" si="78"/>
        <v>24</v>
      </c>
      <c r="K428" s="2">
        <v>3.4722222222222224E-4</v>
      </c>
      <c r="L428" s="11">
        <f t="shared" si="79"/>
        <v>76.5</v>
      </c>
      <c r="M428" s="3">
        <f t="shared" si="86"/>
        <v>0.5</v>
      </c>
      <c r="N428" s="4">
        <f t="shared" si="87"/>
        <v>30</v>
      </c>
      <c r="O428" s="2">
        <v>2.0023148148148148E-3</v>
      </c>
      <c r="P428" s="9">
        <f t="shared" si="80"/>
        <v>441.15</v>
      </c>
      <c r="Q428" s="3">
        <f t="shared" si="88"/>
        <v>2.8833333333333333</v>
      </c>
      <c r="R428" s="4">
        <f t="shared" si="89"/>
        <v>173</v>
      </c>
      <c r="S428" s="3">
        <f t="shared" si="90"/>
        <v>84</v>
      </c>
      <c r="T428" s="1">
        <v>0.55489999999999995</v>
      </c>
      <c r="U428" s="6">
        <f t="shared" si="81"/>
        <v>84.899699999999996</v>
      </c>
    </row>
    <row r="429" spans="1:21" x14ac:dyDescent="0.35">
      <c r="A429">
        <v>428</v>
      </c>
      <c r="B429" s="5">
        <v>44624</v>
      </c>
      <c r="C429" s="4">
        <f t="shared" si="82"/>
        <v>2022</v>
      </c>
      <c r="D429" s="4">
        <f t="shared" si="83"/>
        <v>3</v>
      </c>
      <c r="E429" s="14">
        <v>44624</v>
      </c>
      <c r="F429" s="4">
        <f t="shared" si="84"/>
        <v>4</v>
      </c>
      <c r="G429">
        <v>159</v>
      </c>
      <c r="H429">
        <v>149</v>
      </c>
      <c r="I429" s="13">
        <f t="shared" si="85"/>
        <v>0.93</v>
      </c>
      <c r="J429">
        <f t="shared" si="78"/>
        <v>10</v>
      </c>
      <c r="K429" s="2">
        <v>3.8194444444444446E-4</v>
      </c>
      <c r="L429" s="11">
        <f t="shared" si="79"/>
        <v>81.95</v>
      </c>
      <c r="M429" s="3">
        <f t="shared" si="86"/>
        <v>0.55000000000000004</v>
      </c>
      <c r="N429" s="4">
        <f t="shared" si="87"/>
        <v>33</v>
      </c>
      <c r="O429" s="2">
        <v>1.8518518518518519E-3</v>
      </c>
      <c r="P429" s="9">
        <f t="shared" si="80"/>
        <v>397.33333333333331</v>
      </c>
      <c r="Q429" s="3">
        <f t="shared" si="88"/>
        <v>2.6666666666666665</v>
      </c>
      <c r="R429" s="4">
        <f t="shared" si="89"/>
        <v>160</v>
      </c>
      <c r="S429" s="3">
        <f t="shared" si="90"/>
        <v>90</v>
      </c>
      <c r="T429" s="1">
        <v>0.61040000000000005</v>
      </c>
      <c r="U429" s="6">
        <f t="shared" si="81"/>
        <v>90.949600000000004</v>
      </c>
    </row>
    <row r="430" spans="1:21" x14ac:dyDescent="0.35">
      <c r="A430">
        <v>429</v>
      </c>
      <c r="B430" s="5">
        <v>44625</v>
      </c>
      <c r="C430" s="4">
        <f t="shared" si="82"/>
        <v>2022</v>
      </c>
      <c r="D430" s="4">
        <f t="shared" si="83"/>
        <v>3</v>
      </c>
      <c r="E430" s="14">
        <v>44625</v>
      </c>
      <c r="F430" s="4">
        <f t="shared" si="84"/>
        <v>5</v>
      </c>
      <c r="G430">
        <v>151</v>
      </c>
      <c r="H430">
        <v>135</v>
      </c>
      <c r="I430" s="13">
        <f t="shared" si="85"/>
        <v>0.89</v>
      </c>
      <c r="J430">
        <f t="shared" si="78"/>
        <v>16</v>
      </c>
      <c r="K430" s="2">
        <v>4.1666666666666669E-4</v>
      </c>
      <c r="L430" s="11">
        <f t="shared" si="79"/>
        <v>81</v>
      </c>
      <c r="M430" s="3">
        <f t="shared" si="86"/>
        <v>0.6</v>
      </c>
      <c r="N430" s="4">
        <f t="shared" si="87"/>
        <v>36</v>
      </c>
      <c r="O430" s="2">
        <v>1.7592592592592592E-3</v>
      </c>
      <c r="P430" s="9">
        <f t="shared" si="80"/>
        <v>342</v>
      </c>
      <c r="Q430" s="3">
        <f t="shared" si="88"/>
        <v>2.5333333333333332</v>
      </c>
      <c r="R430" s="4">
        <f t="shared" si="89"/>
        <v>152</v>
      </c>
      <c r="S430" s="3">
        <f t="shared" si="90"/>
        <v>71</v>
      </c>
      <c r="T430" s="1">
        <v>0.52739999999999998</v>
      </c>
      <c r="U430" s="6">
        <f t="shared" si="81"/>
        <v>71.198999999999998</v>
      </c>
    </row>
    <row r="431" spans="1:21" x14ac:dyDescent="0.35">
      <c r="A431">
        <v>430</v>
      </c>
      <c r="B431" s="5">
        <v>44626</v>
      </c>
      <c r="C431" s="4">
        <f t="shared" si="82"/>
        <v>2022</v>
      </c>
      <c r="D431" s="4">
        <f t="shared" si="83"/>
        <v>3</v>
      </c>
      <c r="E431" s="14">
        <v>44626</v>
      </c>
      <c r="F431" s="4">
        <f t="shared" si="84"/>
        <v>6</v>
      </c>
      <c r="G431">
        <v>138</v>
      </c>
      <c r="H431">
        <v>126</v>
      </c>
      <c r="I431" s="13">
        <f t="shared" si="85"/>
        <v>0.91</v>
      </c>
      <c r="J431">
        <f t="shared" si="78"/>
        <v>12</v>
      </c>
      <c r="K431" s="2">
        <v>3.9351851851851852E-4</v>
      </c>
      <c r="L431" s="11">
        <f t="shared" si="79"/>
        <v>71.399999999999991</v>
      </c>
      <c r="M431" s="3">
        <f t="shared" si="86"/>
        <v>0.56666666666666665</v>
      </c>
      <c r="N431" s="4">
        <f t="shared" si="87"/>
        <v>34</v>
      </c>
      <c r="O431" s="2">
        <v>1.5856481481481481E-3</v>
      </c>
      <c r="P431" s="9">
        <f t="shared" si="80"/>
        <v>287.7</v>
      </c>
      <c r="Q431" s="3">
        <f t="shared" si="88"/>
        <v>2.2833333333333332</v>
      </c>
      <c r="R431" s="4">
        <f t="shared" si="89"/>
        <v>137</v>
      </c>
      <c r="S431" s="3">
        <f t="shared" si="90"/>
        <v>75</v>
      </c>
      <c r="T431" s="1">
        <v>0.59699999999999998</v>
      </c>
      <c r="U431" s="6">
        <f t="shared" si="81"/>
        <v>75.221999999999994</v>
      </c>
    </row>
    <row r="432" spans="1:21" x14ac:dyDescent="0.35">
      <c r="A432">
        <v>431</v>
      </c>
      <c r="B432" s="5">
        <v>44627</v>
      </c>
      <c r="C432" s="4">
        <f t="shared" si="82"/>
        <v>2022</v>
      </c>
      <c r="D432" s="4">
        <f t="shared" si="83"/>
        <v>3</v>
      </c>
      <c r="E432" s="14">
        <v>44627</v>
      </c>
      <c r="F432" s="4">
        <f t="shared" si="84"/>
        <v>7</v>
      </c>
      <c r="G432">
        <v>118</v>
      </c>
      <c r="H432">
        <v>118</v>
      </c>
      <c r="I432" s="13">
        <f t="shared" si="85"/>
        <v>1</v>
      </c>
      <c r="J432">
        <f t="shared" si="78"/>
        <v>0</v>
      </c>
      <c r="K432" s="2">
        <v>3.0092592592592595E-4</v>
      </c>
      <c r="L432" s="11">
        <f t="shared" si="79"/>
        <v>51.133333333333333</v>
      </c>
      <c r="M432" s="3">
        <f t="shared" si="86"/>
        <v>0.43333333333333335</v>
      </c>
      <c r="N432" s="4">
        <f t="shared" si="87"/>
        <v>26</v>
      </c>
      <c r="O432" s="2">
        <v>1.7708333333333332E-3</v>
      </c>
      <c r="P432" s="9">
        <f t="shared" si="80"/>
        <v>300.89999999999998</v>
      </c>
      <c r="Q432" s="3">
        <f t="shared" si="88"/>
        <v>2.5499999999999998</v>
      </c>
      <c r="R432" s="4">
        <f t="shared" si="89"/>
        <v>153</v>
      </c>
      <c r="S432" s="3">
        <f t="shared" si="90"/>
        <v>77</v>
      </c>
      <c r="T432" s="1">
        <v>0.66100000000000003</v>
      </c>
      <c r="U432" s="6">
        <f t="shared" si="81"/>
        <v>77.998000000000005</v>
      </c>
    </row>
    <row r="433" spans="1:21" x14ac:dyDescent="0.35">
      <c r="A433">
        <v>432</v>
      </c>
      <c r="B433" s="5">
        <v>44628</v>
      </c>
      <c r="C433" s="4">
        <f t="shared" si="82"/>
        <v>2022</v>
      </c>
      <c r="D433" s="4">
        <f t="shared" si="83"/>
        <v>3</v>
      </c>
      <c r="E433" s="14">
        <v>44628</v>
      </c>
      <c r="F433" s="4">
        <f t="shared" si="84"/>
        <v>8</v>
      </c>
      <c r="G433">
        <v>22</v>
      </c>
      <c r="H433">
        <v>21</v>
      </c>
      <c r="I433" s="13">
        <f t="shared" si="85"/>
        <v>0.95</v>
      </c>
      <c r="J433">
        <f t="shared" si="78"/>
        <v>1</v>
      </c>
      <c r="K433" s="2">
        <v>4.861111111111111E-4</v>
      </c>
      <c r="L433" s="11">
        <f t="shared" si="79"/>
        <v>14.7</v>
      </c>
      <c r="M433" s="3">
        <f t="shared" si="86"/>
        <v>0.7</v>
      </c>
      <c r="N433" s="4">
        <f t="shared" si="87"/>
        <v>42</v>
      </c>
      <c r="O433" s="2">
        <v>1.6666666666666668E-3</v>
      </c>
      <c r="P433" s="9">
        <f t="shared" si="80"/>
        <v>50.4</v>
      </c>
      <c r="Q433" s="3">
        <f t="shared" si="88"/>
        <v>2.4</v>
      </c>
      <c r="R433" s="4">
        <f t="shared" si="89"/>
        <v>144</v>
      </c>
      <c r="S433" s="3">
        <f t="shared" si="90"/>
        <v>10</v>
      </c>
      <c r="T433" s="1">
        <v>0.52380000000000004</v>
      </c>
      <c r="U433" s="6">
        <f t="shared" si="81"/>
        <v>10.9998</v>
      </c>
    </row>
    <row r="434" spans="1:21" x14ac:dyDescent="0.35">
      <c r="A434">
        <v>433</v>
      </c>
      <c r="B434" s="5">
        <v>44629</v>
      </c>
      <c r="C434" s="4">
        <f t="shared" si="82"/>
        <v>2022</v>
      </c>
      <c r="D434" s="4">
        <f t="shared" si="83"/>
        <v>3</v>
      </c>
      <c r="E434" s="14">
        <v>44629</v>
      </c>
      <c r="F434" s="4">
        <f t="shared" si="84"/>
        <v>9</v>
      </c>
      <c r="G434">
        <v>177</v>
      </c>
      <c r="H434">
        <v>156</v>
      </c>
      <c r="I434" s="13">
        <f t="shared" si="85"/>
        <v>0.88</v>
      </c>
      <c r="J434">
        <f t="shared" si="78"/>
        <v>21</v>
      </c>
      <c r="K434" s="2">
        <v>4.861111111111111E-4</v>
      </c>
      <c r="L434" s="11">
        <f t="shared" si="79"/>
        <v>109.19999999999999</v>
      </c>
      <c r="M434" s="3">
        <f t="shared" si="86"/>
        <v>0.7</v>
      </c>
      <c r="N434" s="4">
        <f t="shared" si="87"/>
        <v>42</v>
      </c>
      <c r="O434" s="2">
        <v>1.8402777777777777E-3</v>
      </c>
      <c r="P434" s="9">
        <f t="shared" si="80"/>
        <v>413.4</v>
      </c>
      <c r="Q434" s="3">
        <f t="shared" si="88"/>
        <v>2.65</v>
      </c>
      <c r="R434" s="4">
        <f t="shared" si="89"/>
        <v>159</v>
      </c>
      <c r="S434" s="3">
        <f t="shared" si="90"/>
        <v>66</v>
      </c>
      <c r="T434" s="1">
        <v>0.42370000000000002</v>
      </c>
      <c r="U434" s="6">
        <f t="shared" si="81"/>
        <v>66.097200000000001</v>
      </c>
    </row>
    <row r="435" spans="1:21" x14ac:dyDescent="0.35">
      <c r="A435">
        <v>434</v>
      </c>
      <c r="B435" s="5">
        <v>44630</v>
      </c>
      <c r="C435" s="4">
        <f t="shared" si="82"/>
        <v>2022</v>
      </c>
      <c r="D435" s="4">
        <f t="shared" si="83"/>
        <v>3</v>
      </c>
      <c r="E435" s="14">
        <v>44630</v>
      </c>
      <c r="F435" s="4">
        <f t="shared" si="84"/>
        <v>10</v>
      </c>
      <c r="G435">
        <v>156</v>
      </c>
      <c r="H435">
        <v>147</v>
      </c>
      <c r="I435" s="13">
        <f t="shared" si="85"/>
        <v>0.94</v>
      </c>
      <c r="J435">
        <f t="shared" si="78"/>
        <v>9</v>
      </c>
      <c r="K435" s="2">
        <v>3.3564814814814812E-4</v>
      </c>
      <c r="L435" s="11">
        <f t="shared" si="79"/>
        <v>71.05</v>
      </c>
      <c r="M435" s="3">
        <f t="shared" si="86"/>
        <v>0.48333333333333334</v>
      </c>
      <c r="N435" s="4">
        <f t="shared" si="87"/>
        <v>29</v>
      </c>
      <c r="O435" s="2">
        <v>1.7476851851851852E-3</v>
      </c>
      <c r="P435" s="9">
        <f t="shared" si="80"/>
        <v>369.95</v>
      </c>
      <c r="Q435" s="3">
        <f t="shared" si="88"/>
        <v>2.5166666666666666</v>
      </c>
      <c r="R435" s="4">
        <f t="shared" si="89"/>
        <v>151</v>
      </c>
      <c r="S435" s="3">
        <f t="shared" si="90"/>
        <v>93</v>
      </c>
      <c r="T435" s="1">
        <v>0.63639999999999997</v>
      </c>
      <c r="U435" s="6">
        <f t="shared" si="81"/>
        <v>93.550799999999995</v>
      </c>
    </row>
    <row r="436" spans="1:21" x14ac:dyDescent="0.35">
      <c r="A436">
        <v>435</v>
      </c>
      <c r="B436" s="5">
        <v>44631</v>
      </c>
      <c r="C436" s="4">
        <f t="shared" si="82"/>
        <v>2022</v>
      </c>
      <c r="D436" s="4">
        <f t="shared" si="83"/>
        <v>3</v>
      </c>
      <c r="E436" s="14">
        <v>44631</v>
      </c>
      <c r="F436" s="4">
        <f t="shared" si="84"/>
        <v>11</v>
      </c>
      <c r="G436">
        <v>123</v>
      </c>
      <c r="H436">
        <v>121</v>
      </c>
      <c r="I436" s="13">
        <f t="shared" si="85"/>
        <v>0.98</v>
      </c>
      <c r="J436">
        <f t="shared" si="78"/>
        <v>2</v>
      </c>
      <c r="K436" s="2">
        <v>3.0092592592592595E-4</v>
      </c>
      <c r="L436" s="11">
        <f t="shared" si="79"/>
        <v>52.433333333333337</v>
      </c>
      <c r="M436" s="3">
        <f t="shared" si="86"/>
        <v>0.43333333333333335</v>
      </c>
      <c r="N436" s="4">
        <f t="shared" si="87"/>
        <v>26</v>
      </c>
      <c r="O436" s="2">
        <v>1.712962962962963E-3</v>
      </c>
      <c r="P436" s="9">
        <f t="shared" si="80"/>
        <v>298.4666666666667</v>
      </c>
      <c r="Q436" s="3">
        <f t="shared" si="88"/>
        <v>2.4666666666666668</v>
      </c>
      <c r="R436" s="4">
        <f t="shared" si="89"/>
        <v>148</v>
      </c>
      <c r="S436" s="3">
        <f t="shared" si="90"/>
        <v>77</v>
      </c>
      <c r="T436" s="1">
        <v>0.64229999999999998</v>
      </c>
      <c r="U436" s="6">
        <f t="shared" si="81"/>
        <v>77.718299999999999</v>
      </c>
    </row>
    <row r="437" spans="1:21" x14ac:dyDescent="0.35">
      <c r="A437">
        <v>436</v>
      </c>
      <c r="B437" s="5">
        <v>44632</v>
      </c>
      <c r="C437" s="4">
        <f t="shared" si="82"/>
        <v>2022</v>
      </c>
      <c r="D437" s="4">
        <f t="shared" si="83"/>
        <v>3</v>
      </c>
      <c r="E437" s="14">
        <v>44632</v>
      </c>
      <c r="F437" s="4">
        <f t="shared" si="84"/>
        <v>12</v>
      </c>
      <c r="G437">
        <v>130</v>
      </c>
      <c r="H437">
        <v>125</v>
      </c>
      <c r="I437" s="13">
        <f t="shared" si="85"/>
        <v>0.96</v>
      </c>
      <c r="J437">
        <f t="shared" si="78"/>
        <v>5</v>
      </c>
      <c r="K437" s="2">
        <v>3.0092592592592595E-4</v>
      </c>
      <c r="L437" s="11">
        <f t="shared" si="79"/>
        <v>54.166666666666671</v>
      </c>
      <c r="M437" s="3">
        <f t="shared" si="86"/>
        <v>0.43333333333333335</v>
      </c>
      <c r="N437" s="4">
        <f t="shared" si="87"/>
        <v>26</v>
      </c>
      <c r="O437" s="2">
        <v>1.724537037037037E-3</v>
      </c>
      <c r="P437" s="9">
        <f t="shared" si="80"/>
        <v>310.41666666666669</v>
      </c>
      <c r="Q437" s="3">
        <f t="shared" si="88"/>
        <v>2.4833333333333334</v>
      </c>
      <c r="R437" s="4">
        <f t="shared" si="89"/>
        <v>149</v>
      </c>
      <c r="S437" s="3">
        <f t="shared" si="90"/>
        <v>83</v>
      </c>
      <c r="T437" s="1">
        <v>0.66930000000000001</v>
      </c>
      <c r="U437" s="6">
        <f t="shared" si="81"/>
        <v>83.662499999999994</v>
      </c>
    </row>
    <row r="438" spans="1:21" x14ac:dyDescent="0.35">
      <c r="A438">
        <v>437</v>
      </c>
      <c r="B438" s="5">
        <v>44633</v>
      </c>
      <c r="C438" s="4">
        <f t="shared" si="82"/>
        <v>2022</v>
      </c>
      <c r="D438" s="4">
        <f t="shared" si="83"/>
        <v>3</v>
      </c>
      <c r="E438" s="14">
        <v>44633</v>
      </c>
      <c r="F438" s="4">
        <f t="shared" si="84"/>
        <v>13</v>
      </c>
      <c r="G438">
        <v>141</v>
      </c>
      <c r="H438">
        <v>134</v>
      </c>
      <c r="I438" s="13">
        <f t="shared" si="85"/>
        <v>0.95</v>
      </c>
      <c r="J438">
        <f t="shared" si="78"/>
        <v>7</v>
      </c>
      <c r="K438" s="2">
        <v>4.5138888888888887E-4</v>
      </c>
      <c r="L438" s="11">
        <f t="shared" si="79"/>
        <v>87.100000000000009</v>
      </c>
      <c r="M438" s="3">
        <f t="shared" si="86"/>
        <v>0.65</v>
      </c>
      <c r="N438" s="4">
        <f t="shared" si="87"/>
        <v>39</v>
      </c>
      <c r="O438" s="2">
        <v>1.7708333333333332E-3</v>
      </c>
      <c r="P438" s="9">
        <f t="shared" si="80"/>
        <v>341.7</v>
      </c>
      <c r="Q438" s="3">
        <f t="shared" si="88"/>
        <v>2.5499999999999998</v>
      </c>
      <c r="R438" s="4">
        <f t="shared" si="89"/>
        <v>153</v>
      </c>
      <c r="S438" s="3">
        <f t="shared" si="90"/>
        <v>75</v>
      </c>
      <c r="T438" s="1">
        <v>0.56430000000000002</v>
      </c>
      <c r="U438" s="6">
        <f t="shared" si="81"/>
        <v>75.616200000000006</v>
      </c>
    </row>
    <row r="439" spans="1:21" x14ac:dyDescent="0.35">
      <c r="A439">
        <v>438</v>
      </c>
      <c r="B439" s="5">
        <v>44634</v>
      </c>
      <c r="C439" s="4">
        <f t="shared" si="82"/>
        <v>2022</v>
      </c>
      <c r="D439" s="4">
        <f t="shared" si="83"/>
        <v>3</v>
      </c>
      <c r="E439" s="14">
        <v>44634</v>
      </c>
      <c r="F439" s="4">
        <f t="shared" si="84"/>
        <v>14</v>
      </c>
      <c r="G439">
        <v>121</v>
      </c>
      <c r="H439">
        <v>113</v>
      </c>
      <c r="I439" s="13">
        <f t="shared" si="85"/>
        <v>0.93</v>
      </c>
      <c r="J439">
        <f t="shared" si="78"/>
        <v>8</v>
      </c>
      <c r="K439" s="2">
        <v>4.3981481481481481E-4</v>
      </c>
      <c r="L439" s="11">
        <f t="shared" si="79"/>
        <v>71.566666666666663</v>
      </c>
      <c r="M439" s="3">
        <f t="shared" si="86"/>
        <v>0.6333333333333333</v>
      </c>
      <c r="N439" s="4">
        <f t="shared" si="87"/>
        <v>38</v>
      </c>
      <c r="O439" s="2">
        <v>1.8287037037037037E-3</v>
      </c>
      <c r="P439" s="9">
        <f t="shared" si="80"/>
        <v>297.56666666666666</v>
      </c>
      <c r="Q439" s="3">
        <f t="shared" si="88"/>
        <v>2.6333333333333333</v>
      </c>
      <c r="R439" s="4">
        <f t="shared" si="89"/>
        <v>158</v>
      </c>
      <c r="S439" s="3">
        <f t="shared" si="90"/>
        <v>57</v>
      </c>
      <c r="T439" s="1">
        <v>0.50829999999999997</v>
      </c>
      <c r="U439" s="6">
        <f t="shared" si="81"/>
        <v>57.437899999999999</v>
      </c>
    </row>
    <row r="440" spans="1:21" x14ac:dyDescent="0.35">
      <c r="A440">
        <v>439</v>
      </c>
      <c r="B440" s="5">
        <v>44635</v>
      </c>
      <c r="C440" s="4">
        <f t="shared" si="82"/>
        <v>2022</v>
      </c>
      <c r="D440" s="4">
        <f t="shared" si="83"/>
        <v>3</v>
      </c>
      <c r="E440" s="14">
        <v>44635</v>
      </c>
      <c r="F440" s="4">
        <f t="shared" si="84"/>
        <v>15</v>
      </c>
      <c r="G440">
        <v>35</v>
      </c>
      <c r="H440">
        <v>31</v>
      </c>
      <c r="I440" s="13">
        <f t="shared" si="85"/>
        <v>0.88</v>
      </c>
      <c r="J440">
        <f t="shared" si="78"/>
        <v>4</v>
      </c>
      <c r="K440" s="2">
        <v>3.9351851851851852E-4</v>
      </c>
      <c r="L440" s="11">
        <f t="shared" si="79"/>
        <v>17.566666666666666</v>
      </c>
      <c r="M440" s="3">
        <f t="shared" si="86"/>
        <v>0.56666666666666665</v>
      </c>
      <c r="N440" s="4">
        <f t="shared" si="87"/>
        <v>34</v>
      </c>
      <c r="O440" s="2">
        <v>1.4467592592592592E-3</v>
      </c>
      <c r="P440" s="9">
        <f t="shared" si="80"/>
        <v>64.583333333333343</v>
      </c>
      <c r="Q440" s="3">
        <f t="shared" si="88"/>
        <v>2.0833333333333335</v>
      </c>
      <c r="R440" s="4">
        <f t="shared" si="89"/>
        <v>125.00000000000001</v>
      </c>
      <c r="S440" s="3">
        <f t="shared" si="90"/>
        <v>14</v>
      </c>
      <c r="T440" s="1">
        <v>0.47060000000000002</v>
      </c>
      <c r="U440" s="6">
        <f t="shared" si="81"/>
        <v>14.588600000000001</v>
      </c>
    </row>
    <row r="441" spans="1:21" x14ac:dyDescent="0.35">
      <c r="A441">
        <v>440</v>
      </c>
      <c r="B441" s="5">
        <v>44636</v>
      </c>
      <c r="C441" s="4">
        <f t="shared" si="82"/>
        <v>2022</v>
      </c>
      <c r="D441" s="4">
        <f t="shared" si="83"/>
        <v>3</v>
      </c>
      <c r="E441" s="14">
        <v>44636</v>
      </c>
      <c r="F441" s="4">
        <f t="shared" si="84"/>
        <v>16</v>
      </c>
      <c r="G441">
        <v>240</v>
      </c>
      <c r="H441">
        <v>226</v>
      </c>
      <c r="I441" s="13">
        <f t="shared" si="85"/>
        <v>0.94</v>
      </c>
      <c r="J441">
        <f t="shared" si="78"/>
        <v>14</v>
      </c>
      <c r="K441" s="2">
        <v>4.1666666666666669E-4</v>
      </c>
      <c r="L441" s="11">
        <f t="shared" si="79"/>
        <v>135.6</v>
      </c>
      <c r="M441" s="3">
        <f t="shared" si="86"/>
        <v>0.6</v>
      </c>
      <c r="N441" s="4">
        <f t="shared" si="87"/>
        <v>36</v>
      </c>
      <c r="O441" s="2">
        <v>1.5625000000000001E-3</v>
      </c>
      <c r="P441" s="9">
        <f t="shared" si="80"/>
        <v>508.5</v>
      </c>
      <c r="Q441" s="3">
        <f t="shared" si="88"/>
        <v>2.25</v>
      </c>
      <c r="R441" s="4">
        <f t="shared" si="89"/>
        <v>135</v>
      </c>
      <c r="S441" s="3">
        <f t="shared" si="90"/>
        <v>128</v>
      </c>
      <c r="T441" s="1">
        <v>0.57020000000000004</v>
      </c>
      <c r="U441" s="6">
        <f t="shared" si="81"/>
        <v>128.86520000000002</v>
      </c>
    </row>
    <row r="442" spans="1:21" x14ac:dyDescent="0.35">
      <c r="A442">
        <v>441</v>
      </c>
      <c r="B442" s="5">
        <v>44637</v>
      </c>
      <c r="C442" s="4">
        <f t="shared" si="82"/>
        <v>2022</v>
      </c>
      <c r="D442" s="4">
        <f t="shared" si="83"/>
        <v>3</v>
      </c>
      <c r="E442" s="14">
        <v>44637</v>
      </c>
      <c r="F442" s="4">
        <f t="shared" si="84"/>
        <v>17</v>
      </c>
      <c r="G442">
        <v>130</v>
      </c>
      <c r="H442">
        <v>118</v>
      </c>
      <c r="I442" s="13">
        <f t="shared" si="85"/>
        <v>0.9</v>
      </c>
      <c r="J442">
        <f t="shared" si="78"/>
        <v>12</v>
      </c>
      <c r="K442" s="2">
        <v>3.7037037037037035E-4</v>
      </c>
      <c r="L442" s="11">
        <f t="shared" si="79"/>
        <v>62.93333333333333</v>
      </c>
      <c r="M442" s="3">
        <f t="shared" si="86"/>
        <v>0.53333333333333333</v>
      </c>
      <c r="N442" s="4">
        <f t="shared" si="87"/>
        <v>32</v>
      </c>
      <c r="O442" s="2">
        <v>1.6550925925925926E-3</v>
      </c>
      <c r="P442" s="9">
        <f t="shared" si="80"/>
        <v>281.23333333333335</v>
      </c>
      <c r="Q442" s="3">
        <f t="shared" si="88"/>
        <v>2.3833333333333333</v>
      </c>
      <c r="R442" s="4">
        <f t="shared" si="89"/>
        <v>143</v>
      </c>
      <c r="S442" s="3">
        <f t="shared" si="90"/>
        <v>68</v>
      </c>
      <c r="T442" s="1">
        <v>0.57809999999999995</v>
      </c>
      <c r="U442" s="6">
        <f t="shared" si="81"/>
        <v>68.215799999999987</v>
      </c>
    </row>
    <row r="443" spans="1:21" x14ac:dyDescent="0.35">
      <c r="A443">
        <v>442</v>
      </c>
      <c r="B443" s="5">
        <v>44638</v>
      </c>
      <c r="C443" s="4">
        <f t="shared" si="82"/>
        <v>2022</v>
      </c>
      <c r="D443" s="4">
        <f t="shared" si="83"/>
        <v>3</v>
      </c>
      <c r="E443" s="14">
        <v>44638</v>
      </c>
      <c r="F443" s="4">
        <f t="shared" si="84"/>
        <v>18</v>
      </c>
      <c r="G443">
        <v>140</v>
      </c>
      <c r="H443">
        <v>130</v>
      </c>
      <c r="I443" s="13">
        <f t="shared" si="85"/>
        <v>0.92</v>
      </c>
      <c r="J443">
        <f t="shared" si="78"/>
        <v>10</v>
      </c>
      <c r="K443" s="2">
        <v>3.3564814814814812E-4</v>
      </c>
      <c r="L443" s="11">
        <f t="shared" si="79"/>
        <v>62.833333333333336</v>
      </c>
      <c r="M443" s="3">
        <f t="shared" si="86"/>
        <v>0.48333333333333334</v>
      </c>
      <c r="N443" s="4">
        <f t="shared" si="87"/>
        <v>29</v>
      </c>
      <c r="O443" s="2">
        <v>1.7476851851851852E-3</v>
      </c>
      <c r="P443" s="9">
        <f t="shared" si="80"/>
        <v>327.16666666666669</v>
      </c>
      <c r="Q443" s="3">
        <f t="shared" si="88"/>
        <v>2.5166666666666666</v>
      </c>
      <c r="R443" s="4">
        <f t="shared" si="89"/>
        <v>151</v>
      </c>
      <c r="S443" s="3">
        <f t="shared" si="90"/>
        <v>81</v>
      </c>
      <c r="T443" s="1">
        <v>0.62319999999999998</v>
      </c>
      <c r="U443" s="6">
        <f t="shared" si="81"/>
        <v>81.015999999999991</v>
      </c>
    </row>
    <row r="444" spans="1:21" x14ac:dyDescent="0.35">
      <c r="A444">
        <v>443</v>
      </c>
      <c r="B444" s="5">
        <v>44639</v>
      </c>
      <c r="C444" s="4">
        <f t="shared" si="82"/>
        <v>2022</v>
      </c>
      <c r="D444" s="4">
        <f t="shared" si="83"/>
        <v>3</v>
      </c>
      <c r="E444" s="14">
        <v>44639</v>
      </c>
      <c r="F444" s="4">
        <f t="shared" si="84"/>
        <v>19</v>
      </c>
      <c r="G444">
        <v>131</v>
      </c>
      <c r="H444">
        <v>111</v>
      </c>
      <c r="I444" s="13">
        <f t="shared" si="85"/>
        <v>0.84</v>
      </c>
      <c r="J444">
        <f t="shared" si="78"/>
        <v>20</v>
      </c>
      <c r="K444" s="2">
        <v>4.3981481481481481E-4</v>
      </c>
      <c r="L444" s="11">
        <f t="shared" si="79"/>
        <v>70.3</v>
      </c>
      <c r="M444" s="3">
        <f t="shared" si="86"/>
        <v>0.6333333333333333</v>
      </c>
      <c r="N444" s="4">
        <f t="shared" si="87"/>
        <v>38</v>
      </c>
      <c r="O444" s="2">
        <v>2.2685185185185187E-3</v>
      </c>
      <c r="P444" s="9">
        <f t="shared" si="80"/>
        <v>362.59999999999997</v>
      </c>
      <c r="Q444" s="3">
        <f t="shared" si="88"/>
        <v>3.2666666666666666</v>
      </c>
      <c r="R444" s="4">
        <f t="shared" si="89"/>
        <v>196</v>
      </c>
      <c r="S444" s="3">
        <f t="shared" si="90"/>
        <v>66</v>
      </c>
      <c r="T444" s="1">
        <v>0.59689999999999999</v>
      </c>
      <c r="U444" s="6">
        <f t="shared" si="81"/>
        <v>66.255899999999997</v>
      </c>
    </row>
    <row r="445" spans="1:21" x14ac:dyDescent="0.35">
      <c r="A445">
        <v>444</v>
      </c>
      <c r="B445" s="5">
        <v>44640</v>
      </c>
      <c r="C445" s="4">
        <f t="shared" si="82"/>
        <v>2022</v>
      </c>
      <c r="D445" s="4">
        <f t="shared" si="83"/>
        <v>3</v>
      </c>
      <c r="E445" s="14">
        <v>44640</v>
      </c>
      <c r="F445" s="4">
        <f t="shared" si="84"/>
        <v>20</v>
      </c>
      <c r="G445">
        <v>74</v>
      </c>
      <c r="H445">
        <v>74</v>
      </c>
      <c r="I445" s="13">
        <f t="shared" si="85"/>
        <v>1</v>
      </c>
      <c r="J445">
        <f t="shared" si="78"/>
        <v>0</v>
      </c>
      <c r="K445" s="2">
        <v>1.5046296296296297E-4</v>
      </c>
      <c r="L445" s="11">
        <f t="shared" si="79"/>
        <v>16.033333333333335</v>
      </c>
      <c r="M445" s="3">
        <f t="shared" si="86"/>
        <v>0.21666666666666667</v>
      </c>
      <c r="N445" s="4">
        <f t="shared" si="87"/>
        <v>13</v>
      </c>
      <c r="O445" s="2">
        <v>2.0254629629629629E-3</v>
      </c>
      <c r="P445" s="9">
        <f t="shared" si="80"/>
        <v>215.83333333333331</v>
      </c>
      <c r="Q445" s="3">
        <f t="shared" si="88"/>
        <v>2.9166666666666665</v>
      </c>
      <c r="R445" s="4">
        <f t="shared" si="89"/>
        <v>175</v>
      </c>
      <c r="S445" s="3">
        <f t="shared" si="90"/>
        <v>66</v>
      </c>
      <c r="T445" s="1">
        <v>0.89190000000000003</v>
      </c>
      <c r="U445" s="6">
        <f t="shared" si="81"/>
        <v>66.000600000000006</v>
      </c>
    </row>
    <row r="446" spans="1:21" x14ac:dyDescent="0.35">
      <c r="A446">
        <v>445</v>
      </c>
      <c r="B446" s="5">
        <v>44641</v>
      </c>
      <c r="C446" s="4">
        <f t="shared" si="82"/>
        <v>2022</v>
      </c>
      <c r="D446" s="4">
        <f t="shared" si="83"/>
        <v>3</v>
      </c>
      <c r="E446" s="14">
        <v>44641</v>
      </c>
      <c r="F446" s="4">
        <f t="shared" si="84"/>
        <v>21</v>
      </c>
      <c r="G446">
        <v>24</v>
      </c>
      <c r="H446">
        <v>24</v>
      </c>
      <c r="I446" s="13">
        <f t="shared" si="85"/>
        <v>1</v>
      </c>
      <c r="J446">
        <f t="shared" si="78"/>
        <v>0</v>
      </c>
      <c r="K446" s="2">
        <v>1.3888888888888889E-4</v>
      </c>
      <c r="L446" s="11">
        <f t="shared" si="79"/>
        <v>4.8000000000000007</v>
      </c>
      <c r="M446" s="3">
        <f t="shared" si="86"/>
        <v>0.2</v>
      </c>
      <c r="N446" s="4">
        <f t="shared" si="87"/>
        <v>12</v>
      </c>
      <c r="O446" s="2">
        <v>1.9328703703703704E-3</v>
      </c>
      <c r="P446" s="9">
        <f t="shared" si="80"/>
        <v>66.8</v>
      </c>
      <c r="Q446" s="3">
        <f t="shared" si="88"/>
        <v>2.7833333333333332</v>
      </c>
      <c r="R446" s="4">
        <f t="shared" si="89"/>
        <v>167</v>
      </c>
      <c r="S446" s="3">
        <f t="shared" si="90"/>
        <v>19</v>
      </c>
      <c r="T446" s="1">
        <v>0.83330000000000004</v>
      </c>
      <c r="U446" s="6">
        <f t="shared" si="81"/>
        <v>19.999200000000002</v>
      </c>
    </row>
    <row r="447" spans="1:21" x14ac:dyDescent="0.35">
      <c r="A447">
        <v>446</v>
      </c>
      <c r="B447" s="5">
        <v>44642</v>
      </c>
      <c r="C447" s="4">
        <f t="shared" si="82"/>
        <v>2022</v>
      </c>
      <c r="D447" s="4">
        <f t="shared" si="83"/>
        <v>3</v>
      </c>
      <c r="E447" s="14">
        <v>44642</v>
      </c>
      <c r="F447" s="4">
        <f t="shared" si="84"/>
        <v>22</v>
      </c>
      <c r="G447">
        <v>11</v>
      </c>
      <c r="H447">
        <v>10</v>
      </c>
      <c r="I447" s="13">
        <f t="shared" si="85"/>
        <v>0.9</v>
      </c>
      <c r="J447">
        <f t="shared" si="78"/>
        <v>1</v>
      </c>
      <c r="K447" s="2">
        <v>1.5046296296296297E-4</v>
      </c>
      <c r="L447" s="11">
        <f t="shared" si="79"/>
        <v>2.166666666666667</v>
      </c>
      <c r="M447" s="3">
        <f t="shared" si="86"/>
        <v>0.21666666666666667</v>
      </c>
      <c r="N447" s="4">
        <f t="shared" si="87"/>
        <v>13</v>
      </c>
      <c r="O447" s="2">
        <v>1.6666666666666668E-3</v>
      </c>
      <c r="P447" s="9">
        <f t="shared" si="80"/>
        <v>24</v>
      </c>
      <c r="Q447" s="3">
        <f t="shared" si="88"/>
        <v>2.4</v>
      </c>
      <c r="R447" s="4">
        <f t="shared" si="89"/>
        <v>144</v>
      </c>
      <c r="S447" s="3">
        <f t="shared" si="90"/>
        <v>8</v>
      </c>
      <c r="T447" s="1">
        <v>0.81820000000000004</v>
      </c>
      <c r="U447" s="6">
        <f t="shared" si="81"/>
        <v>8.1820000000000004</v>
      </c>
    </row>
    <row r="448" spans="1:21" x14ac:dyDescent="0.35">
      <c r="A448">
        <v>447</v>
      </c>
      <c r="B448" s="5">
        <v>44643</v>
      </c>
      <c r="C448" s="4">
        <f t="shared" si="82"/>
        <v>2022</v>
      </c>
      <c r="D448" s="4">
        <f t="shared" si="83"/>
        <v>3</v>
      </c>
      <c r="E448" s="14">
        <v>44643</v>
      </c>
      <c r="F448" s="4">
        <f t="shared" si="84"/>
        <v>23</v>
      </c>
      <c r="G448">
        <v>28</v>
      </c>
      <c r="H448">
        <v>26</v>
      </c>
      <c r="I448" s="13">
        <f t="shared" si="85"/>
        <v>0.92</v>
      </c>
      <c r="J448">
        <f t="shared" si="78"/>
        <v>2</v>
      </c>
      <c r="K448" s="2">
        <v>1.1574074074074075E-4</v>
      </c>
      <c r="L448" s="11">
        <f t="shared" si="79"/>
        <v>4.333333333333333</v>
      </c>
      <c r="M448" s="3">
        <f t="shared" si="86"/>
        <v>0.16666666666666666</v>
      </c>
      <c r="N448" s="4">
        <f t="shared" si="87"/>
        <v>10</v>
      </c>
      <c r="O448" s="2">
        <v>1.736111111111111E-3</v>
      </c>
      <c r="P448" s="9">
        <f t="shared" si="80"/>
        <v>65</v>
      </c>
      <c r="Q448" s="3">
        <f t="shared" si="88"/>
        <v>2.5</v>
      </c>
      <c r="R448" s="4">
        <f t="shared" si="89"/>
        <v>150</v>
      </c>
      <c r="S448" s="3">
        <f t="shared" si="90"/>
        <v>21</v>
      </c>
      <c r="T448" s="1">
        <v>0.81479999999999997</v>
      </c>
      <c r="U448" s="6">
        <f t="shared" si="81"/>
        <v>21.184799999999999</v>
      </c>
    </row>
    <row r="449" spans="1:21" x14ac:dyDescent="0.35">
      <c r="A449">
        <v>448</v>
      </c>
      <c r="B449" s="5">
        <v>44644</v>
      </c>
      <c r="C449" s="4">
        <f t="shared" si="82"/>
        <v>2022</v>
      </c>
      <c r="D449" s="4">
        <f t="shared" si="83"/>
        <v>3</v>
      </c>
      <c r="E449" s="14">
        <v>44644</v>
      </c>
      <c r="F449" s="4">
        <f t="shared" si="84"/>
        <v>24</v>
      </c>
      <c r="G449">
        <v>43</v>
      </c>
      <c r="H449">
        <v>43</v>
      </c>
      <c r="I449" s="13">
        <f t="shared" si="85"/>
        <v>1</v>
      </c>
      <c r="J449">
        <f t="shared" si="78"/>
        <v>0</v>
      </c>
      <c r="K449" s="2">
        <v>9.2592592592592588E-5</v>
      </c>
      <c r="L449" s="11">
        <f t="shared" si="79"/>
        <v>5.7333333333333334</v>
      </c>
      <c r="M449" s="3">
        <f t="shared" si="86"/>
        <v>0.13333333333333333</v>
      </c>
      <c r="N449" s="4">
        <f t="shared" si="87"/>
        <v>8</v>
      </c>
      <c r="O449" s="2">
        <v>1.6550925925925926E-3</v>
      </c>
      <c r="P449" s="9">
        <f t="shared" si="80"/>
        <v>102.48333333333333</v>
      </c>
      <c r="Q449" s="3">
        <f t="shared" si="88"/>
        <v>2.3833333333333333</v>
      </c>
      <c r="R449" s="4">
        <f t="shared" si="89"/>
        <v>143</v>
      </c>
      <c r="S449" s="3">
        <f t="shared" si="90"/>
        <v>37</v>
      </c>
      <c r="T449" s="1">
        <v>0.88370000000000004</v>
      </c>
      <c r="U449" s="6">
        <f t="shared" si="81"/>
        <v>37.999099999999999</v>
      </c>
    </row>
    <row r="450" spans="1:21" x14ac:dyDescent="0.35">
      <c r="A450">
        <v>449</v>
      </c>
      <c r="B450" s="5">
        <v>44645</v>
      </c>
      <c r="C450" s="4">
        <f t="shared" si="82"/>
        <v>2022</v>
      </c>
      <c r="D450" s="4">
        <f t="shared" si="83"/>
        <v>3</v>
      </c>
      <c r="E450" s="14">
        <v>44645</v>
      </c>
      <c r="F450" s="4">
        <f t="shared" si="84"/>
        <v>25</v>
      </c>
      <c r="G450">
        <v>62</v>
      </c>
      <c r="H450">
        <v>62</v>
      </c>
      <c r="I450" s="13">
        <f t="shared" si="85"/>
        <v>1</v>
      </c>
      <c r="J450">
        <f t="shared" ref="J450:J513" si="91">G450-H450</f>
        <v>0</v>
      </c>
      <c r="K450" s="2">
        <v>1.9675925925925926E-4</v>
      </c>
      <c r="L450" s="11">
        <f t="shared" ref="L450:L513" si="92">H450*M450</f>
        <v>17.566666666666666</v>
      </c>
      <c r="M450" s="3">
        <f t="shared" si="86"/>
        <v>0.28333333333333333</v>
      </c>
      <c r="N450" s="4">
        <f t="shared" si="87"/>
        <v>17</v>
      </c>
      <c r="O450" s="2">
        <v>1.5277777777777779E-3</v>
      </c>
      <c r="P450" s="9">
        <f t="shared" ref="P450:P513" si="93">Q450*H450</f>
        <v>136.4</v>
      </c>
      <c r="Q450" s="3">
        <f t="shared" si="88"/>
        <v>2.2000000000000002</v>
      </c>
      <c r="R450" s="4">
        <f t="shared" si="89"/>
        <v>132</v>
      </c>
      <c r="S450" s="3">
        <f t="shared" si="90"/>
        <v>51</v>
      </c>
      <c r="T450" s="1">
        <v>0.8226</v>
      </c>
      <c r="U450" s="6">
        <f t="shared" ref="U450:U513" si="94">T450*H450</f>
        <v>51.001199999999997</v>
      </c>
    </row>
    <row r="451" spans="1:21" x14ac:dyDescent="0.35">
      <c r="A451">
        <v>450</v>
      </c>
      <c r="B451" s="5">
        <v>44646</v>
      </c>
      <c r="C451" s="4">
        <f t="shared" ref="C451:C514" si="95">YEAR(B451)</f>
        <v>2022</v>
      </c>
      <c r="D451" s="4">
        <f t="shared" ref="D451:D514" si="96">MONTH(B451)</f>
        <v>3</v>
      </c>
      <c r="E451" s="14">
        <v>44646</v>
      </c>
      <c r="F451" s="4">
        <f t="shared" ref="F451:F514" si="97">DAY(B451)</f>
        <v>26</v>
      </c>
      <c r="G451">
        <v>70</v>
      </c>
      <c r="H451">
        <v>69</v>
      </c>
      <c r="I451" s="13">
        <f t="shared" ref="I451:I514" si="98">TRUNC(H451/G451,2)</f>
        <v>0.98</v>
      </c>
      <c r="J451">
        <f t="shared" si="91"/>
        <v>1</v>
      </c>
      <c r="K451" s="2">
        <v>2.5462962962962961E-4</v>
      </c>
      <c r="L451" s="11">
        <f t="shared" si="92"/>
        <v>25.299999999999997</v>
      </c>
      <c r="M451" s="3">
        <f t="shared" ref="M451:M514" si="99">MINUTE(K451)+SECOND(K451)/60</f>
        <v>0.36666666666666664</v>
      </c>
      <c r="N451" s="4">
        <f t="shared" ref="N451:N514" si="100">M451*60</f>
        <v>22</v>
      </c>
      <c r="O451" s="2">
        <v>1.4583333333333334E-3</v>
      </c>
      <c r="P451" s="9">
        <f t="shared" si="93"/>
        <v>144.9</v>
      </c>
      <c r="Q451" s="3">
        <f t="shared" ref="Q451:Q514" si="101">MINUTE(O451)+SECOND(O451)/60</f>
        <v>2.1</v>
      </c>
      <c r="R451" s="4">
        <f t="shared" ref="R451:R514" si="102">Q451*60</f>
        <v>126</v>
      </c>
      <c r="S451" s="3">
        <f t="shared" ref="S451:S514" si="103">TRUNC(U451,0)</f>
        <v>56</v>
      </c>
      <c r="T451" s="1">
        <v>0.81430000000000002</v>
      </c>
      <c r="U451" s="6">
        <f t="shared" si="94"/>
        <v>56.186700000000002</v>
      </c>
    </row>
    <row r="452" spans="1:21" x14ac:dyDescent="0.35">
      <c r="A452">
        <v>451</v>
      </c>
      <c r="B452" s="5">
        <v>44647</v>
      </c>
      <c r="C452" s="4">
        <f t="shared" si="95"/>
        <v>2022</v>
      </c>
      <c r="D452" s="4">
        <f t="shared" si="96"/>
        <v>3</v>
      </c>
      <c r="E452" s="14">
        <v>44647</v>
      </c>
      <c r="F452" s="4">
        <f t="shared" si="97"/>
        <v>27</v>
      </c>
      <c r="G452">
        <v>107</v>
      </c>
      <c r="H452">
        <v>97</v>
      </c>
      <c r="I452" s="13">
        <f t="shared" si="98"/>
        <v>0.9</v>
      </c>
      <c r="J452">
        <f t="shared" si="91"/>
        <v>10</v>
      </c>
      <c r="K452" s="2">
        <v>2.4305555555555555E-4</v>
      </c>
      <c r="L452" s="11">
        <f t="shared" si="92"/>
        <v>33.949999999999996</v>
      </c>
      <c r="M452" s="3">
        <f t="shared" si="99"/>
        <v>0.35</v>
      </c>
      <c r="N452" s="4">
        <f t="shared" si="100"/>
        <v>21</v>
      </c>
      <c r="O452" s="2">
        <v>1.6898148148148148E-3</v>
      </c>
      <c r="P452" s="9">
        <f t="shared" si="93"/>
        <v>236.03333333333336</v>
      </c>
      <c r="Q452" s="3">
        <f t="shared" si="101"/>
        <v>2.4333333333333336</v>
      </c>
      <c r="R452" s="4">
        <f t="shared" si="102"/>
        <v>146</v>
      </c>
      <c r="S452" s="3">
        <f t="shared" si="103"/>
        <v>66</v>
      </c>
      <c r="T452" s="1">
        <v>0.68869999999999998</v>
      </c>
      <c r="U452" s="6">
        <f t="shared" si="94"/>
        <v>66.803899999999999</v>
      </c>
    </row>
    <row r="453" spans="1:21" x14ac:dyDescent="0.35">
      <c r="A453">
        <v>452</v>
      </c>
      <c r="B453" s="5">
        <v>44648</v>
      </c>
      <c r="C453" s="4">
        <f t="shared" si="95"/>
        <v>2022</v>
      </c>
      <c r="D453" s="4">
        <f t="shared" si="96"/>
        <v>3</v>
      </c>
      <c r="E453" s="14">
        <v>44648</v>
      </c>
      <c r="F453" s="4">
        <f t="shared" si="97"/>
        <v>28</v>
      </c>
      <c r="G453">
        <v>91</v>
      </c>
      <c r="H453">
        <v>85</v>
      </c>
      <c r="I453" s="13">
        <f t="shared" si="98"/>
        <v>0.93</v>
      </c>
      <c r="J453">
        <f t="shared" si="91"/>
        <v>6</v>
      </c>
      <c r="K453" s="2">
        <v>3.4722222222222224E-4</v>
      </c>
      <c r="L453" s="11">
        <f t="shared" si="92"/>
        <v>42.5</v>
      </c>
      <c r="M453" s="3">
        <f t="shared" si="99"/>
        <v>0.5</v>
      </c>
      <c r="N453" s="4">
        <f t="shared" si="100"/>
        <v>30</v>
      </c>
      <c r="O453" s="2">
        <v>1.7013888888888888E-3</v>
      </c>
      <c r="P453" s="9">
        <f t="shared" si="93"/>
        <v>208.25000000000003</v>
      </c>
      <c r="Q453" s="3">
        <f t="shared" si="101"/>
        <v>2.4500000000000002</v>
      </c>
      <c r="R453" s="4">
        <f t="shared" si="102"/>
        <v>147</v>
      </c>
      <c r="S453" s="3">
        <f t="shared" si="103"/>
        <v>53</v>
      </c>
      <c r="T453" s="1">
        <v>0.62639999999999996</v>
      </c>
      <c r="U453" s="6">
        <f t="shared" si="94"/>
        <v>53.244</v>
      </c>
    </row>
    <row r="454" spans="1:21" x14ac:dyDescent="0.35">
      <c r="A454">
        <v>453</v>
      </c>
      <c r="B454" s="5">
        <v>44649</v>
      </c>
      <c r="C454" s="4">
        <f t="shared" si="95"/>
        <v>2022</v>
      </c>
      <c r="D454" s="4">
        <f t="shared" si="96"/>
        <v>3</v>
      </c>
      <c r="E454" s="14">
        <v>44649</v>
      </c>
      <c r="F454" s="4">
        <f t="shared" si="97"/>
        <v>29</v>
      </c>
      <c r="G454">
        <v>25</v>
      </c>
      <c r="H454">
        <v>25</v>
      </c>
      <c r="I454" s="13">
        <f t="shared" si="98"/>
        <v>1</v>
      </c>
      <c r="J454">
        <f t="shared" si="91"/>
        <v>0</v>
      </c>
      <c r="K454" s="2">
        <v>1.273148148148148E-4</v>
      </c>
      <c r="L454" s="11">
        <f t="shared" si="92"/>
        <v>4.583333333333333</v>
      </c>
      <c r="M454" s="3">
        <f t="shared" si="99"/>
        <v>0.18333333333333332</v>
      </c>
      <c r="N454" s="4">
        <f t="shared" si="100"/>
        <v>11</v>
      </c>
      <c r="O454" s="2">
        <v>1.8518518518518519E-3</v>
      </c>
      <c r="P454" s="9">
        <f t="shared" si="93"/>
        <v>66.666666666666657</v>
      </c>
      <c r="Q454" s="3">
        <f t="shared" si="101"/>
        <v>2.6666666666666665</v>
      </c>
      <c r="R454" s="4">
        <f t="shared" si="102"/>
        <v>160</v>
      </c>
      <c r="S454" s="3">
        <f t="shared" si="103"/>
        <v>21</v>
      </c>
      <c r="T454" s="1">
        <v>0.84</v>
      </c>
      <c r="U454" s="6">
        <f t="shared" si="94"/>
        <v>21</v>
      </c>
    </row>
    <row r="455" spans="1:21" x14ac:dyDescent="0.35">
      <c r="A455">
        <v>454</v>
      </c>
      <c r="B455" s="5">
        <v>44650</v>
      </c>
      <c r="C455" s="4">
        <f t="shared" si="95"/>
        <v>2022</v>
      </c>
      <c r="D455" s="4">
        <f t="shared" si="96"/>
        <v>3</v>
      </c>
      <c r="E455" s="14">
        <v>44650</v>
      </c>
      <c r="F455" s="4">
        <f t="shared" si="97"/>
        <v>30</v>
      </c>
      <c r="G455">
        <v>85</v>
      </c>
      <c r="H455">
        <v>79</v>
      </c>
      <c r="I455" s="13">
        <f t="shared" si="98"/>
        <v>0.92</v>
      </c>
      <c r="J455">
        <f t="shared" si="91"/>
        <v>6</v>
      </c>
      <c r="K455" s="2">
        <v>2.7777777777777778E-4</v>
      </c>
      <c r="L455" s="11">
        <f t="shared" si="92"/>
        <v>31.6</v>
      </c>
      <c r="M455" s="3">
        <f t="shared" si="99"/>
        <v>0.4</v>
      </c>
      <c r="N455" s="4">
        <f t="shared" si="100"/>
        <v>24</v>
      </c>
      <c r="O455" s="2">
        <v>1.7476851851851852E-3</v>
      </c>
      <c r="P455" s="9">
        <f t="shared" si="93"/>
        <v>198.81666666666666</v>
      </c>
      <c r="Q455" s="3">
        <f t="shared" si="101"/>
        <v>2.5166666666666666</v>
      </c>
      <c r="R455" s="4">
        <f t="shared" si="102"/>
        <v>151</v>
      </c>
      <c r="S455" s="3">
        <f t="shared" si="103"/>
        <v>57</v>
      </c>
      <c r="T455" s="1">
        <v>0.72289999999999999</v>
      </c>
      <c r="U455" s="6">
        <f t="shared" si="94"/>
        <v>57.109099999999998</v>
      </c>
    </row>
    <row r="456" spans="1:21" x14ac:dyDescent="0.35">
      <c r="A456">
        <v>455</v>
      </c>
      <c r="B456" s="5">
        <v>44651</v>
      </c>
      <c r="C456" s="4">
        <f t="shared" si="95"/>
        <v>2022</v>
      </c>
      <c r="D456" s="4">
        <f t="shared" si="96"/>
        <v>3</v>
      </c>
      <c r="E456" s="14">
        <v>44651</v>
      </c>
      <c r="F456" s="4">
        <f t="shared" si="97"/>
        <v>31</v>
      </c>
      <c r="G456">
        <v>91</v>
      </c>
      <c r="H456">
        <v>83</v>
      </c>
      <c r="I456" s="13">
        <f t="shared" si="98"/>
        <v>0.91</v>
      </c>
      <c r="J456">
        <f t="shared" si="91"/>
        <v>8</v>
      </c>
      <c r="K456" s="2">
        <v>3.0092592592592595E-4</v>
      </c>
      <c r="L456" s="11">
        <f t="shared" si="92"/>
        <v>35.966666666666669</v>
      </c>
      <c r="M456" s="3">
        <f t="shared" si="99"/>
        <v>0.43333333333333335</v>
      </c>
      <c r="N456" s="4">
        <f t="shared" si="100"/>
        <v>26</v>
      </c>
      <c r="O456" s="2">
        <v>1.8171296296296297E-3</v>
      </c>
      <c r="P456" s="9">
        <f t="shared" si="93"/>
        <v>217.18333333333334</v>
      </c>
      <c r="Q456" s="3">
        <f t="shared" si="101"/>
        <v>2.6166666666666667</v>
      </c>
      <c r="R456" s="4">
        <f t="shared" si="102"/>
        <v>157</v>
      </c>
      <c r="S456" s="3">
        <f t="shared" si="103"/>
        <v>51</v>
      </c>
      <c r="T456" s="1">
        <v>0.62639999999999996</v>
      </c>
      <c r="U456" s="6">
        <f t="shared" si="94"/>
        <v>51.991199999999999</v>
      </c>
    </row>
    <row r="457" spans="1:21" x14ac:dyDescent="0.35">
      <c r="A457">
        <v>456</v>
      </c>
      <c r="B457" s="5">
        <v>44652</v>
      </c>
      <c r="C457" s="4">
        <f t="shared" si="95"/>
        <v>2022</v>
      </c>
      <c r="D457" s="4">
        <f t="shared" si="96"/>
        <v>4</v>
      </c>
      <c r="E457" s="14">
        <v>44652</v>
      </c>
      <c r="F457" s="4">
        <f t="shared" si="97"/>
        <v>1</v>
      </c>
      <c r="G457">
        <v>48</v>
      </c>
      <c r="H457">
        <v>46</v>
      </c>
      <c r="I457" s="13">
        <f t="shared" si="98"/>
        <v>0.95</v>
      </c>
      <c r="J457">
        <f t="shared" si="91"/>
        <v>2</v>
      </c>
      <c r="K457" s="2">
        <v>1.273148148148148E-4</v>
      </c>
      <c r="L457" s="11">
        <f t="shared" si="92"/>
        <v>8.4333333333333336</v>
      </c>
      <c r="M457" s="3">
        <f t="shared" si="99"/>
        <v>0.18333333333333332</v>
      </c>
      <c r="N457" s="4">
        <f t="shared" si="100"/>
        <v>11</v>
      </c>
      <c r="O457" s="2">
        <v>1.5393518518518519E-3</v>
      </c>
      <c r="P457" s="9">
        <f t="shared" si="93"/>
        <v>101.96666666666667</v>
      </c>
      <c r="Q457" s="3">
        <f t="shared" si="101"/>
        <v>2.2166666666666668</v>
      </c>
      <c r="R457" s="4">
        <f t="shared" si="102"/>
        <v>133</v>
      </c>
      <c r="S457" s="3">
        <f t="shared" si="103"/>
        <v>38</v>
      </c>
      <c r="T457" s="1">
        <v>0.82979999999999998</v>
      </c>
      <c r="U457" s="6">
        <f t="shared" si="94"/>
        <v>38.1708</v>
      </c>
    </row>
    <row r="458" spans="1:21" x14ac:dyDescent="0.35">
      <c r="A458">
        <v>457</v>
      </c>
      <c r="B458" s="5">
        <v>44653</v>
      </c>
      <c r="C458" s="4">
        <f t="shared" si="95"/>
        <v>2022</v>
      </c>
      <c r="D458" s="4">
        <f t="shared" si="96"/>
        <v>4</v>
      </c>
      <c r="E458" s="14">
        <v>44653</v>
      </c>
      <c r="F458" s="4">
        <f t="shared" si="97"/>
        <v>2</v>
      </c>
      <c r="G458">
        <v>14</v>
      </c>
      <c r="H458">
        <v>11</v>
      </c>
      <c r="I458" s="13">
        <f t="shared" si="98"/>
        <v>0.78</v>
      </c>
      <c r="J458">
        <f t="shared" si="91"/>
        <v>3</v>
      </c>
      <c r="K458" s="2">
        <v>2.0833333333333335E-4</v>
      </c>
      <c r="L458" s="11">
        <f t="shared" si="92"/>
        <v>3.3</v>
      </c>
      <c r="M458" s="3">
        <f t="shared" si="99"/>
        <v>0.3</v>
      </c>
      <c r="N458" s="4">
        <f t="shared" si="100"/>
        <v>18</v>
      </c>
      <c r="O458" s="2">
        <v>1.7013888888888888E-3</v>
      </c>
      <c r="P458" s="9">
        <f t="shared" si="93"/>
        <v>26.950000000000003</v>
      </c>
      <c r="Q458" s="3">
        <f t="shared" si="101"/>
        <v>2.4500000000000002</v>
      </c>
      <c r="R458" s="4">
        <f t="shared" si="102"/>
        <v>147</v>
      </c>
      <c r="S458" s="3">
        <f t="shared" si="103"/>
        <v>6</v>
      </c>
      <c r="T458" s="1">
        <v>0.61539999999999995</v>
      </c>
      <c r="U458" s="6">
        <f t="shared" si="94"/>
        <v>6.7693999999999992</v>
      </c>
    </row>
    <row r="459" spans="1:21" x14ac:dyDescent="0.35">
      <c r="A459">
        <v>458</v>
      </c>
      <c r="B459" s="5">
        <v>44654</v>
      </c>
      <c r="C459" s="4">
        <f t="shared" si="95"/>
        <v>2022</v>
      </c>
      <c r="D459" s="4">
        <f t="shared" si="96"/>
        <v>4</v>
      </c>
      <c r="E459" s="14">
        <v>44654</v>
      </c>
      <c r="F459" s="4">
        <f t="shared" si="97"/>
        <v>3</v>
      </c>
      <c r="G459">
        <v>43</v>
      </c>
      <c r="H459">
        <v>42</v>
      </c>
      <c r="I459" s="13">
        <f t="shared" si="98"/>
        <v>0.97</v>
      </c>
      <c r="J459">
        <f t="shared" si="91"/>
        <v>1</v>
      </c>
      <c r="K459" s="2">
        <v>2.5462962962962961E-4</v>
      </c>
      <c r="L459" s="11">
        <f t="shared" si="92"/>
        <v>15.399999999999999</v>
      </c>
      <c r="M459" s="3">
        <f t="shared" si="99"/>
        <v>0.36666666666666664</v>
      </c>
      <c r="N459" s="4">
        <f t="shared" si="100"/>
        <v>22</v>
      </c>
      <c r="O459" s="2">
        <v>1.9328703703703704E-3</v>
      </c>
      <c r="P459" s="9">
        <f t="shared" si="93"/>
        <v>116.89999999999999</v>
      </c>
      <c r="Q459" s="3">
        <f t="shared" si="101"/>
        <v>2.7833333333333332</v>
      </c>
      <c r="R459" s="4">
        <f t="shared" si="102"/>
        <v>167</v>
      </c>
      <c r="S459" s="3">
        <f t="shared" si="103"/>
        <v>31</v>
      </c>
      <c r="T459" s="1">
        <v>0.73809999999999998</v>
      </c>
      <c r="U459" s="6">
        <f t="shared" si="94"/>
        <v>31.0002</v>
      </c>
    </row>
    <row r="460" spans="1:21" x14ac:dyDescent="0.35">
      <c r="A460">
        <v>459</v>
      </c>
      <c r="B460" s="5">
        <v>44655</v>
      </c>
      <c r="C460" s="4">
        <f t="shared" si="95"/>
        <v>2022</v>
      </c>
      <c r="D460" s="4">
        <f t="shared" si="96"/>
        <v>4</v>
      </c>
      <c r="E460" s="14">
        <v>44655</v>
      </c>
      <c r="F460" s="4">
        <f t="shared" si="97"/>
        <v>4</v>
      </c>
      <c r="G460">
        <v>74</v>
      </c>
      <c r="H460">
        <v>69</v>
      </c>
      <c r="I460" s="13">
        <f t="shared" si="98"/>
        <v>0.93</v>
      </c>
      <c r="J460">
        <f t="shared" si="91"/>
        <v>5</v>
      </c>
      <c r="K460" s="2">
        <v>2.6620370370370372E-4</v>
      </c>
      <c r="L460" s="11">
        <f t="shared" si="92"/>
        <v>26.450000000000003</v>
      </c>
      <c r="M460" s="3">
        <f t="shared" si="99"/>
        <v>0.38333333333333336</v>
      </c>
      <c r="N460" s="4">
        <f t="shared" si="100"/>
        <v>23</v>
      </c>
      <c r="O460" s="2">
        <v>1.7476851851851852E-3</v>
      </c>
      <c r="P460" s="9">
        <f t="shared" si="93"/>
        <v>173.65</v>
      </c>
      <c r="Q460" s="3">
        <f t="shared" si="101"/>
        <v>2.5166666666666666</v>
      </c>
      <c r="R460" s="4">
        <f t="shared" si="102"/>
        <v>151</v>
      </c>
      <c r="S460" s="3">
        <f t="shared" si="103"/>
        <v>52</v>
      </c>
      <c r="T460" s="1">
        <v>0.7671</v>
      </c>
      <c r="U460" s="6">
        <f t="shared" si="94"/>
        <v>52.929900000000004</v>
      </c>
    </row>
    <row r="461" spans="1:21" x14ac:dyDescent="0.35">
      <c r="A461">
        <v>460</v>
      </c>
      <c r="B461" s="5">
        <v>44656</v>
      </c>
      <c r="C461" s="4">
        <f t="shared" si="95"/>
        <v>2022</v>
      </c>
      <c r="D461" s="4">
        <f t="shared" si="96"/>
        <v>4</v>
      </c>
      <c r="E461" s="14">
        <v>44656</v>
      </c>
      <c r="F461" s="4">
        <f t="shared" si="97"/>
        <v>5</v>
      </c>
      <c r="G461">
        <v>33</v>
      </c>
      <c r="H461">
        <v>33</v>
      </c>
      <c r="I461" s="13">
        <f t="shared" si="98"/>
        <v>1</v>
      </c>
      <c r="J461">
        <f t="shared" si="91"/>
        <v>0</v>
      </c>
      <c r="K461" s="2">
        <v>1.6203703703703703E-4</v>
      </c>
      <c r="L461" s="11">
        <f t="shared" si="92"/>
        <v>7.7</v>
      </c>
      <c r="M461" s="3">
        <f t="shared" si="99"/>
        <v>0.23333333333333334</v>
      </c>
      <c r="N461" s="4">
        <f t="shared" si="100"/>
        <v>14</v>
      </c>
      <c r="O461" s="2">
        <v>1.6782407407407408E-3</v>
      </c>
      <c r="P461" s="9">
        <f t="shared" si="93"/>
        <v>79.75</v>
      </c>
      <c r="Q461" s="3">
        <f t="shared" si="101"/>
        <v>2.4166666666666665</v>
      </c>
      <c r="R461" s="4">
        <f t="shared" si="102"/>
        <v>145</v>
      </c>
      <c r="S461" s="3">
        <f t="shared" si="103"/>
        <v>27</v>
      </c>
      <c r="T461" s="1">
        <v>0.81820000000000004</v>
      </c>
      <c r="U461" s="6">
        <f t="shared" si="94"/>
        <v>27.000600000000002</v>
      </c>
    </row>
    <row r="462" spans="1:21" x14ac:dyDescent="0.35">
      <c r="A462">
        <v>461</v>
      </c>
      <c r="B462" s="5">
        <v>44657</v>
      </c>
      <c r="C462" s="4">
        <f t="shared" si="95"/>
        <v>2022</v>
      </c>
      <c r="D462" s="4">
        <f t="shared" si="96"/>
        <v>4</v>
      </c>
      <c r="E462" s="14">
        <v>44657</v>
      </c>
      <c r="F462" s="4">
        <f t="shared" si="97"/>
        <v>6</v>
      </c>
      <c r="G462">
        <v>124</v>
      </c>
      <c r="H462">
        <v>112</v>
      </c>
      <c r="I462" s="13">
        <f t="shared" si="98"/>
        <v>0.9</v>
      </c>
      <c r="J462">
        <f t="shared" si="91"/>
        <v>12</v>
      </c>
      <c r="K462" s="2">
        <v>3.0092592592592595E-4</v>
      </c>
      <c r="L462" s="11">
        <f t="shared" si="92"/>
        <v>48.533333333333331</v>
      </c>
      <c r="M462" s="3">
        <f t="shared" si="99"/>
        <v>0.43333333333333335</v>
      </c>
      <c r="N462" s="4">
        <f t="shared" si="100"/>
        <v>26</v>
      </c>
      <c r="O462" s="2">
        <v>1.8055555555555555E-3</v>
      </c>
      <c r="P462" s="9">
        <f t="shared" si="93"/>
        <v>291.2</v>
      </c>
      <c r="Q462" s="3">
        <f t="shared" si="101"/>
        <v>2.6</v>
      </c>
      <c r="R462" s="4">
        <f t="shared" si="102"/>
        <v>156</v>
      </c>
      <c r="S462" s="3">
        <f t="shared" si="103"/>
        <v>72</v>
      </c>
      <c r="T462" s="1">
        <v>0.64749999999999996</v>
      </c>
      <c r="U462" s="6">
        <f t="shared" si="94"/>
        <v>72.52</v>
      </c>
    </row>
    <row r="463" spans="1:21" x14ac:dyDescent="0.35">
      <c r="A463">
        <v>462</v>
      </c>
      <c r="B463" s="5">
        <v>44658</v>
      </c>
      <c r="C463" s="4">
        <f t="shared" si="95"/>
        <v>2022</v>
      </c>
      <c r="D463" s="4">
        <f t="shared" si="96"/>
        <v>4</v>
      </c>
      <c r="E463" s="14">
        <v>44658</v>
      </c>
      <c r="F463" s="4">
        <f t="shared" si="97"/>
        <v>7</v>
      </c>
      <c r="G463">
        <v>130</v>
      </c>
      <c r="H463">
        <v>126</v>
      </c>
      <c r="I463" s="13">
        <f t="shared" si="98"/>
        <v>0.96</v>
      </c>
      <c r="J463">
        <f t="shared" si="91"/>
        <v>4</v>
      </c>
      <c r="K463" s="2">
        <v>2.8935185185185184E-4</v>
      </c>
      <c r="L463" s="11">
        <f t="shared" si="92"/>
        <v>52.5</v>
      </c>
      <c r="M463" s="3">
        <f t="shared" si="99"/>
        <v>0.41666666666666669</v>
      </c>
      <c r="N463" s="4">
        <f t="shared" si="100"/>
        <v>25</v>
      </c>
      <c r="O463" s="2">
        <v>1.736111111111111E-3</v>
      </c>
      <c r="P463" s="9">
        <f t="shared" si="93"/>
        <v>315</v>
      </c>
      <c r="Q463" s="3">
        <f t="shared" si="101"/>
        <v>2.5</v>
      </c>
      <c r="R463" s="4">
        <f t="shared" si="102"/>
        <v>150</v>
      </c>
      <c r="S463" s="3">
        <f t="shared" si="103"/>
        <v>83</v>
      </c>
      <c r="T463" s="1">
        <v>0.65890000000000004</v>
      </c>
      <c r="U463" s="6">
        <f t="shared" si="94"/>
        <v>83.0214</v>
      </c>
    </row>
    <row r="464" spans="1:21" x14ac:dyDescent="0.35">
      <c r="A464">
        <v>463</v>
      </c>
      <c r="B464" s="5">
        <v>44659</v>
      </c>
      <c r="C464" s="4">
        <f t="shared" si="95"/>
        <v>2022</v>
      </c>
      <c r="D464" s="4">
        <f t="shared" si="96"/>
        <v>4</v>
      </c>
      <c r="E464" s="14">
        <v>44659</v>
      </c>
      <c r="F464" s="4">
        <f t="shared" si="97"/>
        <v>8</v>
      </c>
      <c r="G464">
        <v>139</v>
      </c>
      <c r="H464">
        <v>139</v>
      </c>
      <c r="I464" s="13">
        <f t="shared" si="98"/>
        <v>1</v>
      </c>
      <c r="J464">
        <f t="shared" si="91"/>
        <v>0</v>
      </c>
      <c r="K464" s="2">
        <v>2.0833333333333335E-4</v>
      </c>
      <c r="L464" s="11">
        <f t="shared" si="92"/>
        <v>41.699999999999996</v>
      </c>
      <c r="M464" s="3">
        <f t="shared" si="99"/>
        <v>0.3</v>
      </c>
      <c r="N464" s="4">
        <f t="shared" si="100"/>
        <v>18</v>
      </c>
      <c r="O464" s="2">
        <v>1.8518518518518519E-3</v>
      </c>
      <c r="P464" s="9">
        <f t="shared" si="93"/>
        <v>370.66666666666663</v>
      </c>
      <c r="Q464" s="3">
        <f t="shared" si="101"/>
        <v>2.6666666666666665</v>
      </c>
      <c r="R464" s="4">
        <f t="shared" si="102"/>
        <v>160</v>
      </c>
      <c r="S464" s="3">
        <f t="shared" si="103"/>
        <v>107</v>
      </c>
      <c r="T464" s="1">
        <v>0.77539999999999998</v>
      </c>
      <c r="U464" s="6">
        <f t="shared" si="94"/>
        <v>107.78059999999999</v>
      </c>
    </row>
    <row r="465" spans="1:21" x14ac:dyDescent="0.35">
      <c r="A465">
        <v>464</v>
      </c>
      <c r="B465" s="5">
        <v>44660</v>
      </c>
      <c r="C465" s="4">
        <f t="shared" si="95"/>
        <v>2022</v>
      </c>
      <c r="D465" s="4">
        <f t="shared" si="96"/>
        <v>4</v>
      </c>
      <c r="E465" s="14">
        <v>44660</v>
      </c>
      <c r="F465" s="4">
        <f t="shared" si="97"/>
        <v>9</v>
      </c>
      <c r="G465">
        <v>138</v>
      </c>
      <c r="H465">
        <v>130</v>
      </c>
      <c r="I465" s="13">
        <f t="shared" si="98"/>
        <v>0.94</v>
      </c>
      <c r="J465">
        <f t="shared" si="91"/>
        <v>8</v>
      </c>
      <c r="K465" s="2">
        <v>3.0092592592592595E-4</v>
      </c>
      <c r="L465" s="11">
        <f t="shared" si="92"/>
        <v>56.333333333333336</v>
      </c>
      <c r="M465" s="3">
        <f t="shared" si="99"/>
        <v>0.43333333333333335</v>
      </c>
      <c r="N465" s="4">
        <f t="shared" si="100"/>
        <v>26</v>
      </c>
      <c r="O465" s="2">
        <v>1.7013888888888888E-3</v>
      </c>
      <c r="P465" s="9">
        <f t="shared" si="93"/>
        <v>318.5</v>
      </c>
      <c r="Q465" s="3">
        <f t="shared" si="101"/>
        <v>2.4500000000000002</v>
      </c>
      <c r="R465" s="4">
        <f t="shared" si="102"/>
        <v>147</v>
      </c>
      <c r="S465" s="3">
        <f t="shared" si="103"/>
        <v>79</v>
      </c>
      <c r="T465" s="1">
        <v>0.61480000000000001</v>
      </c>
      <c r="U465" s="6">
        <f t="shared" si="94"/>
        <v>79.924000000000007</v>
      </c>
    </row>
    <row r="466" spans="1:21" x14ac:dyDescent="0.35">
      <c r="A466">
        <v>465</v>
      </c>
      <c r="B466" s="5">
        <v>44661</v>
      </c>
      <c r="C466" s="4">
        <f t="shared" si="95"/>
        <v>2022</v>
      </c>
      <c r="D466" s="4">
        <f t="shared" si="96"/>
        <v>4</v>
      </c>
      <c r="E466" s="14">
        <v>44661</v>
      </c>
      <c r="F466" s="4">
        <f t="shared" si="97"/>
        <v>10</v>
      </c>
      <c r="G466">
        <v>125</v>
      </c>
      <c r="H466">
        <v>119</v>
      </c>
      <c r="I466" s="13">
        <f t="shared" si="98"/>
        <v>0.95</v>
      </c>
      <c r="J466">
        <f t="shared" si="91"/>
        <v>6</v>
      </c>
      <c r="K466" s="2">
        <v>2.5462962962962961E-4</v>
      </c>
      <c r="L466" s="11">
        <f t="shared" si="92"/>
        <v>43.633333333333333</v>
      </c>
      <c r="M466" s="3">
        <f t="shared" si="99"/>
        <v>0.36666666666666664</v>
      </c>
      <c r="N466" s="4">
        <f t="shared" si="100"/>
        <v>22</v>
      </c>
      <c r="O466" s="2">
        <v>1.724537037037037E-3</v>
      </c>
      <c r="P466" s="9">
        <f t="shared" si="93"/>
        <v>295.51666666666665</v>
      </c>
      <c r="Q466" s="3">
        <f t="shared" si="101"/>
        <v>2.4833333333333334</v>
      </c>
      <c r="R466" s="4">
        <f t="shared" si="102"/>
        <v>149</v>
      </c>
      <c r="S466" s="3">
        <f t="shared" si="103"/>
        <v>80</v>
      </c>
      <c r="T466" s="1">
        <v>0.68</v>
      </c>
      <c r="U466" s="6">
        <f t="shared" si="94"/>
        <v>80.92</v>
      </c>
    </row>
    <row r="467" spans="1:21" x14ac:dyDescent="0.35">
      <c r="A467">
        <v>466</v>
      </c>
      <c r="B467" s="5">
        <v>44662</v>
      </c>
      <c r="C467" s="4">
        <f t="shared" si="95"/>
        <v>2022</v>
      </c>
      <c r="D467" s="4">
        <f t="shared" si="96"/>
        <v>4</v>
      </c>
      <c r="E467" s="14">
        <v>44662</v>
      </c>
      <c r="F467" s="4">
        <f t="shared" si="97"/>
        <v>11</v>
      </c>
      <c r="G467">
        <v>98</v>
      </c>
      <c r="H467">
        <v>96</v>
      </c>
      <c r="I467" s="13">
        <f t="shared" si="98"/>
        <v>0.97</v>
      </c>
      <c r="J467">
        <f t="shared" si="91"/>
        <v>2</v>
      </c>
      <c r="K467" s="2">
        <v>2.3148148148148149E-4</v>
      </c>
      <c r="L467" s="11">
        <f t="shared" si="92"/>
        <v>32</v>
      </c>
      <c r="M467" s="3">
        <f t="shared" si="99"/>
        <v>0.33333333333333331</v>
      </c>
      <c r="N467" s="4">
        <f t="shared" si="100"/>
        <v>20</v>
      </c>
      <c r="O467" s="2">
        <v>1.8055555555555555E-3</v>
      </c>
      <c r="P467" s="9">
        <f t="shared" si="93"/>
        <v>249.60000000000002</v>
      </c>
      <c r="Q467" s="3">
        <f t="shared" si="101"/>
        <v>2.6</v>
      </c>
      <c r="R467" s="4">
        <f t="shared" si="102"/>
        <v>156</v>
      </c>
      <c r="S467" s="3">
        <f t="shared" si="103"/>
        <v>74</v>
      </c>
      <c r="T467" s="1">
        <v>0.7732</v>
      </c>
      <c r="U467" s="6">
        <f t="shared" si="94"/>
        <v>74.227199999999996</v>
      </c>
    </row>
    <row r="468" spans="1:21" x14ac:dyDescent="0.35">
      <c r="A468">
        <v>467</v>
      </c>
      <c r="B468" s="5">
        <v>44663</v>
      </c>
      <c r="C468" s="4">
        <f t="shared" si="95"/>
        <v>2022</v>
      </c>
      <c r="D468" s="4">
        <f t="shared" si="96"/>
        <v>4</v>
      </c>
      <c r="E468" s="14">
        <v>44663</v>
      </c>
      <c r="F468" s="4">
        <f t="shared" si="97"/>
        <v>12</v>
      </c>
      <c r="G468">
        <v>12</v>
      </c>
      <c r="H468">
        <v>12</v>
      </c>
      <c r="I468" s="13">
        <f t="shared" si="98"/>
        <v>1</v>
      </c>
      <c r="J468">
        <f t="shared" si="91"/>
        <v>0</v>
      </c>
      <c r="K468" s="2">
        <v>2.0833333333333335E-4</v>
      </c>
      <c r="L468" s="11">
        <f t="shared" si="92"/>
        <v>3.5999999999999996</v>
      </c>
      <c r="M468" s="3">
        <f t="shared" si="99"/>
        <v>0.3</v>
      </c>
      <c r="N468" s="4">
        <f t="shared" si="100"/>
        <v>18</v>
      </c>
      <c r="O468" s="2">
        <v>2.1643518518518518E-3</v>
      </c>
      <c r="P468" s="9">
        <f t="shared" si="93"/>
        <v>37.4</v>
      </c>
      <c r="Q468" s="3">
        <f t="shared" si="101"/>
        <v>3.1166666666666667</v>
      </c>
      <c r="R468" s="4">
        <f t="shared" si="102"/>
        <v>187</v>
      </c>
      <c r="S468" s="3">
        <f t="shared" si="103"/>
        <v>9</v>
      </c>
      <c r="T468" s="1">
        <v>0.83330000000000004</v>
      </c>
      <c r="U468" s="6">
        <f t="shared" si="94"/>
        <v>9.9996000000000009</v>
      </c>
    </row>
    <row r="469" spans="1:21" x14ac:dyDescent="0.35">
      <c r="A469">
        <v>468</v>
      </c>
      <c r="B469" s="5">
        <v>44664</v>
      </c>
      <c r="C469" s="4">
        <f t="shared" si="95"/>
        <v>2022</v>
      </c>
      <c r="D469" s="4">
        <f t="shared" si="96"/>
        <v>4</v>
      </c>
      <c r="E469" s="14">
        <v>44664</v>
      </c>
      <c r="F469" s="4">
        <f t="shared" si="97"/>
        <v>13</v>
      </c>
      <c r="G469">
        <v>119</v>
      </c>
      <c r="H469">
        <v>117</v>
      </c>
      <c r="I469" s="13">
        <f t="shared" si="98"/>
        <v>0.98</v>
      </c>
      <c r="J469">
        <f t="shared" si="91"/>
        <v>2</v>
      </c>
      <c r="K469" s="2">
        <v>2.0833333333333335E-4</v>
      </c>
      <c r="L469" s="11">
        <f t="shared" si="92"/>
        <v>35.1</v>
      </c>
      <c r="M469" s="3">
        <f t="shared" si="99"/>
        <v>0.3</v>
      </c>
      <c r="N469" s="4">
        <f t="shared" si="100"/>
        <v>18</v>
      </c>
      <c r="O469" s="2">
        <v>1.8402777777777777E-3</v>
      </c>
      <c r="P469" s="9">
        <f t="shared" si="93"/>
        <v>310.05</v>
      </c>
      <c r="Q469" s="3">
        <f t="shared" si="101"/>
        <v>2.65</v>
      </c>
      <c r="R469" s="4">
        <f t="shared" si="102"/>
        <v>159</v>
      </c>
      <c r="S469" s="3">
        <f t="shared" si="103"/>
        <v>91</v>
      </c>
      <c r="T469" s="1">
        <v>0.78149999999999997</v>
      </c>
      <c r="U469" s="6">
        <f t="shared" si="94"/>
        <v>91.43549999999999</v>
      </c>
    </row>
    <row r="470" spans="1:21" x14ac:dyDescent="0.35">
      <c r="A470">
        <v>469</v>
      </c>
      <c r="B470" s="5">
        <v>44665</v>
      </c>
      <c r="C470" s="4">
        <f t="shared" si="95"/>
        <v>2022</v>
      </c>
      <c r="D470" s="4">
        <f t="shared" si="96"/>
        <v>4</v>
      </c>
      <c r="E470" s="14">
        <v>44665</v>
      </c>
      <c r="F470" s="4">
        <f t="shared" si="97"/>
        <v>14</v>
      </c>
      <c r="G470">
        <v>100</v>
      </c>
      <c r="H470">
        <v>96</v>
      </c>
      <c r="I470" s="13">
        <f t="shared" si="98"/>
        <v>0.96</v>
      </c>
      <c r="J470">
        <f t="shared" si="91"/>
        <v>4</v>
      </c>
      <c r="K470" s="2">
        <v>2.4305555555555555E-4</v>
      </c>
      <c r="L470" s="11">
        <f t="shared" si="92"/>
        <v>33.599999999999994</v>
      </c>
      <c r="M470" s="3">
        <f t="shared" si="99"/>
        <v>0.35</v>
      </c>
      <c r="N470" s="4">
        <f t="shared" si="100"/>
        <v>21</v>
      </c>
      <c r="O470" s="2">
        <v>1.8171296296296297E-3</v>
      </c>
      <c r="P470" s="9">
        <f t="shared" si="93"/>
        <v>251.2</v>
      </c>
      <c r="Q470" s="3">
        <f t="shared" si="101"/>
        <v>2.6166666666666667</v>
      </c>
      <c r="R470" s="4">
        <f t="shared" si="102"/>
        <v>157</v>
      </c>
      <c r="S470" s="3">
        <f t="shared" si="103"/>
        <v>72</v>
      </c>
      <c r="T470" s="1">
        <v>0.76</v>
      </c>
      <c r="U470" s="6">
        <f t="shared" si="94"/>
        <v>72.960000000000008</v>
      </c>
    </row>
    <row r="471" spans="1:21" x14ac:dyDescent="0.35">
      <c r="A471">
        <v>470</v>
      </c>
      <c r="B471" s="5">
        <v>44666</v>
      </c>
      <c r="C471" s="4">
        <f t="shared" si="95"/>
        <v>2022</v>
      </c>
      <c r="D471" s="4">
        <f t="shared" si="96"/>
        <v>4</v>
      </c>
      <c r="E471" s="14">
        <v>44666</v>
      </c>
      <c r="F471" s="4">
        <f t="shared" si="97"/>
        <v>15</v>
      </c>
      <c r="G471">
        <v>146</v>
      </c>
      <c r="H471">
        <v>133</v>
      </c>
      <c r="I471" s="13">
        <f t="shared" si="98"/>
        <v>0.91</v>
      </c>
      <c r="J471">
        <f t="shared" si="91"/>
        <v>13</v>
      </c>
      <c r="K471" s="2">
        <v>3.5879629629629629E-4</v>
      </c>
      <c r="L471" s="11">
        <f t="shared" si="92"/>
        <v>68.716666666666669</v>
      </c>
      <c r="M471" s="3">
        <f t="shared" si="99"/>
        <v>0.51666666666666672</v>
      </c>
      <c r="N471" s="4">
        <f t="shared" si="100"/>
        <v>31.000000000000004</v>
      </c>
      <c r="O471" s="2">
        <v>1.736111111111111E-3</v>
      </c>
      <c r="P471" s="9">
        <f t="shared" si="93"/>
        <v>332.5</v>
      </c>
      <c r="Q471" s="3">
        <f t="shared" si="101"/>
        <v>2.5</v>
      </c>
      <c r="R471" s="4">
        <f t="shared" si="102"/>
        <v>150</v>
      </c>
      <c r="S471" s="3">
        <f t="shared" si="103"/>
        <v>76</v>
      </c>
      <c r="T471" s="1">
        <v>0.57750000000000001</v>
      </c>
      <c r="U471" s="6">
        <f t="shared" si="94"/>
        <v>76.807500000000005</v>
      </c>
    </row>
    <row r="472" spans="1:21" x14ac:dyDescent="0.35">
      <c r="A472">
        <v>471</v>
      </c>
      <c r="B472" s="5">
        <v>44667</v>
      </c>
      <c r="C472" s="4">
        <f t="shared" si="95"/>
        <v>2022</v>
      </c>
      <c r="D472" s="4">
        <f t="shared" si="96"/>
        <v>4</v>
      </c>
      <c r="E472" s="14">
        <v>44667</v>
      </c>
      <c r="F472" s="4">
        <f t="shared" si="97"/>
        <v>16</v>
      </c>
      <c r="G472">
        <v>131</v>
      </c>
      <c r="H472">
        <v>127</v>
      </c>
      <c r="I472" s="13">
        <f t="shared" si="98"/>
        <v>0.96</v>
      </c>
      <c r="J472">
        <f t="shared" si="91"/>
        <v>4</v>
      </c>
      <c r="K472" s="2">
        <v>2.5462962962962961E-4</v>
      </c>
      <c r="L472" s="11">
        <f t="shared" si="92"/>
        <v>46.566666666666663</v>
      </c>
      <c r="M472" s="3">
        <f t="shared" si="99"/>
        <v>0.36666666666666664</v>
      </c>
      <c r="N472" s="4">
        <f t="shared" si="100"/>
        <v>22</v>
      </c>
      <c r="O472" s="2">
        <v>1.6782407407407408E-3</v>
      </c>
      <c r="P472" s="9">
        <f t="shared" si="93"/>
        <v>306.91666666666663</v>
      </c>
      <c r="Q472" s="3">
        <f t="shared" si="101"/>
        <v>2.4166666666666665</v>
      </c>
      <c r="R472" s="4">
        <f t="shared" si="102"/>
        <v>145</v>
      </c>
      <c r="S472" s="3">
        <f t="shared" si="103"/>
        <v>92</v>
      </c>
      <c r="T472" s="1">
        <v>0.72660000000000002</v>
      </c>
      <c r="U472" s="6">
        <f t="shared" si="94"/>
        <v>92.278199999999998</v>
      </c>
    </row>
    <row r="473" spans="1:21" x14ac:dyDescent="0.35">
      <c r="A473">
        <v>472</v>
      </c>
      <c r="B473" s="5">
        <v>44668</v>
      </c>
      <c r="C473" s="4">
        <f t="shared" si="95"/>
        <v>2022</v>
      </c>
      <c r="D473" s="4">
        <f t="shared" si="96"/>
        <v>4</v>
      </c>
      <c r="E473" s="14">
        <v>44668</v>
      </c>
      <c r="F473" s="4">
        <f t="shared" si="97"/>
        <v>17</v>
      </c>
      <c r="G473">
        <v>107</v>
      </c>
      <c r="H473">
        <v>104</v>
      </c>
      <c r="I473" s="13">
        <f t="shared" si="98"/>
        <v>0.97</v>
      </c>
      <c r="J473">
        <f t="shared" si="91"/>
        <v>3</v>
      </c>
      <c r="K473" s="2">
        <v>9.2592592592592588E-5</v>
      </c>
      <c r="L473" s="11">
        <f t="shared" si="92"/>
        <v>13.866666666666667</v>
      </c>
      <c r="M473" s="3">
        <f t="shared" si="99"/>
        <v>0.13333333333333333</v>
      </c>
      <c r="N473" s="4">
        <f t="shared" si="100"/>
        <v>8</v>
      </c>
      <c r="O473" s="2">
        <v>1.7013888888888888E-3</v>
      </c>
      <c r="P473" s="9">
        <f t="shared" si="93"/>
        <v>254.8</v>
      </c>
      <c r="Q473" s="3">
        <f t="shared" si="101"/>
        <v>2.4500000000000002</v>
      </c>
      <c r="R473" s="4">
        <f t="shared" si="102"/>
        <v>147</v>
      </c>
      <c r="S473" s="3">
        <f t="shared" si="103"/>
        <v>96</v>
      </c>
      <c r="T473" s="1">
        <v>0.92449999999999999</v>
      </c>
      <c r="U473" s="6">
        <f t="shared" si="94"/>
        <v>96.147999999999996</v>
      </c>
    </row>
    <row r="474" spans="1:21" x14ac:dyDescent="0.35">
      <c r="A474">
        <v>473</v>
      </c>
      <c r="B474" s="5">
        <v>44669</v>
      </c>
      <c r="C474" s="4">
        <f t="shared" si="95"/>
        <v>2022</v>
      </c>
      <c r="D474" s="4">
        <f t="shared" si="96"/>
        <v>4</v>
      </c>
      <c r="E474" s="14">
        <v>44669</v>
      </c>
      <c r="F474" s="4">
        <f t="shared" si="97"/>
        <v>18</v>
      </c>
      <c r="G474">
        <v>112</v>
      </c>
      <c r="H474">
        <v>105</v>
      </c>
      <c r="I474" s="13">
        <f t="shared" si="98"/>
        <v>0.93</v>
      </c>
      <c r="J474">
        <f t="shared" si="91"/>
        <v>7</v>
      </c>
      <c r="K474" s="2">
        <v>2.7777777777777778E-4</v>
      </c>
      <c r="L474" s="11">
        <f t="shared" si="92"/>
        <v>42</v>
      </c>
      <c r="M474" s="3">
        <f t="shared" si="99"/>
        <v>0.4</v>
      </c>
      <c r="N474" s="4">
        <f t="shared" si="100"/>
        <v>24</v>
      </c>
      <c r="O474" s="2">
        <v>1.8287037037037037E-3</v>
      </c>
      <c r="P474" s="9">
        <f t="shared" si="93"/>
        <v>276.5</v>
      </c>
      <c r="Q474" s="3">
        <f t="shared" si="101"/>
        <v>2.6333333333333333</v>
      </c>
      <c r="R474" s="4">
        <f t="shared" si="102"/>
        <v>158</v>
      </c>
      <c r="S474" s="3">
        <f t="shared" si="103"/>
        <v>70</v>
      </c>
      <c r="T474" s="1">
        <v>0.67269999999999996</v>
      </c>
      <c r="U474" s="6">
        <f t="shared" si="94"/>
        <v>70.633499999999998</v>
      </c>
    </row>
    <row r="475" spans="1:21" x14ac:dyDescent="0.35">
      <c r="A475">
        <v>474</v>
      </c>
      <c r="B475" s="5">
        <v>44670</v>
      </c>
      <c r="C475" s="4">
        <f t="shared" si="95"/>
        <v>2022</v>
      </c>
      <c r="D475" s="4">
        <f t="shared" si="96"/>
        <v>4</v>
      </c>
      <c r="E475" s="14">
        <v>44670</v>
      </c>
      <c r="F475" s="4">
        <f t="shared" si="97"/>
        <v>19</v>
      </c>
      <c r="G475">
        <v>21</v>
      </c>
      <c r="H475">
        <v>21</v>
      </c>
      <c r="I475" s="13">
        <f t="shared" si="98"/>
        <v>1</v>
      </c>
      <c r="J475">
        <f t="shared" si="91"/>
        <v>0</v>
      </c>
      <c r="K475" s="2">
        <v>3.7037037037037035E-4</v>
      </c>
      <c r="L475" s="11">
        <f t="shared" si="92"/>
        <v>11.2</v>
      </c>
      <c r="M475" s="3">
        <f t="shared" si="99"/>
        <v>0.53333333333333333</v>
      </c>
      <c r="N475" s="4">
        <f t="shared" si="100"/>
        <v>32</v>
      </c>
      <c r="O475" s="2">
        <v>1.7476851851851852E-3</v>
      </c>
      <c r="P475" s="9">
        <f t="shared" si="93"/>
        <v>52.85</v>
      </c>
      <c r="Q475" s="3">
        <f t="shared" si="101"/>
        <v>2.5166666666666666</v>
      </c>
      <c r="R475" s="4">
        <f t="shared" si="102"/>
        <v>151</v>
      </c>
      <c r="S475" s="3">
        <f t="shared" si="103"/>
        <v>10</v>
      </c>
      <c r="T475" s="1">
        <v>0.52380000000000004</v>
      </c>
      <c r="U475" s="6">
        <f t="shared" si="94"/>
        <v>10.9998</v>
      </c>
    </row>
    <row r="476" spans="1:21" x14ac:dyDescent="0.35">
      <c r="A476">
        <v>475</v>
      </c>
      <c r="B476" s="5">
        <v>44671</v>
      </c>
      <c r="C476" s="4">
        <f t="shared" si="95"/>
        <v>2022</v>
      </c>
      <c r="D476" s="4">
        <f t="shared" si="96"/>
        <v>4</v>
      </c>
      <c r="E476" s="14">
        <v>44671</v>
      </c>
      <c r="F476" s="4">
        <f t="shared" si="97"/>
        <v>20</v>
      </c>
      <c r="G476">
        <v>125</v>
      </c>
      <c r="H476">
        <v>104</v>
      </c>
      <c r="I476" s="13">
        <f t="shared" si="98"/>
        <v>0.83</v>
      </c>
      <c r="J476">
        <f t="shared" si="91"/>
        <v>21</v>
      </c>
      <c r="K476" s="2">
        <v>4.2824074074074075E-4</v>
      </c>
      <c r="L476" s="11">
        <f t="shared" si="92"/>
        <v>64.13333333333334</v>
      </c>
      <c r="M476" s="3">
        <f t="shared" si="99"/>
        <v>0.6166666666666667</v>
      </c>
      <c r="N476" s="4">
        <f t="shared" si="100"/>
        <v>37</v>
      </c>
      <c r="O476" s="2">
        <v>1.8981481481481482E-3</v>
      </c>
      <c r="P476" s="9">
        <f t="shared" si="93"/>
        <v>284.26666666666665</v>
      </c>
      <c r="Q476" s="3">
        <f t="shared" si="101"/>
        <v>2.7333333333333334</v>
      </c>
      <c r="R476" s="4">
        <f t="shared" si="102"/>
        <v>164</v>
      </c>
      <c r="S476" s="3">
        <f t="shared" si="103"/>
        <v>46</v>
      </c>
      <c r="T476" s="1">
        <v>0.44629999999999997</v>
      </c>
      <c r="U476" s="6">
        <f t="shared" si="94"/>
        <v>46.415199999999999</v>
      </c>
    </row>
    <row r="477" spans="1:21" x14ac:dyDescent="0.35">
      <c r="A477">
        <v>476</v>
      </c>
      <c r="B477" s="5">
        <v>44672</v>
      </c>
      <c r="C477" s="4">
        <f t="shared" si="95"/>
        <v>2022</v>
      </c>
      <c r="D477" s="4">
        <f t="shared" si="96"/>
        <v>4</v>
      </c>
      <c r="E477" s="14">
        <v>44672</v>
      </c>
      <c r="F477" s="4">
        <f t="shared" si="97"/>
        <v>21</v>
      </c>
      <c r="G477">
        <v>35</v>
      </c>
      <c r="H477">
        <v>34</v>
      </c>
      <c r="I477" s="13">
        <f t="shared" si="98"/>
        <v>0.97</v>
      </c>
      <c r="J477">
        <f t="shared" si="91"/>
        <v>1</v>
      </c>
      <c r="K477" s="2">
        <v>2.7777777777777778E-4</v>
      </c>
      <c r="L477" s="11">
        <f t="shared" si="92"/>
        <v>13.600000000000001</v>
      </c>
      <c r="M477" s="3">
        <f t="shared" si="99"/>
        <v>0.4</v>
      </c>
      <c r="N477" s="4">
        <f t="shared" si="100"/>
        <v>24</v>
      </c>
      <c r="O477" s="2">
        <v>1.5277777777777779E-3</v>
      </c>
      <c r="P477" s="9">
        <f t="shared" si="93"/>
        <v>74.800000000000011</v>
      </c>
      <c r="Q477" s="3">
        <f t="shared" si="101"/>
        <v>2.2000000000000002</v>
      </c>
      <c r="R477" s="4">
        <f t="shared" si="102"/>
        <v>132</v>
      </c>
      <c r="S477" s="3">
        <f t="shared" si="103"/>
        <v>25</v>
      </c>
      <c r="T477" s="1">
        <v>0.7429</v>
      </c>
      <c r="U477" s="6">
        <f t="shared" si="94"/>
        <v>25.258600000000001</v>
      </c>
    </row>
    <row r="478" spans="1:21" x14ac:dyDescent="0.35">
      <c r="A478">
        <v>477</v>
      </c>
      <c r="B478" s="5">
        <v>44673</v>
      </c>
      <c r="C478" s="4">
        <f t="shared" si="95"/>
        <v>2022</v>
      </c>
      <c r="D478" s="4">
        <f t="shared" si="96"/>
        <v>4</v>
      </c>
      <c r="E478" s="14">
        <v>44673</v>
      </c>
      <c r="F478" s="4">
        <f t="shared" si="97"/>
        <v>22</v>
      </c>
      <c r="G478">
        <v>121</v>
      </c>
      <c r="H478">
        <v>109</v>
      </c>
      <c r="I478" s="13">
        <f t="shared" si="98"/>
        <v>0.9</v>
      </c>
      <c r="J478">
        <f t="shared" si="91"/>
        <v>12</v>
      </c>
      <c r="K478" s="2">
        <v>4.3981481481481481E-4</v>
      </c>
      <c r="L478" s="11">
        <f t="shared" si="92"/>
        <v>69.033333333333331</v>
      </c>
      <c r="M478" s="3">
        <f t="shared" si="99"/>
        <v>0.6333333333333333</v>
      </c>
      <c r="N478" s="4">
        <f t="shared" si="100"/>
        <v>38</v>
      </c>
      <c r="O478" s="2">
        <v>1.7592592592592592E-3</v>
      </c>
      <c r="P478" s="9">
        <f t="shared" si="93"/>
        <v>276.13333333333333</v>
      </c>
      <c r="Q478" s="3">
        <f t="shared" si="101"/>
        <v>2.5333333333333332</v>
      </c>
      <c r="R478" s="4">
        <f t="shared" si="102"/>
        <v>152</v>
      </c>
      <c r="S478" s="3">
        <f t="shared" si="103"/>
        <v>58</v>
      </c>
      <c r="T478" s="1">
        <v>0.53779999999999994</v>
      </c>
      <c r="U478" s="6">
        <f t="shared" si="94"/>
        <v>58.620199999999997</v>
      </c>
    </row>
    <row r="479" spans="1:21" x14ac:dyDescent="0.35">
      <c r="A479">
        <v>478</v>
      </c>
      <c r="B479" s="5">
        <v>44674</v>
      </c>
      <c r="C479" s="4">
        <f t="shared" si="95"/>
        <v>2022</v>
      </c>
      <c r="D479" s="4">
        <f t="shared" si="96"/>
        <v>4</v>
      </c>
      <c r="E479" s="14">
        <v>44674</v>
      </c>
      <c r="F479" s="4">
        <f t="shared" si="97"/>
        <v>23</v>
      </c>
      <c r="G479">
        <v>135</v>
      </c>
      <c r="H479">
        <v>122</v>
      </c>
      <c r="I479" s="13">
        <f t="shared" si="98"/>
        <v>0.9</v>
      </c>
      <c r="J479">
        <f t="shared" si="91"/>
        <v>13</v>
      </c>
      <c r="K479" s="2">
        <v>3.7037037037037035E-4</v>
      </c>
      <c r="L479" s="11">
        <f t="shared" si="92"/>
        <v>65.066666666666663</v>
      </c>
      <c r="M479" s="3">
        <f t="shared" si="99"/>
        <v>0.53333333333333333</v>
      </c>
      <c r="N479" s="4">
        <f t="shared" si="100"/>
        <v>32</v>
      </c>
      <c r="O479" s="2">
        <v>1.7824074074074075E-3</v>
      </c>
      <c r="P479" s="9">
        <f t="shared" si="93"/>
        <v>313.13333333333333</v>
      </c>
      <c r="Q479" s="3">
        <f t="shared" si="101"/>
        <v>2.5666666666666664</v>
      </c>
      <c r="R479" s="4">
        <f t="shared" si="102"/>
        <v>154</v>
      </c>
      <c r="S479" s="3">
        <f t="shared" si="103"/>
        <v>70</v>
      </c>
      <c r="T479" s="1">
        <v>0.57579999999999998</v>
      </c>
      <c r="U479" s="6">
        <f t="shared" si="94"/>
        <v>70.247599999999991</v>
      </c>
    </row>
    <row r="480" spans="1:21" x14ac:dyDescent="0.35">
      <c r="A480">
        <v>479</v>
      </c>
      <c r="B480" s="5">
        <v>44675</v>
      </c>
      <c r="C480" s="4">
        <f t="shared" si="95"/>
        <v>2022</v>
      </c>
      <c r="D480" s="4">
        <f t="shared" si="96"/>
        <v>4</v>
      </c>
      <c r="E480" s="14">
        <v>44675</v>
      </c>
      <c r="F480" s="4">
        <f t="shared" si="97"/>
        <v>24</v>
      </c>
      <c r="G480">
        <v>117</v>
      </c>
      <c r="H480">
        <v>114</v>
      </c>
      <c r="I480" s="13">
        <f t="shared" si="98"/>
        <v>0.97</v>
      </c>
      <c r="J480">
        <f t="shared" si="91"/>
        <v>3</v>
      </c>
      <c r="K480" s="2">
        <v>2.5462962962962961E-4</v>
      </c>
      <c r="L480" s="11">
        <f t="shared" si="92"/>
        <v>41.8</v>
      </c>
      <c r="M480" s="3">
        <f t="shared" si="99"/>
        <v>0.36666666666666664</v>
      </c>
      <c r="N480" s="4">
        <f t="shared" si="100"/>
        <v>22</v>
      </c>
      <c r="O480" s="2">
        <v>1.8287037037037037E-3</v>
      </c>
      <c r="P480" s="9">
        <f t="shared" si="93"/>
        <v>300.2</v>
      </c>
      <c r="Q480" s="3">
        <f t="shared" si="101"/>
        <v>2.6333333333333333</v>
      </c>
      <c r="R480" s="4">
        <f t="shared" si="102"/>
        <v>158</v>
      </c>
      <c r="S480" s="3">
        <f t="shared" si="103"/>
        <v>86</v>
      </c>
      <c r="T480" s="1">
        <v>0.75860000000000005</v>
      </c>
      <c r="U480" s="6">
        <f t="shared" si="94"/>
        <v>86.480400000000003</v>
      </c>
    </row>
    <row r="481" spans="1:21" x14ac:dyDescent="0.35">
      <c r="A481">
        <v>480</v>
      </c>
      <c r="B481" s="5">
        <v>44676</v>
      </c>
      <c r="C481" s="4">
        <f t="shared" si="95"/>
        <v>2022</v>
      </c>
      <c r="D481" s="4">
        <f t="shared" si="96"/>
        <v>4</v>
      </c>
      <c r="E481" s="14">
        <v>44676</v>
      </c>
      <c r="F481" s="4">
        <f t="shared" si="97"/>
        <v>25</v>
      </c>
      <c r="G481">
        <v>114</v>
      </c>
      <c r="H481">
        <v>97</v>
      </c>
      <c r="I481" s="13">
        <f t="shared" si="98"/>
        <v>0.85</v>
      </c>
      <c r="J481">
        <f t="shared" si="91"/>
        <v>17</v>
      </c>
      <c r="K481" s="2">
        <v>4.5138888888888887E-4</v>
      </c>
      <c r="L481" s="11">
        <f t="shared" si="92"/>
        <v>63.050000000000004</v>
      </c>
      <c r="M481" s="3">
        <f t="shared" si="99"/>
        <v>0.65</v>
      </c>
      <c r="N481" s="4">
        <f t="shared" si="100"/>
        <v>39</v>
      </c>
      <c r="O481" s="2">
        <v>1.9675925925925924E-3</v>
      </c>
      <c r="P481" s="9">
        <f t="shared" si="93"/>
        <v>274.83333333333337</v>
      </c>
      <c r="Q481" s="3">
        <f t="shared" si="101"/>
        <v>2.8333333333333335</v>
      </c>
      <c r="R481" s="4">
        <f t="shared" si="102"/>
        <v>170</v>
      </c>
      <c r="S481" s="3">
        <f t="shared" si="103"/>
        <v>43</v>
      </c>
      <c r="T481" s="1">
        <v>0.45129999999999998</v>
      </c>
      <c r="U481" s="6">
        <f t="shared" si="94"/>
        <v>43.7761</v>
      </c>
    </row>
    <row r="482" spans="1:21" x14ac:dyDescent="0.35">
      <c r="A482">
        <v>481</v>
      </c>
      <c r="B482" s="5">
        <v>44677</v>
      </c>
      <c r="C482" s="4">
        <f t="shared" si="95"/>
        <v>2022</v>
      </c>
      <c r="D482" s="4">
        <f t="shared" si="96"/>
        <v>4</v>
      </c>
      <c r="E482" s="14">
        <v>44677</v>
      </c>
      <c r="F482" s="4">
        <f t="shared" si="97"/>
        <v>26</v>
      </c>
      <c r="G482">
        <v>50</v>
      </c>
      <c r="H482">
        <v>49</v>
      </c>
      <c r="I482" s="13">
        <f t="shared" si="98"/>
        <v>0.98</v>
      </c>
      <c r="J482">
        <f t="shared" si="91"/>
        <v>1</v>
      </c>
      <c r="K482" s="2">
        <v>4.0509259259259258E-4</v>
      </c>
      <c r="L482" s="11">
        <f t="shared" si="92"/>
        <v>28.583333333333336</v>
      </c>
      <c r="M482" s="3">
        <f t="shared" si="99"/>
        <v>0.58333333333333337</v>
      </c>
      <c r="N482" s="4">
        <f t="shared" si="100"/>
        <v>35</v>
      </c>
      <c r="O482" s="2">
        <v>2.0254629629629629E-3</v>
      </c>
      <c r="P482" s="9">
        <f t="shared" si="93"/>
        <v>142.91666666666666</v>
      </c>
      <c r="Q482" s="3">
        <f t="shared" si="101"/>
        <v>2.9166666666666665</v>
      </c>
      <c r="R482" s="4">
        <f t="shared" si="102"/>
        <v>175</v>
      </c>
      <c r="S482" s="3">
        <f t="shared" si="103"/>
        <v>25</v>
      </c>
      <c r="T482" s="1">
        <v>0.52</v>
      </c>
      <c r="U482" s="6">
        <f t="shared" si="94"/>
        <v>25.48</v>
      </c>
    </row>
    <row r="483" spans="1:21" x14ac:dyDescent="0.35">
      <c r="A483">
        <v>482</v>
      </c>
      <c r="B483" s="5">
        <v>44678</v>
      </c>
      <c r="C483" s="4">
        <f t="shared" si="95"/>
        <v>2022</v>
      </c>
      <c r="D483" s="4">
        <f t="shared" si="96"/>
        <v>4</v>
      </c>
      <c r="E483" s="14">
        <v>44678</v>
      </c>
      <c r="F483" s="4">
        <f t="shared" si="97"/>
        <v>27</v>
      </c>
      <c r="G483">
        <v>207</v>
      </c>
      <c r="H483">
        <v>198</v>
      </c>
      <c r="I483" s="13">
        <f t="shared" si="98"/>
        <v>0.95</v>
      </c>
      <c r="J483">
        <f t="shared" si="91"/>
        <v>9</v>
      </c>
      <c r="K483" s="2">
        <v>1.8518518518518518E-4</v>
      </c>
      <c r="L483" s="11">
        <f t="shared" si="92"/>
        <v>52.8</v>
      </c>
      <c r="M483" s="3">
        <f t="shared" si="99"/>
        <v>0.26666666666666666</v>
      </c>
      <c r="N483" s="4">
        <f t="shared" si="100"/>
        <v>16</v>
      </c>
      <c r="O483" s="2">
        <v>1.8865740740740742E-3</v>
      </c>
      <c r="P483" s="9">
        <f t="shared" si="93"/>
        <v>537.9</v>
      </c>
      <c r="Q483" s="3">
        <f t="shared" si="101"/>
        <v>2.7166666666666668</v>
      </c>
      <c r="R483" s="4">
        <f t="shared" si="102"/>
        <v>163</v>
      </c>
      <c r="S483" s="3">
        <f t="shared" si="103"/>
        <v>159</v>
      </c>
      <c r="T483" s="1">
        <v>0.80489999999999995</v>
      </c>
      <c r="U483" s="6">
        <f t="shared" si="94"/>
        <v>159.37019999999998</v>
      </c>
    </row>
    <row r="484" spans="1:21" x14ac:dyDescent="0.35">
      <c r="A484">
        <v>483</v>
      </c>
      <c r="B484" s="5">
        <v>44679</v>
      </c>
      <c r="C484" s="4">
        <f t="shared" si="95"/>
        <v>2022</v>
      </c>
      <c r="D484" s="4">
        <f t="shared" si="96"/>
        <v>4</v>
      </c>
      <c r="E484" s="14">
        <v>44679</v>
      </c>
      <c r="F484" s="4">
        <f t="shared" si="97"/>
        <v>28</v>
      </c>
      <c r="G484">
        <v>189</v>
      </c>
      <c r="H484">
        <v>183</v>
      </c>
      <c r="I484" s="13">
        <f t="shared" si="98"/>
        <v>0.96</v>
      </c>
      <c r="J484">
        <f t="shared" si="91"/>
        <v>6</v>
      </c>
      <c r="K484" s="2">
        <v>2.4305555555555555E-4</v>
      </c>
      <c r="L484" s="11">
        <f t="shared" si="92"/>
        <v>64.05</v>
      </c>
      <c r="M484" s="3">
        <f t="shared" si="99"/>
        <v>0.35</v>
      </c>
      <c r="N484" s="4">
        <f t="shared" si="100"/>
        <v>21</v>
      </c>
      <c r="O484" s="2">
        <v>1.7476851851851852E-3</v>
      </c>
      <c r="P484" s="9">
        <f t="shared" si="93"/>
        <v>460.55</v>
      </c>
      <c r="Q484" s="3">
        <f t="shared" si="101"/>
        <v>2.5166666666666666</v>
      </c>
      <c r="R484" s="4">
        <f t="shared" si="102"/>
        <v>151</v>
      </c>
      <c r="S484" s="3">
        <f t="shared" si="103"/>
        <v>135</v>
      </c>
      <c r="T484" s="1">
        <v>0.7419</v>
      </c>
      <c r="U484" s="6">
        <f t="shared" si="94"/>
        <v>135.76769999999999</v>
      </c>
    </row>
    <row r="485" spans="1:21" x14ac:dyDescent="0.35">
      <c r="A485">
        <v>484</v>
      </c>
      <c r="B485" s="5">
        <v>44680</v>
      </c>
      <c r="C485" s="4">
        <f t="shared" si="95"/>
        <v>2022</v>
      </c>
      <c r="D485" s="4">
        <f t="shared" si="96"/>
        <v>4</v>
      </c>
      <c r="E485" s="14">
        <v>44680</v>
      </c>
      <c r="F485" s="4">
        <f t="shared" si="97"/>
        <v>29</v>
      </c>
      <c r="G485">
        <v>162</v>
      </c>
      <c r="H485">
        <v>156</v>
      </c>
      <c r="I485" s="13">
        <f t="shared" si="98"/>
        <v>0.96</v>
      </c>
      <c r="J485">
        <f t="shared" si="91"/>
        <v>6</v>
      </c>
      <c r="K485" s="2">
        <v>2.7777777777777778E-4</v>
      </c>
      <c r="L485" s="11">
        <f t="shared" si="92"/>
        <v>62.400000000000006</v>
      </c>
      <c r="M485" s="3">
        <f t="shared" si="99"/>
        <v>0.4</v>
      </c>
      <c r="N485" s="4">
        <f t="shared" si="100"/>
        <v>24</v>
      </c>
      <c r="O485" s="2">
        <v>1.6435185185185185E-3</v>
      </c>
      <c r="P485" s="9">
        <f t="shared" si="93"/>
        <v>369.2</v>
      </c>
      <c r="Q485" s="3">
        <f t="shared" si="101"/>
        <v>2.3666666666666667</v>
      </c>
      <c r="R485" s="4">
        <f t="shared" si="102"/>
        <v>142</v>
      </c>
      <c r="S485" s="3">
        <f t="shared" si="103"/>
        <v>103</v>
      </c>
      <c r="T485" s="1">
        <v>0.66459999999999997</v>
      </c>
      <c r="U485" s="6">
        <f t="shared" si="94"/>
        <v>103.6776</v>
      </c>
    </row>
    <row r="486" spans="1:21" x14ac:dyDescent="0.35">
      <c r="A486">
        <v>485</v>
      </c>
      <c r="B486" s="5">
        <v>44681</v>
      </c>
      <c r="C486" s="4">
        <f t="shared" si="95"/>
        <v>2022</v>
      </c>
      <c r="D486" s="4">
        <f t="shared" si="96"/>
        <v>4</v>
      </c>
      <c r="E486" s="14">
        <v>44681</v>
      </c>
      <c r="F486" s="4">
        <f t="shared" si="97"/>
        <v>30</v>
      </c>
      <c r="G486">
        <v>177</v>
      </c>
      <c r="H486">
        <v>165</v>
      </c>
      <c r="I486" s="13">
        <f t="shared" si="98"/>
        <v>0.93</v>
      </c>
      <c r="J486">
        <f t="shared" si="91"/>
        <v>12</v>
      </c>
      <c r="K486" s="2">
        <v>3.0092592592592595E-4</v>
      </c>
      <c r="L486" s="11">
        <f t="shared" si="92"/>
        <v>71.5</v>
      </c>
      <c r="M486" s="3">
        <f t="shared" si="99"/>
        <v>0.43333333333333335</v>
      </c>
      <c r="N486" s="4">
        <f t="shared" si="100"/>
        <v>26</v>
      </c>
      <c r="O486" s="2">
        <v>1.7476851851851852E-3</v>
      </c>
      <c r="P486" s="9">
        <f t="shared" si="93"/>
        <v>415.25</v>
      </c>
      <c r="Q486" s="3">
        <f t="shared" si="101"/>
        <v>2.5166666666666666</v>
      </c>
      <c r="R486" s="4">
        <f t="shared" si="102"/>
        <v>151</v>
      </c>
      <c r="S486" s="3">
        <f t="shared" si="103"/>
        <v>109</v>
      </c>
      <c r="T486" s="1">
        <v>0.66469999999999996</v>
      </c>
      <c r="U486" s="6">
        <f t="shared" si="94"/>
        <v>109.6755</v>
      </c>
    </row>
    <row r="487" spans="1:21" x14ac:dyDescent="0.35">
      <c r="A487">
        <v>486</v>
      </c>
      <c r="B487" s="5">
        <v>44682</v>
      </c>
      <c r="C487" s="4">
        <f t="shared" si="95"/>
        <v>2022</v>
      </c>
      <c r="D487" s="4">
        <f t="shared" si="96"/>
        <v>5</v>
      </c>
      <c r="E487" s="14">
        <v>44682</v>
      </c>
      <c r="F487" s="4">
        <f t="shared" si="97"/>
        <v>1</v>
      </c>
      <c r="G487">
        <v>177</v>
      </c>
      <c r="H487">
        <v>167</v>
      </c>
      <c r="I487" s="13">
        <f t="shared" si="98"/>
        <v>0.94</v>
      </c>
      <c r="J487">
        <f t="shared" si="91"/>
        <v>10</v>
      </c>
      <c r="K487" s="2">
        <v>2.6620370370370372E-4</v>
      </c>
      <c r="L487" s="11">
        <f t="shared" si="92"/>
        <v>64.016666666666666</v>
      </c>
      <c r="M487" s="3">
        <f t="shared" si="99"/>
        <v>0.38333333333333336</v>
      </c>
      <c r="N487" s="4">
        <f t="shared" si="100"/>
        <v>23</v>
      </c>
      <c r="O487" s="2">
        <v>1.7939814814814815E-3</v>
      </c>
      <c r="P487" s="9">
        <f t="shared" si="93"/>
        <v>431.41666666666669</v>
      </c>
      <c r="Q487" s="3">
        <f t="shared" si="101"/>
        <v>2.5833333333333335</v>
      </c>
      <c r="R487" s="4">
        <f t="shared" si="102"/>
        <v>155</v>
      </c>
      <c r="S487" s="3">
        <f t="shared" si="103"/>
        <v>115</v>
      </c>
      <c r="T487" s="1">
        <v>0.68969999999999998</v>
      </c>
      <c r="U487" s="6">
        <f t="shared" si="94"/>
        <v>115.1799</v>
      </c>
    </row>
    <row r="488" spans="1:21" x14ac:dyDescent="0.35">
      <c r="A488">
        <v>487</v>
      </c>
      <c r="B488" s="5">
        <v>44683</v>
      </c>
      <c r="C488" s="4">
        <f t="shared" si="95"/>
        <v>2022</v>
      </c>
      <c r="D488" s="4">
        <f t="shared" si="96"/>
        <v>5</v>
      </c>
      <c r="E488" s="14">
        <v>44683</v>
      </c>
      <c r="F488" s="4">
        <f t="shared" si="97"/>
        <v>2</v>
      </c>
      <c r="G488">
        <v>163</v>
      </c>
      <c r="H488">
        <v>134</v>
      </c>
      <c r="I488" s="13">
        <f t="shared" si="98"/>
        <v>0.82</v>
      </c>
      <c r="J488">
        <f t="shared" si="91"/>
        <v>29</v>
      </c>
      <c r="K488" s="2">
        <v>4.3981481481481481E-4</v>
      </c>
      <c r="L488" s="11">
        <f t="shared" si="92"/>
        <v>84.86666666666666</v>
      </c>
      <c r="M488" s="3">
        <f t="shared" si="99"/>
        <v>0.6333333333333333</v>
      </c>
      <c r="N488" s="4">
        <f t="shared" si="100"/>
        <v>38</v>
      </c>
      <c r="O488" s="2">
        <v>1.8749999999999999E-3</v>
      </c>
      <c r="P488" s="9">
        <f t="shared" si="93"/>
        <v>361.8</v>
      </c>
      <c r="Q488" s="3">
        <f t="shared" si="101"/>
        <v>2.7</v>
      </c>
      <c r="R488" s="4">
        <f t="shared" si="102"/>
        <v>162</v>
      </c>
      <c r="S488" s="3">
        <f t="shared" si="103"/>
        <v>63</v>
      </c>
      <c r="T488" s="1">
        <v>0.47199999999999998</v>
      </c>
      <c r="U488" s="6">
        <f t="shared" si="94"/>
        <v>63.247999999999998</v>
      </c>
    </row>
    <row r="489" spans="1:21" x14ac:dyDescent="0.35">
      <c r="A489">
        <v>488</v>
      </c>
      <c r="B489" s="5">
        <v>44684</v>
      </c>
      <c r="C489" s="4">
        <f t="shared" si="95"/>
        <v>2022</v>
      </c>
      <c r="D489" s="4">
        <f t="shared" si="96"/>
        <v>5</v>
      </c>
      <c r="E489" s="14">
        <v>44684</v>
      </c>
      <c r="F489" s="4">
        <f t="shared" si="97"/>
        <v>3</v>
      </c>
      <c r="G489">
        <v>24</v>
      </c>
      <c r="H489">
        <v>20</v>
      </c>
      <c r="I489" s="13">
        <f t="shared" si="98"/>
        <v>0.83</v>
      </c>
      <c r="J489">
        <f t="shared" si="91"/>
        <v>4</v>
      </c>
      <c r="K489" s="2">
        <v>3.0092592592592595E-4</v>
      </c>
      <c r="L489" s="11">
        <f t="shared" si="92"/>
        <v>8.6666666666666679</v>
      </c>
      <c r="M489" s="3">
        <f t="shared" si="99"/>
        <v>0.43333333333333335</v>
      </c>
      <c r="N489" s="4">
        <f t="shared" si="100"/>
        <v>26</v>
      </c>
      <c r="O489" s="2">
        <v>2.3495370370370371E-3</v>
      </c>
      <c r="P489" s="9">
        <f t="shared" si="93"/>
        <v>67.666666666666671</v>
      </c>
      <c r="Q489" s="3">
        <f t="shared" si="101"/>
        <v>3.3833333333333333</v>
      </c>
      <c r="R489" s="4">
        <f t="shared" si="102"/>
        <v>203</v>
      </c>
      <c r="S489" s="3">
        <f t="shared" si="103"/>
        <v>13</v>
      </c>
      <c r="T489" s="1">
        <v>0.6522</v>
      </c>
      <c r="U489" s="6">
        <f t="shared" si="94"/>
        <v>13.044</v>
      </c>
    </row>
    <row r="490" spans="1:21" x14ac:dyDescent="0.35">
      <c r="A490">
        <v>489</v>
      </c>
      <c r="B490" s="5">
        <v>44685</v>
      </c>
      <c r="C490" s="4">
        <f t="shared" si="95"/>
        <v>2022</v>
      </c>
      <c r="D490" s="4">
        <f t="shared" si="96"/>
        <v>5</v>
      </c>
      <c r="E490" s="14">
        <v>44685</v>
      </c>
      <c r="F490" s="4">
        <f t="shared" si="97"/>
        <v>4</v>
      </c>
      <c r="G490">
        <v>146</v>
      </c>
      <c r="H490">
        <v>139</v>
      </c>
      <c r="I490" s="13">
        <f t="shared" si="98"/>
        <v>0.95</v>
      </c>
      <c r="J490">
        <f t="shared" si="91"/>
        <v>7</v>
      </c>
      <c r="K490" s="2">
        <v>2.0833333333333335E-4</v>
      </c>
      <c r="L490" s="11">
        <f t="shared" si="92"/>
        <v>41.699999999999996</v>
      </c>
      <c r="M490" s="3">
        <f t="shared" si="99"/>
        <v>0.3</v>
      </c>
      <c r="N490" s="4">
        <f t="shared" si="100"/>
        <v>18</v>
      </c>
      <c r="O490" s="2">
        <v>1.7824074074074075E-3</v>
      </c>
      <c r="P490" s="9">
        <f t="shared" si="93"/>
        <v>356.76666666666665</v>
      </c>
      <c r="Q490" s="3">
        <f t="shared" si="101"/>
        <v>2.5666666666666664</v>
      </c>
      <c r="R490" s="4">
        <f t="shared" si="102"/>
        <v>154</v>
      </c>
      <c r="S490" s="3">
        <f t="shared" si="103"/>
        <v>105</v>
      </c>
      <c r="T490" s="1">
        <v>0.75860000000000005</v>
      </c>
      <c r="U490" s="6">
        <f t="shared" si="94"/>
        <v>105.44540000000001</v>
      </c>
    </row>
    <row r="491" spans="1:21" x14ac:dyDescent="0.35">
      <c r="A491">
        <v>490</v>
      </c>
      <c r="B491" s="5">
        <v>44686</v>
      </c>
      <c r="C491" s="4">
        <f t="shared" si="95"/>
        <v>2022</v>
      </c>
      <c r="D491" s="4">
        <f t="shared" si="96"/>
        <v>5</v>
      </c>
      <c r="E491" s="14">
        <v>44686</v>
      </c>
      <c r="F491" s="4">
        <f t="shared" si="97"/>
        <v>5</v>
      </c>
      <c r="G491">
        <v>143</v>
      </c>
      <c r="H491">
        <v>141</v>
      </c>
      <c r="I491" s="13">
        <f t="shared" si="98"/>
        <v>0.98</v>
      </c>
      <c r="J491">
        <f t="shared" si="91"/>
        <v>2</v>
      </c>
      <c r="K491" s="2">
        <v>2.5462962962962961E-4</v>
      </c>
      <c r="L491" s="11">
        <f t="shared" si="92"/>
        <v>51.699999999999996</v>
      </c>
      <c r="M491" s="3">
        <f t="shared" si="99"/>
        <v>0.36666666666666664</v>
      </c>
      <c r="N491" s="4">
        <f t="shared" si="100"/>
        <v>22</v>
      </c>
      <c r="O491" s="2">
        <v>1.9097222222222222E-3</v>
      </c>
      <c r="P491" s="9">
        <f t="shared" si="93"/>
        <v>387.75</v>
      </c>
      <c r="Q491" s="3">
        <f t="shared" si="101"/>
        <v>2.75</v>
      </c>
      <c r="R491" s="4">
        <f t="shared" si="102"/>
        <v>165</v>
      </c>
      <c r="S491" s="3">
        <f t="shared" si="103"/>
        <v>101</v>
      </c>
      <c r="T491" s="1">
        <v>0.72030000000000005</v>
      </c>
      <c r="U491" s="6">
        <f t="shared" si="94"/>
        <v>101.56230000000001</v>
      </c>
    </row>
    <row r="492" spans="1:21" x14ac:dyDescent="0.35">
      <c r="A492">
        <v>491</v>
      </c>
      <c r="B492" s="5">
        <v>44687</v>
      </c>
      <c r="C492" s="4">
        <f t="shared" si="95"/>
        <v>2022</v>
      </c>
      <c r="D492" s="4">
        <f t="shared" si="96"/>
        <v>5</v>
      </c>
      <c r="E492" s="14">
        <v>44687</v>
      </c>
      <c r="F492" s="4">
        <f t="shared" si="97"/>
        <v>6</v>
      </c>
      <c r="G492">
        <v>132</v>
      </c>
      <c r="H492">
        <v>122</v>
      </c>
      <c r="I492" s="13">
        <f t="shared" si="98"/>
        <v>0.92</v>
      </c>
      <c r="J492">
        <f t="shared" si="91"/>
        <v>10</v>
      </c>
      <c r="K492" s="2">
        <v>3.5879629629629629E-4</v>
      </c>
      <c r="L492" s="11">
        <f t="shared" si="92"/>
        <v>63.033333333333339</v>
      </c>
      <c r="M492" s="3">
        <f t="shared" si="99"/>
        <v>0.51666666666666672</v>
      </c>
      <c r="N492" s="4">
        <f t="shared" si="100"/>
        <v>31.000000000000004</v>
      </c>
      <c r="O492" s="2">
        <v>1.712962962962963E-3</v>
      </c>
      <c r="P492" s="9">
        <f t="shared" si="93"/>
        <v>300.93333333333334</v>
      </c>
      <c r="Q492" s="3">
        <f t="shared" si="101"/>
        <v>2.4666666666666668</v>
      </c>
      <c r="R492" s="4">
        <f t="shared" si="102"/>
        <v>148</v>
      </c>
      <c r="S492" s="3">
        <f t="shared" si="103"/>
        <v>68</v>
      </c>
      <c r="T492" s="1">
        <v>0.56489999999999996</v>
      </c>
      <c r="U492" s="6">
        <f t="shared" si="94"/>
        <v>68.9178</v>
      </c>
    </row>
    <row r="493" spans="1:21" x14ac:dyDescent="0.35">
      <c r="A493">
        <v>492</v>
      </c>
      <c r="B493" s="5">
        <v>44688</v>
      </c>
      <c r="C493" s="4">
        <f t="shared" si="95"/>
        <v>2022</v>
      </c>
      <c r="D493" s="4">
        <f t="shared" si="96"/>
        <v>5</v>
      </c>
      <c r="E493" s="14">
        <v>44688</v>
      </c>
      <c r="F493" s="4">
        <f t="shared" si="97"/>
        <v>7</v>
      </c>
      <c r="G493">
        <v>137</v>
      </c>
      <c r="H493">
        <v>130</v>
      </c>
      <c r="I493" s="13">
        <f t="shared" si="98"/>
        <v>0.94</v>
      </c>
      <c r="J493">
        <f t="shared" si="91"/>
        <v>7</v>
      </c>
      <c r="K493" s="2">
        <v>3.0092592592592595E-4</v>
      </c>
      <c r="L493" s="11">
        <f t="shared" si="92"/>
        <v>56.333333333333336</v>
      </c>
      <c r="M493" s="3">
        <f t="shared" si="99"/>
        <v>0.43333333333333335</v>
      </c>
      <c r="N493" s="4">
        <f t="shared" si="100"/>
        <v>26</v>
      </c>
      <c r="O493" s="2">
        <v>1.6782407407407408E-3</v>
      </c>
      <c r="P493" s="9">
        <f t="shared" si="93"/>
        <v>314.16666666666663</v>
      </c>
      <c r="Q493" s="3">
        <f t="shared" si="101"/>
        <v>2.4166666666666665</v>
      </c>
      <c r="R493" s="4">
        <f t="shared" si="102"/>
        <v>145</v>
      </c>
      <c r="S493" s="3">
        <f t="shared" si="103"/>
        <v>83</v>
      </c>
      <c r="T493" s="1">
        <v>0.64439999999999997</v>
      </c>
      <c r="U493" s="6">
        <f t="shared" si="94"/>
        <v>83.771999999999991</v>
      </c>
    </row>
    <row r="494" spans="1:21" x14ac:dyDescent="0.35">
      <c r="A494">
        <v>493</v>
      </c>
      <c r="B494" s="5">
        <v>44689</v>
      </c>
      <c r="C494" s="4">
        <f t="shared" si="95"/>
        <v>2022</v>
      </c>
      <c r="D494" s="4">
        <f t="shared" si="96"/>
        <v>5</v>
      </c>
      <c r="E494" s="14">
        <v>44689</v>
      </c>
      <c r="F494" s="4">
        <f t="shared" si="97"/>
        <v>8</v>
      </c>
      <c r="G494">
        <v>112</v>
      </c>
      <c r="H494">
        <v>104</v>
      </c>
      <c r="I494" s="13">
        <f t="shared" si="98"/>
        <v>0.92</v>
      </c>
      <c r="J494">
        <f t="shared" si="91"/>
        <v>8</v>
      </c>
      <c r="K494" s="2">
        <v>4.9768518518518521E-4</v>
      </c>
      <c r="L494" s="11">
        <f t="shared" si="92"/>
        <v>74.533333333333331</v>
      </c>
      <c r="M494" s="3">
        <f t="shared" si="99"/>
        <v>0.71666666666666667</v>
      </c>
      <c r="N494" s="4">
        <f t="shared" si="100"/>
        <v>43</v>
      </c>
      <c r="O494" s="2">
        <v>1.8171296296296297E-3</v>
      </c>
      <c r="P494" s="9">
        <f t="shared" si="93"/>
        <v>272.13333333333333</v>
      </c>
      <c r="Q494" s="3">
        <f t="shared" si="101"/>
        <v>2.6166666666666667</v>
      </c>
      <c r="R494" s="4">
        <f t="shared" si="102"/>
        <v>157</v>
      </c>
      <c r="S494" s="3">
        <f t="shared" si="103"/>
        <v>42</v>
      </c>
      <c r="T494" s="1">
        <v>0.40910000000000002</v>
      </c>
      <c r="U494" s="6">
        <f t="shared" si="94"/>
        <v>42.546400000000006</v>
      </c>
    </row>
    <row r="495" spans="1:21" x14ac:dyDescent="0.35">
      <c r="A495">
        <v>494</v>
      </c>
      <c r="B495" s="5">
        <v>44690</v>
      </c>
      <c r="C495" s="4">
        <f t="shared" si="95"/>
        <v>2022</v>
      </c>
      <c r="D495" s="4">
        <f t="shared" si="96"/>
        <v>5</v>
      </c>
      <c r="E495" s="14">
        <v>44690</v>
      </c>
      <c r="F495" s="4">
        <f t="shared" si="97"/>
        <v>9</v>
      </c>
      <c r="G495">
        <v>110</v>
      </c>
      <c r="H495">
        <v>91</v>
      </c>
      <c r="I495" s="13">
        <f t="shared" si="98"/>
        <v>0.82</v>
      </c>
      <c r="J495">
        <f t="shared" si="91"/>
        <v>19</v>
      </c>
      <c r="K495" s="2">
        <v>5.7870370370370367E-4</v>
      </c>
      <c r="L495" s="11">
        <f t="shared" si="92"/>
        <v>75.833333333333343</v>
      </c>
      <c r="M495" s="3">
        <f t="shared" si="99"/>
        <v>0.83333333333333337</v>
      </c>
      <c r="N495" s="4">
        <f t="shared" si="100"/>
        <v>50</v>
      </c>
      <c r="O495" s="2">
        <v>1.8287037037037037E-3</v>
      </c>
      <c r="P495" s="9">
        <f t="shared" si="93"/>
        <v>239.63333333333333</v>
      </c>
      <c r="Q495" s="3">
        <f t="shared" si="101"/>
        <v>2.6333333333333333</v>
      </c>
      <c r="R495" s="4">
        <f t="shared" si="102"/>
        <v>158</v>
      </c>
      <c r="S495" s="3">
        <f t="shared" si="103"/>
        <v>33</v>
      </c>
      <c r="T495" s="1">
        <v>0.36699999999999999</v>
      </c>
      <c r="U495" s="6">
        <f t="shared" si="94"/>
        <v>33.396999999999998</v>
      </c>
    </row>
    <row r="496" spans="1:21" x14ac:dyDescent="0.35">
      <c r="A496">
        <v>495</v>
      </c>
      <c r="B496" s="5">
        <v>44691</v>
      </c>
      <c r="C496" s="4">
        <f t="shared" si="95"/>
        <v>2022</v>
      </c>
      <c r="D496" s="4">
        <f t="shared" si="96"/>
        <v>5</v>
      </c>
      <c r="E496" s="14">
        <v>44691</v>
      </c>
      <c r="F496" s="4">
        <f t="shared" si="97"/>
        <v>10</v>
      </c>
      <c r="G496">
        <v>24</v>
      </c>
      <c r="H496">
        <v>22</v>
      </c>
      <c r="I496" s="13">
        <f t="shared" si="98"/>
        <v>0.91</v>
      </c>
      <c r="J496">
        <f t="shared" si="91"/>
        <v>2</v>
      </c>
      <c r="K496" s="2">
        <v>3.7037037037037035E-4</v>
      </c>
      <c r="L496" s="11">
        <f t="shared" si="92"/>
        <v>11.733333333333333</v>
      </c>
      <c r="M496" s="3">
        <f t="shared" si="99"/>
        <v>0.53333333333333333</v>
      </c>
      <c r="N496" s="4">
        <f t="shared" si="100"/>
        <v>32</v>
      </c>
      <c r="O496" s="2">
        <v>1.5509259259259259E-3</v>
      </c>
      <c r="P496" s="9">
        <f t="shared" si="93"/>
        <v>49.133333333333333</v>
      </c>
      <c r="Q496" s="3">
        <f t="shared" si="101"/>
        <v>2.2333333333333334</v>
      </c>
      <c r="R496" s="4">
        <f t="shared" si="102"/>
        <v>134</v>
      </c>
      <c r="S496" s="3">
        <f t="shared" si="103"/>
        <v>12</v>
      </c>
      <c r="T496" s="1">
        <v>0.58330000000000004</v>
      </c>
      <c r="U496" s="6">
        <f t="shared" si="94"/>
        <v>12.832600000000001</v>
      </c>
    </row>
    <row r="497" spans="1:21" x14ac:dyDescent="0.35">
      <c r="A497">
        <v>496</v>
      </c>
      <c r="B497" s="5">
        <v>44692</v>
      </c>
      <c r="C497" s="4">
        <f t="shared" si="95"/>
        <v>2022</v>
      </c>
      <c r="D497" s="4">
        <f t="shared" si="96"/>
        <v>5</v>
      </c>
      <c r="E497" s="14">
        <v>44692</v>
      </c>
      <c r="F497" s="4">
        <f t="shared" si="97"/>
        <v>11</v>
      </c>
      <c r="G497">
        <v>168</v>
      </c>
      <c r="H497">
        <v>154</v>
      </c>
      <c r="I497" s="13">
        <f t="shared" si="98"/>
        <v>0.91</v>
      </c>
      <c r="J497">
        <f t="shared" si="91"/>
        <v>14</v>
      </c>
      <c r="K497" s="2">
        <v>4.1666666666666669E-4</v>
      </c>
      <c r="L497" s="11">
        <f t="shared" si="92"/>
        <v>92.399999999999991</v>
      </c>
      <c r="M497" s="3">
        <f t="shared" si="99"/>
        <v>0.6</v>
      </c>
      <c r="N497" s="4">
        <f t="shared" si="100"/>
        <v>36</v>
      </c>
      <c r="O497" s="2">
        <v>1.8981481481481482E-3</v>
      </c>
      <c r="P497" s="9">
        <f t="shared" si="93"/>
        <v>420.93333333333334</v>
      </c>
      <c r="Q497" s="3">
        <f t="shared" si="101"/>
        <v>2.7333333333333334</v>
      </c>
      <c r="R497" s="4">
        <f t="shared" si="102"/>
        <v>164</v>
      </c>
      <c r="S497" s="3">
        <f t="shared" si="103"/>
        <v>76</v>
      </c>
      <c r="T497" s="1">
        <v>0.49399999999999999</v>
      </c>
      <c r="U497" s="6">
        <f t="shared" si="94"/>
        <v>76.075999999999993</v>
      </c>
    </row>
    <row r="498" spans="1:21" x14ac:dyDescent="0.35">
      <c r="A498">
        <v>497</v>
      </c>
      <c r="B498" s="5">
        <v>44693</v>
      </c>
      <c r="C498" s="4">
        <f t="shared" si="95"/>
        <v>2022</v>
      </c>
      <c r="D498" s="4">
        <f t="shared" si="96"/>
        <v>5</v>
      </c>
      <c r="E498" s="14">
        <v>44693</v>
      </c>
      <c r="F498" s="4">
        <f t="shared" si="97"/>
        <v>12</v>
      </c>
      <c r="G498">
        <v>146</v>
      </c>
      <c r="H498">
        <v>116</v>
      </c>
      <c r="I498" s="13">
        <f t="shared" si="98"/>
        <v>0.79</v>
      </c>
      <c r="J498">
        <f t="shared" si="91"/>
        <v>30</v>
      </c>
      <c r="K498" s="2">
        <v>4.861111111111111E-4</v>
      </c>
      <c r="L498" s="11">
        <f t="shared" si="92"/>
        <v>81.199999999999989</v>
      </c>
      <c r="M498" s="3">
        <f t="shared" si="99"/>
        <v>0.7</v>
      </c>
      <c r="N498" s="4">
        <f t="shared" si="100"/>
        <v>42</v>
      </c>
      <c r="O498" s="2">
        <v>1.712962962962963E-3</v>
      </c>
      <c r="P498" s="9">
        <f t="shared" si="93"/>
        <v>286.13333333333333</v>
      </c>
      <c r="Q498" s="3">
        <f t="shared" si="101"/>
        <v>2.4666666666666668</v>
      </c>
      <c r="R498" s="4">
        <f t="shared" si="102"/>
        <v>148</v>
      </c>
      <c r="S498" s="3">
        <f t="shared" si="103"/>
        <v>63</v>
      </c>
      <c r="T498" s="1">
        <v>0.54930000000000001</v>
      </c>
      <c r="U498" s="6">
        <f t="shared" si="94"/>
        <v>63.718800000000002</v>
      </c>
    </row>
    <row r="499" spans="1:21" x14ac:dyDescent="0.35">
      <c r="A499">
        <v>498</v>
      </c>
      <c r="B499" s="5">
        <v>44694</v>
      </c>
      <c r="C499" s="4">
        <f t="shared" si="95"/>
        <v>2022</v>
      </c>
      <c r="D499" s="4">
        <f t="shared" si="96"/>
        <v>5</v>
      </c>
      <c r="E499" s="14">
        <v>44694</v>
      </c>
      <c r="F499" s="4">
        <f t="shared" si="97"/>
        <v>13</v>
      </c>
      <c r="G499">
        <v>100</v>
      </c>
      <c r="H499">
        <v>95</v>
      </c>
      <c r="I499" s="13">
        <f t="shared" si="98"/>
        <v>0.95</v>
      </c>
      <c r="J499">
        <f t="shared" si="91"/>
        <v>5</v>
      </c>
      <c r="K499" s="2">
        <v>3.5879629629629629E-4</v>
      </c>
      <c r="L499" s="11">
        <f t="shared" si="92"/>
        <v>49.083333333333336</v>
      </c>
      <c r="M499" s="3">
        <f t="shared" si="99"/>
        <v>0.51666666666666672</v>
      </c>
      <c r="N499" s="4">
        <f t="shared" si="100"/>
        <v>31.000000000000004</v>
      </c>
      <c r="O499" s="2">
        <v>1.8287037037037037E-3</v>
      </c>
      <c r="P499" s="9">
        <f t="shared" si="93"/>
        <v>250.16666666666666</v>
      </c>
      <c r="Q499" s="3">
        <f t="shared" si="101"/>
        <v>2.6333333333333333</v>
      </c>
      <c r="R499" s="4">
        <f t="shared" si="102"/>
        <v>158</v>
      </c>
      <c r="S499" s="3">
        <f t="shared" si="103"/>
        <v>54</v>
      </c>
      <c r="T499" s="1">
        <v>0.56999999999999995</v>
      </c>
      <c r="U499" s="6">
        <f t="shared" si="94"/>
        <v>54.15</v>
      </c>
    </row>
    <row r="500" spans="1:21" x14ac:dyDescent="0.35">
      <c r="A500">
        <v>499</v>
      </c>
      <c r="B500" s="5">
        <v>44695</v>
      </c>
      <c r="C500" s="4">
        <f t="shared" si="95"/>
        <v>2022</v>
      </c>
      <c r="D500" s="4">
        <f t="shared" si="96"/>
        <v>5</v>
      </c>
      <c r="E500" s="14">
        <v>44695</v>
      </c>
      <c r="F500" s="4">
        <f t="shared" si="97"/>
        <v>14</v>
      </c>
      <c r="G500">
        <v>144</v>
      </c>
      <c r="H500">
        <v>131</v>
      </c>
      <c r="I500" s="13">
        <f t="shared" si="98"/>
        <v>0.9</v>
      </c>
      <c r="J500">
        <f t="shared" si="91"/>
        <v>13</v>
      </c>
      <c r="K500" s="2">
        <v>3.0092592592592595E-4</v>
      </c>
      <c r="L500" s="11">
        <f t="shared" si="92"/>
        <v>56.766666666666666</v>
      </c>
      <c r="M500" s="3">
        <f t="shared" si="99"/>
        <v>0.43333333333333335</v>
      </c>
      <c r="N500" s="4">
        <f t="shared" si="100"/>
        <v>26</v>
      </c>
      <c r="O500" s="2">
        <v>1.7013888888888888E-3</v>
      </c>
      <c r="P500" s="9">
        <f t="shared" si="93"/>
        <v>320.95000000000005</v>
      </c>
      <c r="Q500" s="3">
        <f t="shared" si="101"/>
        <v>2.4500000000000002</v>
      </c>
      <c r="R500" s="4">
        <f t="shared" si="102"/>
        <v>147</v>
      </c>
      <c r="S500" s="3">
        <f t="shared" si="103"/>
        <v>83</v>
      </c>
      <c r="T500" s="1">
        <v>0.63570000000000004</v>
      </c>
      <c r="U500" s="6">
        <f t="shared" si="94"/>
        <v>83.276700000000005</v>
      </c>
    </row>
    <row r="501" spans="1:21" x14ac:dyDescent="0.35">
      <c r="A501">
        <v>500</v>
      </c>
      <c r="B501" s="5">
        <v>44696</v>
      </c>
      <c r="C501" s="4">
        <f t="shared" si="95"/>
        <v>2022</v>
      </c>
      <c r="D501" s="4">
        <f t="shared" si="96"/>
        <v>5</v>
      </c>
      <c r="E501" s="14">
        <v>44696</v>
      </c>
      <c r="F501" s="4">
        <f t="shared" si="97"/>
        <v>15</v>
      </c>
      <c r="G501">
        <v>110</v>
      </c>
      <c r="H501">
        <v>104</v>
      </c>
      <c r="I501" s="13">
        <f t="shared" si="98"/>
        <v>0.94</v>
      </c>
      <c r="J501">
        <f t="shared" si="91"/>
        <v>6</v>
      </c>
      <c r="K501" s="2">
        <v>2.7777777777777778E-4</v>
      </c>
      <c r="L501" s="11">
        <f t="shared" si="92"/>
        <v>41.6</v>
      </c>
      <c r="M501" s="3">
        <f t="shared" si="99"/>
        <v>0.4</v>
      </c>
      <c r="N501" s="4">
        <f t="shared" si="100"/>
        <v>24</v>
      </c>
      <c r="O501" s="2">
        <v>1.6898148148148148E-3</v>
      </c>
      <c r="P501" s="9">
        <f t="shared" si="93"/>
        <v>253.06666666666669</v>
      </c>
      <c r="Q501" s="3">
        <f t="shared" si="101"/>
        <v>2.4333333333333336</v>
      </c>
      <c r="R501" s="4">
        <f t="shared" si="102"/>
        <v>146</v>
      </c>
      <c r="S501" s="3">
        <f t="shared" si="103"/>
        <v>66</v>
      </c>
      <c r="T501" s="1">
        <v>0.64219999999999999</v>
      </c>
      <c r="U501" s="6">
        <f t="shared" si="94"/>
        <v>66.788799999999995</v>
      </c>
    </row>
    <row r="502" spans="1:21" x14ac:dyDescent="0.35">
      <c r="A502">
        <v>501</v>
      </c>
      <c r="B502" s="5">
        <v>44697</v>
      </c>
      <c r="C502" s="4">
        <f t="shared" si="95"/>
        <v>2022</v>
      </c>
      <c r="D502" s="4">
        <f t="shared" si="96"/>
        <v>5</v>
      </c>
      <c r="E502" s="14">
        <v>44697</v>
      </c>
      <c r="F502" s="4">
        <f t="shared" si="97"/>
        <v>16</v>
      </c>
      <c r="G502">
        <v>126</v>
      </c>
      <c r="H502">
        <v>111</v>
      </c>
      <c r="I502" s="13">
        <f t="shared" si="98"/>
        <v>0.88</v>
      </c>
      <c r="J502">
        <f t="shared" si="91"/>
        <v>15</v>
      </c>
      <c r="K502" s="2">
        <v>3.5879629629629629E-4</v>
      </c>
      <c r="L502" s="11">
        <f t="shared" si="92"/>
        <v>57.350000000000009</v>
      </c>
      <c r="M502" s="3">
        <f t="shared" si="99"/>
        <v>0.51666666666666672</v>
      </c>
      <c r="N502" s="4">
        <f t="shared" si="100"/>
        <v>31.000000000000004</v>
      </c>
      <c r="O502" s="2">
        <v>1.8287037037037037E-3</v>
      </c>
      <c r="P502" s="9">
        <f t="shared" si="93"/>
        <v>292.3</v>
      </c>
      <c r="Q502" s="3">
        <f t="shared" si="101"/>
        <v>2.6333333333333333</v>
      </c>
      <c r="R502" s="4">
        <f t="shared" si="102"/>
        <v>158</v>
      </c>
      <c r="S502" s="3">
        <f t="shared" si="103"/>
        <v>58</v>
      </c>
      <c r="T502" s="1">
        <v>0.52800000000000002</v>
      </c>
      <c r="U502" s="6">
        <f t="shared" si="94"/>
        <v>58.608000000000004</v>
      </c>
    </row>
    <row r="503" spans="1:21" x14ac:dyDescent="0.35">
      <c r="A503">
        <v>502</v>
      </c>
      <c r="B503" s="5">
        <v>44698</v>
      </c>
      <c r="C503" s="4">
        <f t="shared" si="95"/>
        <v>2022</v>
      </c>
      <c r="D503" s="4">
        <f t="shared" si="96"/>
        <v>5</v>
      </c>
      <c r="E503" s="14">
        <v>44698</v>
      </c>
      <c r="F503" s="4">
        <f t="shared" si="97"/>
        <v>17</v>
      </c>
      <c r="G503">
        <v>24</v>
      </c>
      <c r="H503">
        <v>24</v>
      </c>
      <c r="I503" s="13">
        <f t="shared" si="98"/>
        <v>1</v>
      </c>
      <c r="J503">
        <f t="shared" si="91"/>
        <v>0</v>
      </c>
      <c r="K503" s="2">
        <v>5.5555555555555556E-4</v>
      </c>
      <c r="L503" s="11">
        <f t="shared" si="92"/>
        <v>19.200000000000003</v>
      </c>
      <c r="M503" s="3">
        <f t="shared" si="99"/>
        <v>0.8</v>
      </c>
      <c r="N503" s="4">
        <f t="shared" si="100"/>
        <v>48</v>
      </c>
      <c r="O503" s="2">
        <v>2.0138888888888888E-3</v>
      </c>
      <c r="P503" s="9">
        <f t="shared" si="93"/>
        <v>69.599999999999994</v>
      </c>
      <c r="Q503" s="3">
        <f t="shared" si="101"/>
        <v>2.9</v>
      </c>
      <c r="R503" s="4">
        <f t="shared" si="102"/>
        <v>174</v>
      </c>
      <c r="S503" s="3">
        <f t="shared" si="103"/>
        <v>10</v>
      </c>
      <c r="T503" s="1">
        <v>0.41670000000000001</v>
      </c>
      <c r="U503" s="6">
        <f t="shared" si="94"/>
        <v>10.0008</v>
      </c>
    </row>
    <row r="504" spans="1:21" x14ac:dyDescent="0.35">
      <c r="A504">
        <v>503</v>
      </c>
      <c r="B504" s="5">
        <v>44699</v>
      </c>
      <c r="C504" s="4">
        <f t="shared" si="95"/>
        <v>2022</v>
      </c>
      <c r="D504" s="4">
        <f t="shared" si="96"/>
        <v>5</v>
      </c>
      <c r="E504" s="14">
        <v>44699</v>
      </c>
      <c r="F504" s="4">
        <f t="shared" si="97"/>
        <v>18</v>
      </c>
      <c r="G504">
        <v>128</v>
      </c>
      <c r="H504">
        <v>122</v>
      </c>
      <c r="I504" s="13">
        <f t="shared" si="98"/>
        <v>0.95</v>
      </c>
      <c r="J504">
        <f t="shared" si="91"/>
        <v>6</v>
      </c>
      <c r="K504" s="2">
        <v>4.0509259259259258E-4</v>
      </c>
      <c r="L504" s="11">
        <f t="shared" si="92"/>
        <v>71.166666666666671</v>
      </c>
      <c r="M504" s="3">
        <f t="shared" si="99"/>
        <v>0.58333333333333337</v>
      </c>
      <c r="N504" s="4">
        <f t="shared" si="100"/>
        <v>35</v>
      </c>
      <c r="O504" s="2">
        <v>2.0717592592592593E-3</v>
      </c>
      <c r="P504" s="9">
        <f t="shared" si="93"/>
        <v>363.9666666666667</v>
      </c>
      <c r="Q504" s="3">
        <f t="shared" si="101"/>
        <v>2.9833333333333334</v>
      </c>
      <c r="R504" s="4">
        <f t="shared" si="102"/>
        <v>179</v>
      </c>
      <c r="S504" s="3">
        <f t="shared" si="103"/>
        <v>62</v>
      </c>
      <c r="T504" s="1">
        <v>0.51559999999999995</v>
      </c>
      <c r="U504" s="6">
        <f t="shared" si="94"/>
        <v>62.903199999999991</v>
      </c>
    </row>
    <row r="505" spans="1:21" x14ac:dyDescent="0.35">
      <c r="A505">
        <v>504</v>
      </c>
      <c r="B505" s="5">
        <v>44700</v>
      </c>
      <c r="C505" s="4">
        <f t="shared" si="95"/>
        <v>2022</v>
      </c>
      <c r="D505" s="4">
        <f t="shared" si="96"/>
        <v>5</v>
      </c>
      <c r="E505" s="14">
        <v>44700</v>
      </c>
      <c r="F505" s="4">
        <f t="shared" si="97"/>
        <v>19</v>
      </c>
      <c r="G505">
        <v>185</v>
      </c>
      <c r="H505">
        <v>176</v>
      </c>
      <c r="I505" s="13">
        <f t="shared" si="98"/>
        <v>0.95</v>
      </c>
      <c r="J505">
        <f t="shared" si="91"/>
        <v>9</v>
      </c>
      <c r="K505" s="2">
        <v>3.1250000000000001E-4</v>
      </c>
      <c r="L505" s="11">
        <f t="shared" si="92"/>
        <v>79.2</v>
      </c>
      <c r="M505" s="3">
        <f t="shared" si="99"/>
        <v>0.45</v>
      </c>
      <c r="N505" s="4">
        <f t="shared" si="100"/>
        <v>27</v>
      </c>
      <c r="O505" s="2">
        <v>1.6550925925925926E-3</v>
      </c>
      <c r="P505" s="9">
        <f t="shared" si="93"/>
        <v>419.46666666666664</v>
      </c>
      <c r="Q505" s="3">
        <f t="shared" si="101"/>
        <v>2.3833333333333333</v>
      </c>
      <c r="R505" s="4">
        <f t="shared" si="102"/>
        <v>143</v>
      </c>
      <c r="S505" s="3">
        <f t="shared" si="103"/>
        <v>119</v>
      </c>
      <c r="T505" s="1">
        <v>0.67930000000000001</v>
      </c>
      <c r="U505" s="6">
        <f t="shared" si="94"/>
        <v>119.55680000000001</v>
      </c>
    </row>
    <row r="506" spans="1:21" x14ac:dyDescent="0.35">
      <c r="A506">
        <v>505</v>
      </c>
      <c r="B506" s="5">
        <v>44701</v>
      </c>
      <c r="C506" s="4">
        <f t="shared" si="95"/>
        <v>2022</v>
      </c>
      <c r="D506" s="4">
        <f t="shared" si="96"/>
        <v>5</v>
      </c>
      <c r="E506" s="14">
        <v>44701</v>
      </c>
      <c r="F506" s="4">
        <f t="shared" si="97"/>
        <v>20</v>
      </c>
      <c r="G506">
        <v>136</v>
      </c>
      <c r="H506">
        <v>114</v>
      </c>
      <c r="I506" s="13">
        <f t="shared" si="98"/>
        <v>0.83</v>
      </c>
      <c r="J506">
        <f t="shared" si="91"/>
        <v>22</v>
      </c>
      <c r="K506" s="2">
        <v>6.5972222222222224E-4</v>
      </c>
      <c r="L506" s="11">
        <f t="shared" si="92"/>
        <v>108.3</v>
      </c>
      <c r="M506" s="3">
        <f t="shared" si="99"/>
        <v>0.95</v>
      </c>
      <c r="N506" s="4">
        <f t="shared" si="100"/>
        <v>57</v>
      </c>
      <c r="O506" s="2">
        <v>1.6782407407407408E-3</v>
      </c>
      <c r="P506" s="9">
        <f t="shared" si="93"/>
        <v>275.5</v>
      </c>
      <c r="Q506" s="3">
        <f t="shared" si="101"/>
        <v>2.4166666666666665</v>
      </c>
      <c r="R506" s="4">
        <f t="shared" si="102"/>
        <v>145</v>
      </c>
      <c r="S506" s="3">
        <f t="shared" si="103"/>
        <v>32</v>
      </c>
      <c r="T506" s="1">
        <v>0.28789999999999999</v>
      </c>
      <c r="U506" s="6">
        <f t="shared" si="94"/>
        <v>32.820599999999999</v>
      </c>
    </row>
    <row r="507" spans="1:21" x14ac:dyDescent="0.35">
      <c r="A507">
        <v>506</v>
      </c>
      <c r="B507" s="5">
        <v>44702</v>
      </c>
      <c r="C507" s="4">
        <f t="shared" si="95"/>
        <v>2022</v>
      </c>
      <c r="D507" s="4">
        <f t="shared" si="96"/>
        <v>5</v>
      </c>
      <c r="E507" s="14">
        <v>44702</v>
      </c>
      <c r="F507" s="4">
        <f t="shared" si="97"/>
        <v>21</v>
      </c>
      <c r="G507">
        <v>130</v>
      </c>
      <c r="H507">
        <v>116</v>
      </c>
      <c r="I507" s="13">
        <f t="shared" si="98"/>
        <v>0.89</v>
      </c>
      <c r="J507">
        <f t="shared" si="91"/>
        <v>14</v>
      </c>
      <c r="K507" s="2">
        <v>5.0925925925925921E-4</v>
      </c>
      <c r="L507" s="11">
        <f t="shared" si="92"/>
        <v>85.066666666666663</v>
      </c>
      <c r="M507" s="3">
        <f t="shared" si="99"/>
        <v>0.73333333333333328</v>
      </c>
      <c r="N507" s="4">
        <f t="shared" si="100"/>
        <v>44</v>
      </c>
      <c r="O507" s="2">
        <v>1.8634259259259259E-3</v>
      </c>
      <c r="P507" s="9">
        <f t="shared" si="93"/>
        <v>311.26666666666671</v>
      </c>
      <c r="Q507" s="3">
        <f t="shared" si="101"/>
        <v>2.6833333333333336</v>
      </c>
      <c r="R507" s="4">
        <f t="shared" si="102"/>
        <v>161</v>
      </c>
      <c r="S507" s="3">
        <f t="shared" si="103"/>
        <v>51</v>
      </c>
      <c r="T507" s="1">
        <v>0.44440000000000002</v>
      </c>
      <c r="U507" s="6">
        <f t="shared" si="94"/>
        <v>51.550400000000003</v>
      </c>
    </row>
    <row r="508" spans="1:21" x14ac:dyDescent="0.35">
      <c r="A508">
        <v>507</v>
      </c>
      <c r="B508" s="5">
        <v>44703</v>
      </c>
      <c r="C508" s="4">
        <f t="shared" si="95"/>
        <v>2022</v>
      </c>
      <c r="D508" s="4">
        <f t="shared" si="96"/>
        <v>5</v>
      </c>
      <c r="E508" s="14">
        <v>44703</v>
      </c>
      <c r="F508" s="4">
        <f t="shared" si="97"/>
        <v>22</v>
      </c>
      <c r="G508">
        <v>103</v>
      </c>
      <c r="H508">
        <v>101</v>
      </c>
      <c r="I508" s="13">
        <f t="shared" si="98"/>
        <v>0.98</v>
      </c>
      <c r="J508">
        <f t="shared" si="91"/>
        <v>2</v>
      </c>
      <c r="K508" s="2">
        <v>2.0833333333333335E-4</v>
      </c>
      <c r="L508" s="11">
        <f t="shared" si="92"/>
        <v>30.299999999999997</v>
      </c>
      <c r="M508" s="3">
        <f t="shared" si="99"/>
        <v>0.3</v>
      </c>
      <c r="N508" s="4">
        <f t="shared" si="100"/>
        <v>18</v>
      </c>
      <c r="O508" s="2">
        <v>1.8749999999999999E-3</v>
      </c>
      <c r="P508" s="9">
        <f t="shared" si="93"/>
        <v>272.70000000000005</v>
      </c>
      <c r="Q508" s="3">
        <f t="shared" si="101"/>
        <v>2.7</v>
      </c>
      <c r="R508" s="4">
        <f t="shared" si="102"/>
        <v>162</v>
      </c>
      <c r="S508" s="3">
        <f t="shared" si="103"/>
        <v>78</v>
      </c>
      <c r="T508" s="1">
        <v>0.77449999999999997</v>
      </c>
      <c r="U508" s="6">
        <f t="shared" si="94"/>
        <v>78.224499999999992</v>
      </c>
    </row>
    <row r="509" spans="1:21" x14ac:dyDescent="0.35">
      <c r="A509">
        <v>508</v>
      </c>
      <c r="B509" s="5">
        <v>44704</v>
      </c>
      <c r="C509" s="4">
        <f t="shared" si="95"/>
        <v>2022</v>
      </c>
      <c r="D509" s="4">
        <f t="shared" si="96"/>
        <v>5</v>
      </c>
      <c r="E509" s="14">
        <v>44704</v>
      </c>
      <c r="F509" s="4">
        <f t="shared" si="97"/>
        <v>23</v>
      </c>
      <c r="G509">
        <v>99</v>
      </c>
      <c r="H509">
        <v>89</v>
      </c>
      <c r="I509" s="13">
        <f t="shared" si="98"/>
        <v>0.89</v>
      </c>
      <c r="J509">
        <f t="shared" si="91"/>
        <v>10</v>
      </c>
      <c r="K509" s="2">
        <v>2.3148148148148149E-4</v>
      </c>
      <c r="L509" s="11">
        <f t="shared" si="92"/>
        <v>29.666666666666664</v>
      </c>
      <c r="M509" s="3">
        <f t="shared" si="99"/>
        <v>0.33333333333333331</v>
      </c>
      <c r="N509" s="4">
        <f t="shared" si="100"/>
        <v>20</v>
      </c>
      <c r="O509" s="2">
        <v>1.7013888888888888E-3</v>
      </c>
      <c r="P509" s="9">
        <f t="shared" si="93"/>
        <v>218.05</v>
      </c>
      <c r="Q509" s="3">
        <f t="shared" si="101"/>
        <v>2.4500000000000002</v>
      </c>
      <c r="R509" s="4">
        <f t="shared" si="102"/>
        <v>147</v>
      </c>
      <c r="S509" s="3">
        <f t="shared" si="103"/>
        <v>65</v>
      </c>
      <c r="T509" s="1">
        <v>0.73680000000000001</v>
      </c>
      <c r="U509" s="6">
        <f t="shared" si="94"/>
        <v>65.575199999999995</v>
      </c>
    </row>
    <row r="510" spans="1:21" x14ac:dyDescent="0.35">
      <c r="A510">
        <v>509</v>
      </c>
      <c r="B510" s="5">
        <v>44705</v>
      </c>
      <c r="C510" s="4">
        <f t="shared" si="95"/>
        <v>2022</v>
      </c>
      <c r="D510" s="4">
        <f t="shared" si="96"/>
        <v>5</v>
      </c>
      <c r="E510" s="14">
        <v>44705</v>
      </c>
      <c r="F510" s="4">
        <f t="shared" si="97"/>
        <v>24</v>
      </c>
      <c r="G510">
        <v>26</v>
      </c>
      <c r="H510">
        <v>24</v>
      </c>
      <c r="I510" s="13">
        <f t="shared" si="98"/>
        <v>0.92</v>
      </c>
      <c r="J510">
        <f t="shared" si="91"/>
        <v>2</v>
      </c>
      <c r="K510" s="2">
        <v>2.6620370370370372E-4</v>
      </c>
      <c r="L510" s="11">
        <f t="shared" si="92"/>
        <v>9.2000000000000011</v>
      </c>
      <c r="M510" s="3">
        <f t="shared" si="99"/>
        <v>0.38333333333333336</v>
      </c>
      <c r="N510" s="4">
        <f t="shared" si="100"/>
        <v>23</v>
      </c>
      <c r="O510" s="2">
        <v>1.3888888888888889E-3</v>
      </c>
      <c r="P510" s="9">
        <f t="shared" si="93"/>
        <v>48</v>
      </c>
      <c r="Q510" s="3">
        <f t="shared" si="101"/>
        <v>2</v>
      </c>
      <c r="R510" s="4">
        <f t="shared" si="102"/>
        <v>120</v>
      </c>
      <c r="S510" s="3">
        <f t="shared" si="103"/>
        <v>16</v>
      </c>
      <c r="T510" s="1">
        <v>0.68</v>
      </c>
      <c r="U510" s="6">
        <f t="shared" si="94"/>
        <v>16.32</v>
      </c>
    </row>
    <row r="511" spans="1:21" x14ac:dyDescent="0.35">
      <c r="A511">
        <v>510</v>
      </c>
      <c r="B511" s="5">
        <v>44706</v>
      </c>
      <c r="C511" s="4">
        <f t="shared" si="95"/>
        <v>2022</v>
      </c>
      <c r="D511" s="4">
        <f t="shared" si="96"/>
        <v>5</v>
      </c>
      <c r="E511" s="14">
        <v>44706</v>
      </c>
      <c r="F511" s="4">
        <f t="shared" si="97"/>
        <v>25</v>
      </c>
      <c r="G511">
        <v>95</v>
      </c>
      <c r="H511">
        <v>94</v>
      </c>
      <c r="I511" s="13">
        <f t="shared" si="98"/>
        <v>0.98</v>
      </c>
      <c r="J511">
        <f t="shared" si="91"/>
        <v>1</v>
      </c>
      <c r="K511" s="2">
        <v>2.4305555555555555E-4</v>
      </c>
      <c r="L511" s="11">
        <f t="shared" si="92"/>
        <v>32.9</v>
      </c>
      <c r="M511" s="3">
        <f t="shared" si="99"/>
        <v>0.35</v>
      </c>
      <c r="N511" s="4">
        <f t="shared" si="100"/>
        <v>21</v>
      </c>
      <c r="O511" s="2">
        <v>1.7476851851851852E-3</v>
      </c>
      <c r="P511" s="9">
        <f t="shared" si="93"/>
        <v>236.56666666666666</v>
      </c>
      <c r="Q511" s="3">
        <f t="shared" si="101"/>
        <v>2.5166666666666666</v>
      </c>
      <c r="R511" s="4">
        <f t="shared" si="102"/>
        <v>151</v>
      </c>
      <c r="S511" s="3">
        <f t="shared" si="103"/>
        <v>70</v>
      </c>
      <c r="T511" s="1">
        <v>0.75529999999999997</v>
      </c>
      <c r="U511" s="6">
        <f t="shared" si="94"/>
        <v>70.998199999999997</v>
      </c>
    </row>
    <row r="512" spans="1:21" x14ac:dyDescent="0.35">
      <c r="A512">
        <v>511</v>
      </c>
      <c r="B512" s="5">
        <v>44707</v>
      </c>
      <c r="C512" s="4">
        <f t="shared" si="95"/>
        <v>2022</v>
      </c>
      <c r="D512" s="4">
        <f t="shared" si="96"/>
        <v>5</v>
      </c>
      <c r="E512" s="14">
        <v>44707</v>
      </c>
      <c r="F512" s="4">
        <f t="shared" si="97"/>
        <v>26</v>
      </c>
      <c r="G512">
        <v>136</v>
      </c>
      <c r="H512">
        <v>131</v>
      </c>
      <c r="I512" s="13">
        <f t="shared" si="98"/>
        <v>0.96</v>
      </c>
      <c r="J512">
        <f t="shared" si="91"/>
        <v>5</v>
      </c>
      <c r="K512" s="2">
        <v>1.9675925925925926E-4</v>
      </c>
      <c r="L512" s="11">
        <f t="shared" si="92"/>
        <v>37.116666666666667</v>
      </c>
      <c r="M512" s="3">
        <f t="shared" si="99"/>
        <v>0.28333333333333333</v>
      </c>
      <c r="N512" s="4">
        <f t="shared" si="100"/>
        <v>17</v>
      </c>
      <c r="O512" s="2">
        <v>1.724537037037037E-3</v>
      </c>
      <c r="P512" s="9">
        <f t="shared" si="93"/>
        <v>325.31666666666666</v>
      </c>
      <c r="Q512" s="3">
        <f t="shared" si="101"/>
        <v>2.4833333333333334</v>
      </c>
      <c r="R512" s="4">
        <f t="shared" si="102"/>
        <v>149</v>
      </c>
      <c r="S512" s="3">
        <f t="shared" si="103"/>
        <v>106</v>
      </c>
      <c r="T512" s="1">
        <v>0.81059999999999999</v>
      </c>
      <c r="U512" s="6">
        <f t="shared" si="94"/>
        <v>106.18859999999999</v>
      </c>
    </row>
    <row r="513" spans="1:21" x14ac:dyDescent="0.35">
      <c r="A513">
        <v>512</v>
      </c>
      <c r="B513" s="5">
        <v>44708</v>
      </c>
      <c r="C513" s="4">
        <f t="shared" si="95"/>
        <v>2022</v>
      </c>
      <c r="D513" s="4">
        <f t="shared" si="96"/>
        <v>5</v>
      </c>
      <c r="E513" s="14">
        <v>44708</v>
      </c>
      <c r="F513" s="4">
        <f t="shared" si="97"/>
        <v>27</v>
      </c>
      <c r="G513">
        <v>37</v>
      </c>
      <c r="H513">
        <v>34</v>
      </c>
      <c r="I513" s="13">
        <f t="shared" si="98"/>
        <v>0.91</v>
      </c>
      <c r="J513">
        <f t="shared" si="91"/>
        <v>3</v>
      </c>
      <c r="K513" s="2">
        <v>4.7453703703703704E-4</v>
      </c>
      <c r="L513" s="11">
        <f t="shared" si="92"/>
        <v>23.233333333333334</v>
      </c>
      <c r="M513" s="3">
        <f t="shared" si="99"/>
        <v>0.68333333333333335</v>
      </c>
      <c r="N513" s="4">
        <f t="shared" si="100"/>
        <v>41</v>
      </c>
      <c r="O513" s="2">
        <v>1.5162037037037036E-3</v>
      </c>
      <c r="P513" s="9">
        <f t="shared" si="93"/>
        <v>74.23333333333332</v>
      </c>
      <c r="Q513" s="3">
        <f t="shared" si="101"/>
        <v>2.1833333333333331</v>
      </c>
      <c r="R513" s="4">
        <f t="shared" si="102"/>
        <v>131</v>
      </c>
      <c r="S513" s="3">
        <f t="shared" si="103"/>
        <v>22</v>
      </c>
      <c r="T513" s="1">
        <v>0.64859999999999995</v>
      </c>
      <c r="U513" s="6">
        <f t="shared" si="94"/>
        <v>22.052399999999999</v>
      </c>
    </row>
    <row r="514" spans="1:21" x14ac:dyDescent="0.35">
      <c r="A514">
        <v>513</v>
      </c>
      <c r="B514" s="5">
        <v>44709</v>
      </c>
      <c r="C514" s="4">
        <f t="shared" si="95"/>
        <v>2022</v>
      </c>
      <c r="D514" s="4">
        <f t="shared" si="96"/>
        <v>5</v>
      </c>
      <c r="E514" s="14">
        <v>44709</v>
      </c>
      <c r="F514" s="4">
        <f t="shared" si="97"/>
        <v>28</v>
      </c>
      <c r="G514">
        <v>105</v>
      </c>
      <c r="H514">
        <v>100</v>
      </c>
      <c r="I514" s="13">
        <f t="shared" si="98"/>
        <v>0.95</v>
      </c>
      <c r="J514">
        <f t="shared" ref="J514:J577" si="104">G514-H514</f>
        <v>5</v>
      </c>
      <c r="K514" s="2">
        <v>2.5462962962962961E-4</v>
      </c>
      <c r="L514" s="11">
        <f t="shared" ref="L514:L577" si="105">H514*M514</f>
        <v>36.666666666666664</v>
      </c>
      <c r="M514" s="3">
        <f t="shared" si="99"/>
        <v>0.36666666666666664</v>
      </c>
      <c r="N514" s="4">
        <f t="shared" si="100"/>
        <v>22</v>
      </c>
      <c r="O514" s="2">
        <v>1.736111111111111E-3</v>
      </c>
      <c r="P514" s="9">
        <f t="shared" ref="P514:P577" si="106">Q514*H514</f>
        <v>250</v>
      </c>
      <c r="Q514" s="3">
        <f t="shared" si="101"/>
        <v>2.5</v>
      </c>
      <c r="R514" s="4">
        <f t="shared" si="102"/>
        <v>150</v>
      </c>
      <c r="S514" s="3">
        <f t="shared" si="103"/>
        <v>72</v>
      </c>
      <c r="T514" s="1">
        <v>0.7228</v>
      </c>
      <c r="U514" s="6">
        <f t="shared" ref="U514:U577" si="107">T514*H514</f>
        <v>72.28</v>
      </c>
    </row>
    <row r="515" spans="1:21" x14ac:dyDescent="0.35">
      <c r="A515">
        <v>514</v>
      </c>
      <c r="B515" s="5">
        <v>44710</v>
      </c>
      <c r="C515" s="4">
        <f t="shared" ref="C515:C578" si="108">YEAR(B515)</f>
        <v>2022</v>
      </c>
      <c r="D515" s="4">
        <f t="shared" ref="D515:D578" si="109">MONTH(B515)</f>
        <v>5</v>
      </c>
      <c r="E515" s="14">
        <v>44710</v>
      </c>
      <c r="F515" s="4">
        <f t="shared" ref="F515:F578" si="110">DAY(B515)</f>
        <v>29</v>
      </c>
      <c r="G515">
        <v>100</v>
      </c>
      <c r="H515">
        <v>92</v>
      </c>
      <c r="I515" s="13">
        <f t="shared" ref="I515:I578" si="111">TRUNC(H515/G515,2)</f>
        <v>0.92</v>
      </c>
      <c r="J515">
        <f t="shared" si="104"/>
        <v>8</v>
      </c>
      <c r="K515" s="2">
        <v>3.4722222222222224E-4</v>
      </c>
      <c r="L515" s="11">
        <f t="shared" si="105"/>
        <v>46</v>
      </c>
      <c r="M515" s="3">
        <f t="shared" ref="M515:M578" si="112">MINUTE(K515)+SECOND(K515)/60</f>
        <v>0.5</v>
      </c>
      <c r="N515" s="4">
        <f t="shared" ref="N515:N578" si="113">M515*60</f>
        <v>30</v>
      </c>
      <c r="O515" s="2">
        <v>1.7013888888888888E-3</v>
      </c>
      <c r="P515" s="9">
        <f t="shared" si="106"/>
        <v>225.4</v>
      </c>
      <c r="Q515" s="3">
        <f t="shared" ref="Q515:Q578" si="114">MINUTE(O515)+SECOND(O515)/60</f>
        <v>2.4500000000000002</v>
      </c>
      <c r="R515" s="4">
        <f t="shared" ref="R515:R578" si="115">Q515*60</f>
        <v>147</v>
      </c>
      <c r="S515" s="3">
        <f t="shared" ref="S515:S578" si="116">TRUNC(U515,0)</f>
        <v>58</v>
      </c>
      <c r="T515" s="1">
        <v>0.63270000000000004</v>
      </c>
      <c r="U515" s="6">
        <f t="shared" si="107"/>
        <v>58.208400000000005</v>
      </c>
    </row>
    <row r="516" spans="1:21" x14ac:dyDescent="0.35">
      <c r="A516">
        <v>515</v>
      </c>
      <c r="B516" s="5">
        <v>44711</v>
      </c>
      <c r="C516" s="4">
        <f t="shared" si="108"/>
        <v>2022</v>
      </c>
      <c r="D516" s="4">
        <f t="shared" si="109"/>
        <v>5</v>
      </c>
      <c r="E516" s="14">
        <v>44711</v>
      </c>
      <c r="F516" s="4">
        <f t="shared" si="110"/>
        <v>30</v>
      </c>
      <c r="G516">
        <v>115</v>
      </c>
      <c r="H516">
        <v>103</v>
      </c>
      <c r="I516" s="13">
        <f t="shared" si="111"/>
        <v>0.89</v>
      </c>
      <c r="J516">
        <f t="shared" si="104"/>
        <v>12</v>
      </c>
      <c r="K516" s="2">
        <v>5.0925925925925921E-4</v>
      </c>
      <c r="L516" s="11">
        <f t="shared" si="105"/>
        <v>75.533333333333331</v>
      </c>
      <c r="M516" s="3">
        <f t="shared" si="112"/>
        <v>0.73333333333333328</v>
      </c>
      <c r="N516" s="4">
        <f t="shared" si="113"/>
        <v>44</v>
      </c>
      <c r="O516" s="2">
        <v>1.9212962962962964E-3</v>
      </c>
      <c r="P516" s="9">
        <f t="shared" si="106"/>
        <v>284.96666666666664</v>
      </c>
      <c r="Q516" s="3">
        <f t="shared" si="114"/>
        <v>2.7666666666666666</v>
      </c>
      <c r="R516" s="4">
        <f t="shared" si="115"/>
        <v>166</v>
      </c>
      <c r="S516" s="3">
        <f t="shared" si="116"/>
        <v>38</v>
      </c>
      <c r="T516" s="1">
        <v>0.37169999999999997</v>
      </c>
      <c r="U516" s="6">
        <f t="shared" si="107"/>
        <v>38.2851</v>
      </c>
    </row>
    <row r="517" spans="1:21" x14ac:dyDescent="0.35">
      <c r="A517">
        <v>516</v>
      </c>
      <c r="B517" s="5">
        <v>44712</v>
      </c>
      <c r="C517" s="4">
        <f t="shared" si="108"/>
        <v>2022</v>
      </c>
      <c r="D517" s="4">
        <f t="shared" si="109"/>
        <v>5</v>
      </c>
      <c r="E517" s="14">
        <v>44712</v>
      </c>
      <c r="F517" s="4">
        <f t="shared" si="110"/>
        <v>31</v>
      </c>
      <c r="G517">
        <v>38</v>
      </c>
      <c r="H517">
        <v>36</v>
      </c>
      <c r="I517" s="13">
        <f t="shared" si="111"/>
        <v>0.94</v>
      </c>
      <c r="J517">
        <f t="shared" si="104"/>
        <v>2</v>
      </c>
      <c r="K517" s="2">
        <v>4.5138888888888887E-4</v>
      </c>
      <c r="L517" s="11">
        <f t="shared" si="105"/>
        <v>23.400000000000002</v>
      </c>
      <c r="M517" s="3">
        <f t="shared" si="112"/>
        <v>0.65</v>
      </c>
      <c r="N517" s="4">
        <f t="shared" si="113"/>
        <v>39</v>
      </c>
      <c r="O517" s="2">
        <v>2.0370370370370369E-3</v>
      </c>
      <c r="P517" s="9">
        <f t="shared" si="106"/>
        <v>105.60000000000001</v>
      </c>
      <c r="Q517" s="3">
        <f t="shared" si="114"/>
        <v>2.9333333333333336</v>
      </c>
      <c r="R517" s="4">
        <f t="shared" si="115"/>
        <v>176</v>
      </c>
      <c r="S517" s="3">
        <f t="shared" si="116"/>
        <v>18</v>
      </c>
      <c r="T517" s="1">
        <v>0.52629999999999999</v>
      </c>
      <c r="U517" s="6">
        <f t="shared" si="107"/>
        <v>18.9468</v>
      </c>
    </row>
    <row r="518" spans="1:21" x14ac:dyDescent="0.35">
      <c r="A518">
        <v>517</v>
      </c>
      <c r="B518" s="5">
        <v>44713</v>
      </c>
      <c r="C518" s="4">
        <f t="shared" si="108"/>
        <v>2022</v>
      </c>
      <c r="D518" s="4">
        <f t="shared" si="109"/>
        <v>6</v>
      </c>
      <c r="E518" s="14">
        <v>44713</v>
      </c>
      <c r="F518" s="4">
        <f t="shared" si="110"/>
        <v>1</v>
      </c>
      <c r="G518">
        <v>108</v>
      </c>
      <c r="H518">
        <v>95</v>
      </c>
      <c r="I518" s="13">
        <f t="shared" si="111"/>
        <v>0.87</v>
      </c>
      <c r="J518">
        <f t="shared" si="104"/>
        <v>13</v>
      </c>
      <c r="K518" s="2">
        <v>3.0092592592592595E-4</v>
      </c>
      <c r="L518" s="11">
        <f t="shared" si="105"/>
        <v>41.166666666666671</v>
      </c>
      <c r="M518" s="3">
        <f t="shared" si="112"/>
        <v>0.43333333333333335</v>
      </c>
      <c r="N518" s="4">
        <f t="shared" si="113"/>
        <v>26</v>
      </c>
      <c r="O518" s="2">
        <v>1.9560185185185184E-3</v>
      </c>
      <c r="P518" s="9">
        <f t="shared" si="106"/>
        <v>267.58333333333331</v>
      </c>
      <c r="Q518" s="3">
        <f t="shared" si="114"/>
        <v>2.8166666666666664</v>
      </c>
      <c r="R518" s="4">
        <f t="shared" si="115"/>
        <v>169</v>
      </c>
      <c r="S518" s="3">
        <f t="shared" si="116"/>
        <v>60</v>
      </c>
      <c r="T518" s="1">
        <v>0.6381</v>
      </c>
      <c r="U518" s="6">
        <f t="shared" si="107"/>
        <v>60.619500000000002</v>
      </c>
    </row>
    <row r="519" spans="1:21" x14ac:dyDescent="0.35">
      <c r="A519">
        <v>518</v>
      </c>
      <c r="B519" s="5">
        <v>44714</v>
      </c>
      <c r="C519" s="4">
        <f t="shared" si="108"/>
        <v>2022</v>
      </c>
      <c r="D519" s="4">
        <f t="shared" si="109"/>
        <v>6</v>
      </c>
      <c r="E519" s="14">
        <v>44714</v>
      </c>
      <c r="F519" s="4">
        <f t="shared" si="110"/>
        <v>2</v>
      </c>
      <c r="G519">
        <v>124</v>
      </c>
      <c r="H519">
        <v>118</v>
      </c>
      <c r="I519" s="13">
        <f t="shared" si="111"/>
        <v>0.95</v>
      </c>
      <c r="J519">
        <f t="shared" si="104"/>
        <v>6</v>
      </c>
      <c r="K519" s="2">
        <v>2.6620370370370372E-4</v>
      </c>
      <c r="L519" s="11">
        <f t="shared" si="105"/>
        <v>45.233333333333334</v>
      </c>
      <c r="M519" s="3">
        <f t="shared" si="112"/>
        <v>0.38333333333333336</v>
      </c>
      <c r="N519" s="4">
        <f t="shared" si="113"/>
        <v>23</v>
      </c>
      <c r="O519" s="2">
        <v>1.7476851851851852E-3</v>
      </c>
      <c r="P519" s="9">
        <f t="shared" si="106"/>
        <v>296.96666666666664</v>
      </c>
      <c r="Q519" s="3">
        <f t="shared" si="114"/>
        <v>2.5166666666666666</v>
      </c>
      <c r="R519" s="4">
        <f t="shared" si="115"/>
        <v>151</v>
      </c>
      <c r="S519" s="3">
        <f t="shared" si="116"/>
        <v>87</v>
      </c>
      <c r="T519" s="1">
        <v>0.73770000000000002</v>
      </c>
      <c r="U519" s="6">
        <f t="shared" si="107"/>
        <v>87.048600000000008</v>
      </c>
    </row>
    <row r="520" spans="1:21" x14ac:dyDescent="0.35">
      <c r="A520">
        <v>519</v>
      </c>
      <c r="B520" s="5">
        <v>44715</v>
      </c>
      <c r="C520" s="4">
        <f t="shared" si="108"/>
        <v>2022</v>
      </c>
      <c r="D520" s="4">
        <f t="shared" si="109"/>
        <v>6</v>
      </c>
      <c r="E520" s="14">
        <v>44715</v>
      </c>
      <c r="F520" s="4">
        <f t="shared" si="110"/>
        <v>3</v>
      </c>
      <c r="G520">
        <v>97</v>
      </c>
      <c r="H520">
        <v>92</v>
      </c>
      <c r="I520" s="13">
        <f t="shared" si="111"/>
        <v>0.94</v>
      </c>
      <c r="J520">
        <f t="shared" si="104"/>
        <v>5</v>
      </c>
      <c r="K520" s="2">
        <v>2.8935185185185184E-4</v>
      </c>
      <c r="L520" s="11">
        <f t="shared" si="105"/>
        <v>38.333333333333336</v>
      </c>
      <c r="M520" s="3">
        <f t="shared" si="112"/>
        <v>0.41666666666666669</v>
      </c>
      <c r="N520" s="4">
        <f t="shared" si="113"/>
        <v>25</v>
      </c>
      <c r="O520" s="2">
        <v>1.8055555555555555E-3</v>
      </c>
      <c r="P520" s="9">
        <f t="shared" si="106"/>
        <v>239.20000000000002</v>
      </c>
      <c r="Q520" s="3">
        <f t="shared" si="114"/>
        <v>2.6</v>
      </c>
      <c r="R520" s="4">
        <f t="shared" si="115"/>
        <v>156</v>
      </c>
      <c r="S520" s="3">
        <f t="shared" si="116"/>
        <v>62</v>
      </c>
      <c r="T520" s="1">
        <v>0.67710000000000004</v>
      </c>
      <c r="U520" s="6">
        <f t="shared" si="107"/>
        <v>62.293200000000006</v>
      </c>
    </row>
    <row r="521" spans="1:21" x14ac:dyDescent="0.35">
      <c r="A521">
        <v>520</v>
      </c>
      <c r="B521" s="5">
        <v>44716</v>
      </c>
      <c r="C521" s="4">
        <f t="shared" si="108"/>
        <v>2022</v>
      </c>
      <c r="D521" s="4">
        <f t="shared" si="109"/>
        <v>6</v>
      </c>
      <c r="E521" s="14">
        <v>44716</v>
      </c>
      <c r="F521" s="4">
        <f t="shared" si="110"/>
        <v>4</v>
      </c>
      <c r="G521">
        <v>117</v>
      </c>
      <c r="H521">
        <v>108</v>
      </c>
      <c r="I521" s="13">
        <f t="shared" si="111"/>
        <v>0.92</v>
      </c>
      <c r="J521">
        <f t="shared" si="104"/>
        <v>9</v>
      </c>
      <c r="K521" s="2">
        <v>4.2824074074074075E-4</v>
      </c>
      <c r="L521" s="11">
        <f t="shared" si="105"/>
        <v>66.600000000000009</v>
      </c>
      <c r="M521" s="3">
        <f t="shared" si="112"/>
        <v>0.6166666666666667</v>
      </c>
      <c r="N521" s="4">
        <f t="shared" si="113"/>
        <v>37</v>
      </c>
      <c r="O521" s="2">
        <v>1.2268518518518518E-3</v>
      </c>
      <c r="P521" s="9">
        <f t="shared" si="106"/>
        <v>190.79999999999998</v>
      </c>
      <c r="Q521" s="3">
        <f t="shared" si="114"/>
        <v>1.7666666666666666</v>
      </c>
      <c r="R521" s="4">
        <f t="shared" si="115"/>
        <v>106</v>
      </c>
      <c r="S521" s="3">
        <f t="shared" si="116"/>
        <v>52</v>
      </c>
      <c r="T521" s="1">
        <v>0.48670000000000002</v>
      </c>
      <c r="U521" s="6">
        <f t="shared" si="107"/>
        <v>52.563600000000001</v>
      </c>
    </row>
    <row r="522" spans="1:21" x14ac:dyDescent="0.35">
      <c r="A522">
        <v>521</v>
      </c>
      <c r="B522" s="5">
        <v>44717</v>
      </c>
      <c r="C522" s="4">
        <f t="shared" si="108"/>
        <v>2022</v>
      </c>
      <c r="D522" s="4">
        <f t="shared" si="109"/>
        <v>6</v>
      </c>
      <c r="E522" s="14">
        <v>44717</v>
      </c>
      <c r="F522" s="4">
        <f t="shared" si="110"/>
        <v>5</v>
      </c>
      <c r="G522">
        <v>34</v>
      </c>
      <c r="H522">
        <v>31</v>
      </c>
      <c r="I522" s="13">
        <f t="shared" si="111"/>
        <v>0.91</v>
      </c>
      <c r="J522">
        <f t="shared" si="104"/>
        <v>3</v>
      </c>
      <c r="K522" s="2">
        <v>3.1250000000000001E-4</v>
      </c>
      <c r="L522" s="11">
        <f t="shared" si="105"/>
        <v>13.950000000000001</v>
      </c>
      <c r="M522" s="3">
        <f t="shared" si="112"/>
        <v>0.45</v>
      </c>
      <c r="N522" s="4">
        <f t="shared" si="113"/>
        <v>27</v>
      </c>
      <c r="O522" s="2">
        <v>1.8171296296296297E-3</v>
      </c>
      <c r="P522" s="9">
        <f t="shared" si="106"/>
        <v>81.116666666666674</v>
      </c>
      <c r="Q522" s="3">
        <f t="shared" si="114"/>
        <v>2.6166666666666667</v>
      </c>
      <c r="R522" s="4">
        <f t="shared" si="115"/>
        <v>157</v>
      </c>
      <c r="S522" s="3">
        <f t="shared" si="116"/>
        <v>20</v>
      </c>
      <c r="T522" s="1">
        <v>0.64710000000000001</v>
      </c>
      <c r="U522" s="6">
        <f t="shared" si="107"/>
        <v>20.060099999999998</v>
      </c>
    </row>
    <row r="523" spans="1:21" x14ac:dyDescent="0.35">
      <c r="A523">
        <v>522</v>
      </c>
      <c r="B523" s="5">
        <v>44718</v>
      </c>
      <c r="C523" s="4">
        <f t="shared" si="108"/>
        <v>2022</v>
      </c>
      <c r="D523" s="4">
        <f t="shared" si="109"/>
        <v>6</v>
      </c>
      <c r="E523" s="14">
        <v>44718</v>
      </c>
      <c r="F523" s="4">
        <f t="shared" si="110"/>
        <v>6</v>
      </c>
      <c r="G523">
        <v>53</v>
      </c>
      <c r="H523">
        <v>50</v>
      </c>
      <c r="I523" s="13">
        <f t="shared" si="111"/>
        <v>0.94</v>
      </c>
      <c r="J523">
        <f t="shared" si="104"/>
        <v>3</v>
      </c>
      <c r="K523" s="2">
        <v>3.2407407407407406E-4</v>
      </c>
      <c r="L523" s="11">
        <f t="shared" si="105"/>
        <v>23.333333333333332</v>
      </c>
      <c r="M523" s="3">
        <f t="shared" si="112"/>
        <v>0.46666666666666667</v>
      </c>
      <c r="N523" s="4">
        <f t="shared" si="113"/>
        <v>28</v>
      </c>
      <c r="O523" s="2">
        <v>1.5162037037037036E-3</v>
      </c>
      <c r="P523" s="9">
        <f t="shared" si="106"/>
        <v>109.16666666666666</v>
      </c>
      <c r="Q523" s="3">
        <f t="shared" si="114"/>
        <v>2.1833333333333331</v>
      </c>
      <c r="R523" s="4">
        <f t="shared" si="115"/>
        <v>131</v>
      </c>
      <c r="S523" s="3">
        <f t="shared" si="116"/>
        <v>33</v>
      </c>
      <c r="T523" s="1">
        <v>0.66039999999999999</v>
      </c>
      <c r="U523" s="6">
        <f t="shared" si="107"/>
        <v>33.019999999999996</v>
      </c>
    </row>
    <row r="524" spans="1:21" x14ac:dyDescent="0.35">
      <c r="A524">
        <v>523</v>
      </c>
      <c r="B524" s="5">
        <v>44719</v>
      </c>
      <c r="C524" s="4">
        <f t="shared" si="108"/>
        <v>2022</v>
      </c>
      <c r="D524" s="4">
        <f t="shared" si="109"/>
        <v>6</v>
      </c>
      <c r="E524" s="14">
        <v>44719</v>
      </c>
      <c r="F524" s="4">
        <f t="shared" si="110"/>
        <v>7</v>
      </c>
      <c r="G524">
        <v>29</v>
      </c>
      <c r="H524">
        <v>23</v>
      </c>
      <c r="I524" s="13">
        <f t="shared" si="111"/>
        <v>0.79</v>
      </c>
      <c r="J524">
        <f t="shared" si="104"/>
        <v>6</v>
      </c>
      <c r="K524" s="2">
        <v>4.861111111111111E-4</v>
      </c>
      <c r="L524" s="11">
        <f t="shared" si="105"/>
        <v>16.099999999999998</v>
      </c>
      <c r="M524" s="3">
        <f t="shared" si="112"/>
        <v>0.7</v>
      </c>
      <c r="N524" s="4">
        <f t="shared" si="113"/>
        <v>42</v>
      </c>
      <c r="O524" s="2">
        <v>1.9328703703703704E-3</v>
      </c>
      <c r="P524" s="9">
        <f t="shared" si="106"/>
        <v>64.016666666666666</v>
      </c>
      <c r="Q524" s="3">
        <f t="shared" si="114"/>
        <v>2.7833333333333332</v>
      </c>
      <c r="R524" s="4">
        <f t="shared" si="115"/>
        <v>167</v>
      </c>
      <c r="S524" s="3">
        <f t="shared" si="116"/>
        <v>7</v>
      </c>
      <c r="T524" s="1">
        <v>0.32140000000000002</v>
      </c>
      <c r="U524" s="6">
        <f t="shared" si="107"/>
        <v>7.3922000000000008</v>
      </c>
    </row>
    <row r="525" spans="1:21" x14ac:dyDescent="0.35">
      <c r="A525">
        <v>524</v>
      </c>
      <c r="B525" s="5">
        <v>44720</v>
      </c>
      <c r="C525" s="4">
        <f t="shared" si="108"/>
        <v>2022</v>
      </c>
      <c r="D525" s="4">
        <f t="shared" si="109"/>
        <v>6</v>
      </c>
      <c r="E525" s="14">
        <v>44720</v>
      </c>
      <c r="F525" s="4">
        <f t="shared" si="110"/>
        <v>8</v>
      </c>
      <c r="G525">
        <v>120</v>
      </c>
      <c r="H525">
        <v>107</v>
      </c>
      <c r="I525" s="13">
        <f t="shared" si="111"/>
        <v>0.89</v>
      </c>
      <c r="J525">
        <f t="shared" si="104"/>
        <v>13</v>
      </c>
      <c r="K525" s="2">
        <v>3.9351851851851852E-4</v>
      </c>
      <c r="L525" s="11">
        <f t="shared" si="105"/>
        <v>60.633333333333333</v>
      </c>
      <c r="M525" s="3">
        <f t="shared" si="112"/>
        <v>0.56666666666666665</v>
      </c>
      <c r="N525" s="4">
        <f t="shared" si="113"/>
        <v>34</v>
      </c>
      <c r="O525" s="2">
        <v>1.8402777777777777E-3</v>
      </c>
      <c r="P525" s="9">
        <f t="shared" si="106"/>
        <v>283.55</v>
      </c>
      <c r="Q525" s="3">
        <f t="shared" si="114"/>
        <v>2.65</v>
      </c>
      <c r="R525" s="4">
        <f t="shared" si="115"/>
        <v>159</v>
      </c>
      <c r="S525" s="3">
        <f t="shared" si="116"/>
        <v>47</v>
      </c>
      <c r="T525" s="1">
        <v>0.44069999999999998</v>
      </c>
      <c r="U525" s="6">
        <f t="shared" si="107"/>
        <v>47.154899999999998</v>
      </c>
    </row>
    <row r="526" spans="1:21" x14ac:dyDescent="0.35">
      <c r="A526">
        <v>525</v>
      </c>
      <c r="B526" s="5">
        <v>44721</v>
      </c>
      <c r="C526" s="4">
        <f t="shared" si="108"/>
        <v>2022</v>
      </c>
      <c r="D526" s="4">
        <f t="shared" si="109"/>
        <v>6</v>
      </c>
      <c r="E526" s="14">
        <v>44721</v>
      </c>
      <c r="F526" s="4">
        <f t="shared" si="110"/>
        <v>9</v>
      </c>
      <c r="G526">
        <v>107</v>
      </c>
      <c r="H526">
        <v>100</v>
      </c>
      <c r="I526" s="13">
        <f t="shared" si="111"/>
        <v>0.93</v>
      </c>
      <c r="J526">
        <f t="shared" si="104"/>
        <v>7</v>
      </c>
      <c r="K526" s="2">
        <v>3.8194444444444446E-4</v>
      </c>
      <c r="L526" s="11">
        <f t="shared" si="105"/>
        <v>55.000000000000007</v>
      </c>
      <c r="M526" s="3">
        <f t="shared" si="112"/>
        <v>0.55000000000000004</v>
      </c>
      <c r="N526" s="4">
        <f t="shared" si="113"/>
        <v>33</v>
      </c>
      <c r="O526" s="2">
        <v>1.7708333333333332E-3</v>
      </c>
      <c r="P526" s="9">
        <f t="shared" si="106"/>
        <v>254.99999999999997</v>
      </c>
      <c r="Q526" s="3">
        <f t="shared" si="114"/>
        <v>2.5499999999999998</v>
      </c>
      <c r="R526" s="4">
        <f t="shared" si="115"/>
        <v>153</v>
      </c>
      <c r="S526" s="3">
        <f t="shared" si="116"/>
        <v>51</v>
      </c>
      <c r="T526" s="1">
        <v>0.51429999999999998</v>
      </c>
      <c r="U526" s="6">
        <f t="shared" si="107"/>
        <v>51.43</v>
      </c>
    </row>
    <row r="527" spans="1:21" x14ac:dyDescent="0.35">
      <c r="A527">
        <v>526</v>
      </c>
      <c r="B527" s="5">
        <v>44722</v>
      </c>
      <c r="C527" s="4">
        <f t="shared" si="108"/>
        <v>2022</v>
      </c>
      <c r="D527" s="4">
        <f t="shared" si="109"/>
        <v>6</v>
      </c>
      <c r="E527" s="14">
        <v>44722</v>
      </c>
      <c r="F527" s="4">
        <f t="shared" si="110"/>
        <v>10</v>
      </c>
      <c r="G527">
        <v>173</v>
      </c>
      <c r="H527">
        <v>159</v>
      </c>
      <c r="I527" s="13">
        <f t="shared" si="111"/>
        <v>0.91</v>
      </c>
      <c r="J527">
        <f t="shared" si="104"/>
        <v>14</v>
      </c>
      <c r="K527" s="2">
        <v>5.4398148148148144E-4</v>
      </c>
      <c r="L527" s="11">
        <f t="shared" si="105"/>
        <v>124.55</v>
      </c>
      <c r="M527" s="3">
        <f t="shared" si="112"/>
        <v>0.78333333333333333</v>
      </c>
      <c r="N527" s="4">
        <f t="shared" si="113"/>
        <v>47</v>
      </c>
      <c r="O527" s="2">
        <v>1.8981481481481482E-3</v>
      </c>
      <c r="P527" s="9">
        <f t="shared" si="106"/>
        <v>434.6</v>
      </c>
      <c r="Q527" s="3">
        <f t="shared" si="114"/>
        <v>2.7333333333333334</v>
      </c>
      <c r="R527" s="4">
        <f t="shared" si="115"/>
        <v>164</v>
      </c>
      <c r="S527" s="3">
        <f t="shared" si="116"/>
        <v>62</v>
      </c>
      <c r="T527" s="1">
        <v>0.39410000000000001</v>
      </c>
      <c r="U527" s="6">
        <f t="shared" si="107"/>
        <v>62.661900000000003</v>
      </c>
    </row>
    <row r="528" spans="1:21" x14ac:dyDescent="0.35">
      <c r="A528">
        <v>527</v>
      </c>
      <c r="B528" s="5">
        <v>44723</v>
      </c>
      <c r="C528" s="4">
        <f t="shared" si="108"/>
        <v>2022</v>
      </c>
      <c r="D528" s="4">
        <f t="shared" si="109"/>
        <v>6</v>
      </c>
      <c r="E528" s="14">
        <v>44723</v>
      </c>
      <c r="F528" s="4">
        <f t="shared" si="110"/>
        <v>11</v>
      </c>
      <c r="G528">
        <v>256</v>
      </c>
      <c r="H528">
        <v>213</v>
      </c>
      <c r="I528" s="13">
        <f t="shared" si="111"/>
        <v>0.83</v>
      </c>
      <c r="J528">
        <f t="shared" si="104"/>
        <v>43</v>
      </c>
      <c r="K528" s="2">
        <v>5.0925925925925921E-4</v>
      </c>
      <c r="L528" s="11">
        <f t="shared" si="105"/>
        <v>156.19999999999999</v>
      </c>
      <c r="M528" s="3">
        <f t="shared" si="112"/>
        <v>0.73333333333333328</v>
      </c>
      <c r="N528" s="4">
        <f t="shared" si="113"/>
        <v>44</v>
      </c>
      <c r="O528" s="2">
        <v>1.9097222222222222E-3</v>
      </c>
      <c r="P528" s="9">
        <f t="shared" si="106"/>
        <v>585.75</v>
      </c>
      <c r="Q528" s="3">
        <f t="shared" si="114"/>
        <v>2.75</v>
      </c>
      <c r="R528" s="4">
        <f t="shared" si="115"/>
        <v>165</v>
      </c>
      <c r="S528" s="3">
        <f t="shared" si="116"/>
        <v>88</v>
      </c>
      <c r="T528" s="1">
        <v>0.41699999999999998</v>
      </c>
      <c r="U528" s="6">
        <f t="shared" si="107"/>
        <v>88.820999999999998</v>
      </c>
    </row>
    <row r="529" spans="1:21" x14ac:dyDescent="0.35">
      <c r="A529">
        <v>528</v>
      </c>
      <c r="B529" s="5">
        <v>44724</v>
      </c>
      <c r="C529" s="4">
        <f t="shared" si="108"/>
        <v>2022</v>
      </c>
      <c r="D529" s="4">
        <f t="shared" si="109"/>
        <v>6</v>
      </c>
      <c r="E529" s="14">
        <v>44724</v>
      </c>
      <c r="F529" s="4">
        <f t="shared" si="110"/>
        <v>12</v>
      </c>
      <c r="G529">
        <v>199</v>
      </c>
      <c r="H529">
        <v>174</v>
      </c>
      <c r="I529" s="13">
        <f t="shared" si="111"/>
        <v>0.87</v>
      </c>
      <c r="J529">
        <f t="shared" si="104"/>
        <v>25</v>
      </c>
      <c r="K529" s="2">
        <v>4.1666666666666669E-4</v>
      </c>
      <c r="L529" s="11">
        <f t="shared" si="105"/>
        <v>104.39999999999999</v>
      </c>
      <c r="M529" s="3">
        <f t="shared" si="112"/>
        <v>0.6</v>
      </c>
      <c r="N529" s="4">
        <f t="shared" si="113"/>
        <v>36</v>
      </c>
      <c r="O529" s="2">
        <v>1.7939814814814815E-3</v>
      </c>
      <c r="P529" s="9">
        <f t="shared" si="106"/>
        <v>449.5</v>
      </c>
      <c r="Q529" s="3">
        <f t="shared" si="114"/>
        <v>2.5833333333333335</v>
      </c>
      <c r="R529" s="4">
        <f t="shared" si="115"/>
        <v>155</v>
      </c>
      <c r="S529" s="3">
        <f t="shared" si="116"/>
        <v>92</v>
      </c>
      <c r="T529" s="1">
        <v>0.53059999999999996</v>
      </c>
      <c r="U529" s="6">
        <f t="shared" si="107"/>
        <v>92.324399999999997</v>
      </c>
    </row>
    <row r="530" spans="1:21" x14ac:dyDescent="0.35">
      <c r="A530">
        <v>529</v>
      </c>
      <c r="B530" s="5">
        <v>44725</v>
      </c>
      <c r="C530" s="4">
        <f t="shared" si="108"/>
        <v>2022</v>
      </c>
      <c r="D530" s="4">
        <f t="shared" si="109"/>
        <v>6</v>
      </c>
      <c r="E530" s="14">
        <v>44725</v>
      </c>
      <c r="F530" s="4">
        <f t="shared" si="110"/>
        <v>13</v>
      </c>
      <c r="G530">
        <v>182</v>
      </c>
      <c r="H530">
        <v>170</v>
      </c>
      <c r="I530" s="13">
        <f t="shared" si="111"/>
        <v>0.93</v>
      </c>
      <c r="J530">
        <f t="shared" si="104"/>
        <v>12</v>
      </c>
      <c r="K530" s="2">
        <v>4.6296296296296298E-4</v>
      </c>
      <c r="L530" s="11">
        <f t="shared" si="105"/>
        <v>113.33333333333333</v>
      </c>
      <c r="M530" s="3">
        <f t="shared" si="112"/>
        <v>0.66666666666666663</v>
      </c>
      <c r="N530" s="4">
        <f t="shared" si="113"/>
        <v>40</v>
      </c>
      <c r="O530" s="2">
        <v>1.8981481481481482E-3</v>
      </c>
      <c r="P530" s="9">
        <f t="shared" si="106"/>
        <v>464.66666666666669</v>
      </c>
      <c r="Q530" s="3">
        <f t="shared" si="114"/>
        <v>2.7333333333333334</v>
      </c>
      <c r="R530" s="4">
        <f t="shared" si="115"/>
        <v>164</v>
      </c>
      <c r="S530" s="3">
        <f t="shared" si="116"/>
        <v>77</v>
      </c>
      <c r="T530" s="1">
        <v>0.45810000000000001</v>
      </c>
      <c r="U530" s="6">
        <f t="shared" si="107"/>
        <v>77.876999999999995</v>
      </c>
    </row>
    <row r="531" spans="1:21" x14ac:dyDescent="0.35">
      <c r="A531">
        <v>530</v>
      </c>
      <c r="B531" s="5">
        <v>44726</v>
      </c>
      <c r="C531" s="4">
        <f t="shared" si="108"/>
        <v>2022</v>
      </c>
      <c r="D531" s="4">
        <f t="shared" si="109"/>
        <v>6</v>
      </c>
      <c r="E531" s="14">
        <v>44726</v>
      </c>
      <c r="F531" s="4">
        <f t="shared" si="110"/>
        <v>14</v>
      </c>
      <c r="G531">
        <v>42</v>
      </c>
      <c r="H531">
        <v>41</v>
      </c>
      <c r="I531" s="13">
        <f t="shared" si="111"/>
        <v>0.97</v>
      </c>
      <c r="J531">
        <f t="shared" si="104"/>
        <v>1</v>
      </c>
      <c r="K531" s="2">
        <v>4.861111111111111E-4</v>
      </c>
      <c r="L531" s="11">
        <f t="shared" si="105"/>
        <v>28.7</v>
      </c>
      <c r="M531" s="3">
        <f t="shared" si="112"/>
        <v>0.7</v>
      </c>
      <c r="N531" s="4">
        <f t="shared" si="113"/>
        <v>42</v>
      </c>
      <c r="O531" s="2">
        <v>2.0023148148148148E-3</v>
      </c>
      <c r="P531" s="9">
        <f t="shared" si="106"/>
        <v>118.21666666666667</v>
      </c>
      <c r="Q531" s="3">
        <f t="shared" si="114"/>
        <v>2.8833333333333333</v>
      </c>
      <c r="R531" s="4">
        <f t="shared" si="115"/>
        <v>173</v>
      </c>
      <c r="S531" s="3">
        <f t="shared" si="116"/>
        <v>23</v>
      </c>
      <c r="T531" s="1">
        <v>0.56100000000000005</v>
      </c>
      <c r="U531" s="6">
        <f t="shared" si="107"/>
        <v>23.001000000000001</v>
      </c>
    </row>
    <row r="532" spans="1:21" x14ac:dyDescent="0.35">
      <c r="A532">
        <v>531</v>
      </c>
      <c r="B532" s="5">
        <v>44727</v>
      </c>
      <c r="C532" s="4">
        <f t="shared" si="108"/>
        <v>2022</v>
      </c>
      <c r="D532" s="4">
        <f t="shared" si="109"/>
        <v>6</v>
      </c>
      <c r="E532" s="14">
        <v>44727</v>
      </c>
      <c r="F532" s="4">
        <f t="shared" si="110"/>
        <v>15</v>
      </c>
      <c r="G532">
        <v>181</v>
      </c>
      <c r="H532">
        <v>168</v>
      </c>
      <c r="I532" s="13">
        <f t="shared" si="111"/>
        <v>0.92</v>
      </c>
      <c r="J532">
        <f t="shared" si="104"/>
        <v>13</v>
      </c>
      <c r="K532" s="2">
        <v>3.9351851851851852E-4</v>
      </c>
      <c r="L532" s="11">
        <f t="shared" si="105"/>
        <v>95.2</v>
      </c>
      <c r="M532" s="3">
        <f t="shared" si="112"/>
        <v>0.56666666666666665</v>
      </c>
      <c r="N532" s="4">
        <f t="shared" si="113"/>
        <v>34</v>
      </c>
      <c r="O532" s="2">
        <v>1.7939814814814815E-3</v>
      </c>
      <c r="P532" s="9">
        <f t="shared" si="106"/>
        <v>434</v>
      </c>
      <c r="Q532" s="3">
        <f t="shared" si="114"/>
        <v>2.5833333333333335</v>
      </c>
      <c r="R532" s="4">
        <f t="shared" si="115"/>
        <v>155</v>
      </c>
      <c r="S532" s="3">
        <f t="shared" si="116"/>
        <v>86</v>
      </c>
      <c r="T532" s="1">
        <v>0.51690000000000003</v>
      </c>
      <c r="U532" s="6">
        <f t="shared" si="107"/>
        <v>86.839200000000005</v>
      </c>
    </row>
    <row r="533" spans="1:21" x14ac:dyDescent="0.35">
      <c r="A533">
        <v>532</v>
      </c>
      <c r="B533" s="5">
        <v>44728</v>
      </c>
      <c r="C533" s="4">
        <f t="shared" si="108"/>
        <v>2022</v>
      </c>
      <c r="D533" s="4">
        <f t="shared" si="109"/>
        <v>6</v>
      </c>
      <c r="E533" s="14">
        <v>44728</v>
      </c>
      <c r="F533" s="4">
        <f t="shared" si="110"/>
        <v>16</v>
      </c>
      <c r="G533">
        <v>159</v>
      </c>
      <c r="H533">
        <v>147</v>
      </c>
      <c r="I533" s="13">
        <f t="shared" si="111"/>
        <v>0.92</v>
      </c>
      <c r="J533">
        <f t="shared" si="104"/>
        <v>12</v>
      </c>
      <c r="K533" s="2">
        <v>3.4722222222222224E-4</v>
      </c>
      <c r="L533" s="11">
        <f t="shared" si="105"/>
        <v>73.5</v>
      </c>
      <c r="M533" s="3">
        <f t="shared" si="112"/>
        <v>0.5</v>
      </c>
      <c r="N533" s="4">
        <f t="shared" si="113"/>
        <v>30</v>
      </c>
      <c r="O533" s="2">
        <v>1.8055555555555555E-3</v>
      </c>
      <c r="P533" s="9">
        <f t="shared" si="106"/>
        <v>382.2</v>
      </c>
      <c r="Q533" s="3">
        <f t="shared" si="114"/>
        <v>2.6</v>
      </c>
      <c r="R533" s="4">
        <f t="shared" si="115"/>
        <v>156</v>
      </c>
      <c r="S533" s="3">
        <f t="shared" si="116"/>
        <v>86</v>
      </c>
      <c r="T533" s="1">
        <v>0.58709999999999996</v>
      </c>
      <c r="U533" s="6">
        <f t="shared" si="107"/>
        <v>86.303699999999992</v>
      </c>
    </row>
    <row r="534" spans="1:21" x14ac:dyDescent="0.35">
      <c r="A534">
        <v>533</v>
      </c>
      <c r="B534" s="5">
        <v>44729</v>
      </c>
      <c r="C534" s="4">
        <f t="shared" si="108"/>
        <v>2022</v>
      </c>
      <c r="D534" s="4">
        <f t="shared" si="109"/>
        <v>6</v>
      </c>
      <c r="E534" s="14">
        <v>44729</v>
      </c>
      <c r="F534" s="4">
        <f t="shared" si="110"/>
        <v>17</v>
      </c>
      <c r="G534">
        <v>142</v>
      </c>
      <c r="H534">
        <v>134</v>
      </c>
      <c r="I534" s="13">
        <f t="shared" si="111"/>
        <v>0.94</v>
      </c>
      <c r="J534">
        <f t="shared" si="104"/>
        <v>8</v>
      </c>
      <c r="K534" s="2">
        <v>3.0092592592592595E-4</v>
      </c>
      <c r="L534" s="11">
        <f t="shared" si="105"/>
        <v>58.06666666666667</v>
      </c>
      <c r="M534" s="3">
        <f t="shared" si="112"/>
        <v>0.43333333333333335</v>
      </c>
      <c r="N534" s="4">
        <f t="shared" si="113"/>
        <v>26</v>
      </c>
      <c r="O534" s="2">
        <v>1.9675925925925924E-3</v>
      </c>
      <c r="P534" s="9">
        <f t="shared" si="106"/>
        <v>379.66666666666669</v>
      </c>
      <c r="Q534" s="3">
        <f t="shared" si="114"/>
        <v>2.8333333333333335</v>
      </c>
      <c r="R534" s="4">
        <f t="shared" si="115"/>
        <v>170</v>
      </c>
      <c r="S534" s="3">
        <f t="shared" si="116"/>
        <v>82</v>
      </c>
      <c r="T534" s="1">
        <v>0.61870000000000003</v>
      </c>
      <c r="U534" s="6">
        <f t="shared" si="107"/>
        <v>82.905799999999999</v>
      </c>
    </row>
    <row r="535" spans="1:21" x14ac:dyDescent="0.35">
      <c r="A535">
        <v>534</v>
      </c>
      <c r="B535" s="5">
        <v>44730</v>
      </c>
      <c r="C535" s="4">
        <f t="shared" si="108"/>
        <v>2022</v>
      </c>
      <c r="D535" s="4">
        <f t="shared" si="109"/>
        <v>6</v>
      </c>
      <c r="E535" s="14">
        <v>44730</v>
      </c>
      <c r="F535" s="4">
        <f t="shared" si="110"/>
        <v>18</v>
      </c>
      <c r="G535">
        <v>194</v>
      </c>
      <c r="H535">
        <v>163</v>
      </c>
      <c r="I535" s="13">
        <f t="shared" si="111"/>
        <v>0.84</v>
      </c>
      <c r="J535">
        <f t="shared" si="104"/>
        <v>31</v>
      </c>
      <c r="K535" s="2">
        <v>3.4722222222222224E-4</v>
      </c>
      <c r="L535" s="11">
        <f t="shared" si="105"/>
        <v>81.5</v>
      </c>
      <c r="M535" s="3">
        <f t="shared" si="112"/>
        <v>0.5</v>
      </c>
      <c r="N535" s="4">
        <f t="shared" si="113"/>
        <v>30</v>
      </c>
      <c r="O535" s="2">
        <v>1.8287037037037037E-3</v>
      </c>
      <c r="P535" s="9">
        <f t="shared" si="106"/>
        <v>429.23333333333335</v>
      </c>
      <c r="Q535" s="3">
        <f t="shared" si="114"/>
        <v>2.6333333333333333</v>
      </c>
      <c r="R535" s="4">
        <f t="shared" si="115"/>
        <v>158</v>
      </c>
      <c r="S535" s="3">
        <f t="shared" si="116"/>
        <v>83</v>
      </c>
      <c r="T535" s="1">
        <v>0.51039999999999996</v>
      </c>
      <c r="U535" s="6">
        <f t="shared" si="107"/>
        <v>83.1952</v>
      </c>
    </row>
    <row r="536" spans="1:21" x14ac:dyDescent="0.35">
      <c r="A536">
        <v>535</v>
      </c>
      <c r="B536" s="5">
        <v>44731</v>
      </c>
      <c r="C536" s="4">
        <f t="shared" si="108"/>
        <v>2022</v>
      </c>
      <c r="D536" s="4">
        <f t="shared" si="109"/>
        <v>6</v>
      </c>
      <c r="E536" s="14">
        <v>44731</v>
      </c>
      <c r="F536" s="4">
        <f t="shared" si="110"/>
        <v>19</v>
      </c>
      <c r="G536">
        <v>235</v>
      </c>
      <c r="H536">
        <v>210</v>
      </c>
      <c r="I536" s="13">
        <f t="shared" si="111"/>
        <v>0.89</v>
      </c>
      <c r="J536">
        <f t="shared" si="104"/>
        <v>25</v>
      </c>
      <c r="K536" s="2">
        <v>4.3981481481481481E-4</v>
      </c>
      <c r="L536" s="11">
        <f t="shared" si="105"/>
        <v>133</v>
      </c>
      <c r="M536" s="3">
        <f t="shared" si="112"/>
        <v>0.6333333333333333</v>
      </c>
      <c r="N536" s="4">
        <f t="shared" si="113"/>
        <v>38</v>
      </c>
      <c r="O536" s="2">
        <v>2.0023148148148148E-3</v>
      </c>
      <c r="P536" s="9">
        <f t="shared" si="106"/>
        <v>605.5</v>
      </c>
      <c r="Q536" s="3">
        <f t="shared" si="114"/>
        <v>2.8833333333333333</v>
      </c>
      <c r="R536" s="4">
        <f t="shared" si="115"/>
        <v>173</v>
      </c>
      <c r="S536" s="3">
        <f t="shared" si="116"/>
        <v>102</v>
      </c>
      <c r="T536" s="1">
        <v>0.48899999999999999</v>
      </c>
      <c r="U536" s="6">
        <f t="shared" si="107"/>
        <v>102.69</v>
      </c>
    </row>
    <row r="537" spans="1:21" x14ac:dyDescent="0.35">
      <c r="A537">
        <v>536</v>
      </c>
      <c r="B537" s="5">
        <v>44732</v>
      </c>
      <c r="C537" s="4">
        <f t="shared" si="108"/>
        <v>2022</v>
      </c>
      <c r="D537" s="4">
        <f t="shared" si="109"/>
        <v>6</v>
      </c>
      <c r="E537" s="14">
        <v>44732</v>
      </c>
      <c r="F537" s="4">
        <f t="shared" si="110"/>
        <v>20</v>
      </c>
      <c r="G537">
        <v>206</v>
      </c>
      <c r="H537">
        <v>180</v>
      </c>
      <c r="I537" s="13">
        <f t="shared" si="111"/>
        <v>0.87</v>
      </c>
      <c r="J537">
        <f t="shared" si="104"/>
        <v>26</v>
      </c>
      <c r="K537" s="2">
        <v>5.9027777777777778E-4</v>
      </c>
      <c r="L537" s="11">
        <f t="shared" si="105"/>
        <v>153</v>
      </c>
      <c r="M537" s="3">
        <f t="shared" si="112"/>
        <v>0.85</v>
      </c>
      <c r="N537" s="4">
        <f t="shared" si="113"/>
        <v>51</v>
      </c>
      <c r="O537" s="2">
        <v>1.9328703703703704E-3</v>
      </c>
      <c r="P537" s="9">
        <f t="shared" si="106"/>
        <v>501</v>
      </c>
      <c r="Q537" s="3">
        <f t="shared" si="114"/>
        <v>2.7833333333333332</v>
      </c>
      <c r="R537" s="4">
        <f t="shared" si="115"/>
        <v>167</v>
      </c>
      <c r="S537" s="3">
        <f t="shared" si="116"/>
        <v>69</v>
      </c>
      <c r="T537" s="1">
        <v>0.3861</v>
      </c>
      <c r="U537" s="6">
        <f t="shared" si="107"/>
        <v>69.498000000000005</v>
      </c>
    </row>
    <row r="538" spans="1:21" x14ac:dyDescent="0.35">
      <c r="A538">
        <v>537</v>
      </c>
      <c r="B538" s="5">
        <v>44733</v>
      </c>
      <c r="C538" s="4">
        <f t="shared" si="108"/>
        <v>2022</v>
      </c>
      <c r="D538" s="4">
        <f t="shared" si="109"/>
        <v>6</v>
      </c>
      <c r="E538" s="14">
        <v>44733</v>
      </c>
      <c r="F538" s="4">
        <f t="shared" si="110"/>
        <v>21</v>
      </c>
      <c r="G538">
        <v>58</v>
      </c>
      <c r="H538">
        <v>47</v>
      </c>
      <c r="I538" s="13">
        <f t="shared" si="111"/>
        <v>0.81</v>
      </c>
      <c r="J538">
        <f t="shared" si="104"/>
        <v>11</v>
      </c>
      <c r="K538" s="2">
        <v>5.5555555555555556E-4</v>
      </c>
      <c r="L538" s="11">
        <f t="shared" si="105"/>
        <v>37.6</v>
      </c>
      <c r="M538" s="3">
        <f t="shared" si="112"/>
        <v>0.8</v>
      </c>
      <c r="N538" s="4">
        <f t="shared" si="113"/>
        <v>48</v>
      </c>
      <c r="O538" s="2">
        <v>1.8055555555555555E-3</v>
      </c>
      <c r="P538" s="9">
        <f t="shared" si="106"/>
        <v>122.2</v>
      </c>
      <c r="Q538" s="3">
        <f t="shared" si="114"/>
        <v>2.6</v>
      </c>
      <c r="R538" s="4">
        <f t="shared" si="115"/>
        <v>156</v>
      </c>
      <c r="S538" s="3">
        <f t="shared" si="116"/>
        <v>19</v>
      </c>
      <c r="T538" s="1">
        <v>0.42109999999999997</v>
      </c>
      <c r="U538" s="6">
        <f t="shared" si="107"/>
        <v>19.791699999999999</v>
      </c>
    </row>
    <row r="539" spans="1:21" x14ac:dyDescent="0.35">
      <c r="A539">
        <v>538</v>
      </c>
      <c r="B539" s="5">
        <v>44734</v>
      </c>
      <c r="C539" s="4">
        <f t="shared" si="108"/>
        <v>2022</v>
      </c>
      <c r="D539" s="4">
        <f t="shared" si="109"/>
        <v>6</v>
      </c>
      <c r="E539" s="14">
        <v>44734</v>
      </c>
      <c r="F539" s="4">
        <f t="shared" si="110"/>
        <v>22</v>
      </c>
      <c r="G539">
        <v>212</v>
      </c>
      <c r="H539">
        <v>194</v>
      </c>
      <c r="I539" s="13">
        <f t="shared" si="111"/>
        <v>0.91</v>
      </c>
      <c r="J539">
        <f t="shared" si="104"/>
        <v>18</v>
      </c>
      <c r="K539" s="2">
        <v>4.3981481481481481E-4</v>
      </c>
      <c r="L539" s="11">
        <f t="shared" si="105"/>
        <v>122.86666666666666</v>
      </c>
      <c r="M539" s="3">
        <f t="shared" si="112"/>
        <v>0.6333333333333333</v>
      </c>
      <c r="N539" s="4">
        <f t="shared" si="113"/>
        <v>38</v>
      </c>
      <c r="O539" s="2">
        <v>1.7708333333333332E-3</v>
      </c>
      <c r="P539" s="9">
        <f t="shared" si="106"/>
        <v>494.7</v>
      </c>
      <c r="Q539" s="3">
        <f t="shared" si="114"/>
        <v>2.5499999999999998</v>
      </c>
      <c r="R539" s="4">
        <f t="shared" si="115"/>
        <v>153</v>
      </c>
      <c r="S539" s="3">
        <f t="shared" si="116"/>
        <v>99</v>
      </c>
      <c r="T539" s="1">
        <v>0.51200000000000001</v>
      </c>
      <c r="U539" s="6">
        <f t="shared" si="107"/>
        <v>99.328000000000003</v>
      </c>
    </row>
    <row r="540" spans="1:21" x14ac:dyDescent="0.35">
      <c r="A540">
        <v>539</v>
      </c>
      <c r="B540" s="5">
        <v>44735</v>
      </c>
      <c r="C540" s="4">
        <f t="shared" si="108"/>
        <v>2022</v>
      </c>
      <c r="D540" s="4">
        <f t="shared" si="109"/>
        <v>6</v>
      </c>
      <c r="E540" s="14">
        <v>44735</v>
      </c>
      <c r="F540" s="4">
        <f t="shared" si="110"/>
        <v>23</v>
      </c>
      <c r="G540">
        <v>232</v>
      </c>
      <c r="H540">
        <v>214</v>
      </c>
      <c r="I540" s="13">
        <f t="shared" si="111"/>
        <v>0.92</v>
      </c>
      <c r="J540">
        <f t="shared" si="104"/>
        <v>18</v>
      </c>
      <c r="K540" s="2">
        <v>3.9351851851851852E-4</v>
      </c>
      <c r="L540" s="11">
        <f t="shared" si="105"/>
        <v>121.26666666666667</v>
      </c>
      <c r="M540" s="3">
        <f t="shared" si="112"/>
        <v>0.56666666666666665</v>
      </c>
      <c r="N540" s="4">
        <f t="shared" si="113"/>
        <v>34</v>
      </c>
      <c r="O540" s="2">
        <v>1.8055555555555555E-3</v>
      </c>
      <c r="P540" s="9">
        <f t="shared" si="106"/>
        <v>556.4</v>
      </c>
      <c r="Q540" s="3">
        <f t="shared" si="114"/>
        <v>2.6</v>
      </c>
      <c r="R540" s="4">
        <f t="shared" si="115"/>
        <v>156</v>
      </c>
      <c r="S540" s="3">
        <f t="shared" si="116"/>
        <v>119</v>
      </c>
      <c r="T540" s="1">
        <v>0.55900000000000005</v>
      </c>
      <c r="U540" s="6">
        <f t="shared" si="107"/>
        <v>119.626</v>
      </c>
    </row>
    <row r="541" spans="1:21" x14ac:dyDescent="0.35">
      <c r="A541">
        <v>540</v>
      </c>
      <c r="B541" s="5">
        <v>44736</v>
      </c>
      <c r="C541" s="4">
        <f t="shared" si="108"/>
        <v>2022</v>
      </c>
      <c r="D541" s="4">
        <f t="shared" si="109"/>
        <v>6</v>
      </c>
      <c r="E541" s="14">
        <v>44736</v>
      </c>
      <c r="F541" s="4">
        <f t="shared" si="110"/>
        <v>24</v>
      </c>
      <c r="G541">
        <v>348</v>
      </c>
      <c r="H541">
        <v>327</v>
      </c>
      <c r="I541" s="13">
        <f t="shared" si="111"/>
        <v>0.93</v>
      </c>
      <c r="J541">
        <f t="shared" si="104"/>
        <v>21</v>
      </c>
      <c r="K541" s="2">
        <v>3.7037037037037035E-4</v>
      </c>
      <c r="L541" s="11">
        <f t="shared" si="105"/>
        <v>174.4</v>
      </c>
      <c r="M541" s="3">
        <f t="shared" si="112"/>
        <v>0.53333333333333333</v>
      </c>
      <c r="N541" s="4">
        <f t="shared" si="113"/>
        <v>32</v>
      </c>
      <c r="O541" s="2">
        <v>1.712962962962963E-3</v>
      </c>
      <c r="P541" s="9">
        <f t="shared" si="106"/>
        <v>806.6</v>
      </c>
      <c r="Q541" s="3">
        <f t="shared" si="114"/>
        <v>2.4666666666666668</v>
      </c>
      <c r="R541" s="4">
        <f t="shared" si="115"/>
        <v>148</v>
      </c>
      <c r="S541" s="3">
        <f t="shared" si="116"/>
        <v>178</v>
      </c>
      <c r="T541" s="1">
        <v>0.54620000000000002</v>
      </c>
      <c r="U541" s="6">
        <f t="shared" si="107"/>
        <v>178.60740000000001</v>
      </c>
    </row>
    <row r="542" spans="1:21" x14ac:dyDescent="0.35">
      <c r="A542">
        <v>541</v>
      </c>
      <c r="B542" s="5">
        <v>44737</v>
      </c>
      <c r="C542" s="4">
        <f t="shared" si="108"/>
        <v>2022</v>
      </c>
      <c r="D542" s="4">
        <f t="shared" si="109"/>
        <v>6</v>
      </c>
      <c r="E542" s="14">
        <v>44737</v>
      </c>
      <c r="F542" s="4">
        <f t="shared" si="110"/>
        <v>25</v>
      </c>
      <c r="G542">
        <v>167</v>
      </c>
      <c r="H542">
        <v>156</v>
      </c>
      <c r="I542" s="13">
        <f t="shared" si="111"/>
        <v>0.93</v>
      </c>
      <c r="J542">
        <f t="shared" si="104"/>
        <v>11</v>
      </c>
      <c r="K542" s="2">
        <v>3.7037037037037035E-4</v>
      </c>
      <c r="L542" s="11">
        <f t="shared" si="105"/>
        <v>83.2</v>
      </c>
      <c r="M542" s="3">
        <f t="shared" si="112"/>
        <v>0.53333333333333333</v>
      </c>
      <c r="N542" s="4">
        <f t="shared" si="113"/>
        <v>32</v>
      </c>
      <c r="O542" s="2">
        <v>1.8865740740740742E-3</v>
      </c>
      <c r="P542" s="9">
        <f t="shared" si="106"/>
        <v>423.8</v>
      </c>
      <c r="Q542" s="3">
        <f t="shared" si="114"/>
        <v>2.7166666666666668</v>
      </c>
      <c r="R542" s="4">
        <f t="shared" si="115"/>
        <v>163</v>
      </c>
      <c r="S542" s="3">
        <f t="shared" si="116"/>
        <v>88</v>
      </c>
      <c r="T542" s="1">
        <v>0.56789999999999996</v>
      </c>
      <c r="U542" s="6">
        <f t="shared" si="107"/>
        <v>88.592399999999998</v>
      </c>
    </row>
    <row r="543" spans="1:21" x14ac:dyDescent="0.35">
      <c r="A543">
        <v>542</v>
      </c>
      <c r="B543" s="5">
        <v>44738</v>
      </c>
      <c r="C543" s="4">
        <f t="shared" si="108"/>
        <v>2022</v>
      </c>
      <c r="D543" s="4">
        <f t="shared" si="109"/>
        <v>6</v>
      </c>
      <c r="E543" s="14">
        <v>44738</v>
      </c>
      <c r="F543" s="4">
        <f t="shared" si="110"/>
        <v>26</v>
      </c>
      <c r="G543">
        <v>167</v>
      </c>
      <c r="H543">
        <v>157</v>
      </c>
      <c r="I543" s="13">
        <f t="shared" si="111"/>
        <v>0.94</v>
      </c>
      <c r="J543">
        <f t="shared" si="104"/>
        <v>10</v>
      </c>
      <c r="K543" s="2">
        <v>3.1250000000000001E-4</v>
      </c>
      <c r="L543" s="11">
        <f t="shared" si="105"/>
        <v>70.650000000000006</v>
      </c>
      <c r="M543" s="3">
        <f t="shared" si="112"/>
        <v>0.45</v>
      </c>
      <c r="N543" s="4">
        <f t="shared" si="113"/>
        <v>27</v>
      </c>
      <c r="O543" s="2">
        <v>2.0486111111111113E-3</v>
      </c>
      <c r="P543" s="9">
        <f t="shared" si="106"/>
        <v>463.15000000000003</v>
      </c>
      <c r="Q543" s="3">
        <f t="shared" si="114"/>
        <v>2.95</v>
      </c>
      <c r="R543" s="4">
        <f t="shared" si="115"/>
        <v>177</v>
      </c>
      <c r="S543" s="3">
        <f t="shared" si="116"/>
        <v>105</v>
      </c>
      <c r="T543" s="1">
        <v>0.67479999999999996</v>
      </c>
      <c r="U543" s="6">
        <f t="shared" si="107"/>
        <v>105.94359999999999</v>
      </c>
    </row>
    <row r="544" spans="1:21" x14ac:dyDescent="0.35">
      <c r="A544">
        <v>543</v>
      </c>
      <c r="B544" s="5">
        <v>44739</v>
      </c>
      <c r="C544" s="4">
        <f t="shared" si="108"/>
        <v>2022</v>
      </c>
      <c r="D544" s="4">
        <f t="shared" si="109"/>
        <v>6</v>
      </c>
      <c r="E544" s="14">
        <v>44739</v>
      </c>
      <c r="F544" s="4">
        <f t="shared" si="110"/>
        <v>27</v>
      </c>
      <c r="G544">
        <v>166</v>
      </c>
      <c r="H544">
        <v>161</v>
      </c>
      <c r="I544" s="13">
        <f t="shared" si="111"/>
        <v>0.96</v>
      </c>
      <c r="J544">
        <f t="shared" si="104"/>
        <v>5</v>
      </c>
      <c r="K544" s="2">
        <v>2.4305555555555555E-4</v>
      </c>
      <c r="L544" s="11">
        <f t="shared" si="105"/>
        <v>56.349999999999994</v>
      </c>
      <c r="M544" s="3">
        <f t="shared" si="112"/>
        <v>0.35</v>
      </c>
      <c r="N544" s="4">
        <f t="shared" si="113"/>
        <v>21</v>
      </c>
      <c r="O544" s="2">
        <v>1.9097222222222222E-3</v>
      </c>
      <c r="P544" s="9">
        <f t="shared" si="106"/>
        <v>442.75</v>
      </c>
      <c r="Q544" s="3">
        <f t="shared" si="114"/>
        <v>2.75</v>
      </c>
      <c r="R544" s="4">
        <f t="shared" si="115"/>
        <v>165</v>
      </c>
      <c r="S544" s="3">
        <f t="shared" si="116"/>
        <v>118</v>
      </c>
      <c r="T544" s="1">
        <v>0.73329999999999995</v>
      </c>
      <c r="U544" s="6">
        <f t="shared" si="107"/>
        <v>118.06129999999999</v>
      </c>
    </row>
    <row r="545" spans="1:21" x14ac:dyDescent="0.35">
      <c r="A545">
        <v>544</v>
      </c>
      <c r="B545" s="5">
        <v>44740</v>
      </c>
      <c r="C545" s="4">
        <f t="shared" si="108"/>
        <v>2022</v>
      </c>
      <c r="D545" s="4">
        <f t="shared" si="109"/>
        <v>6</v>
      </c>
      <c r="E545" s="14">
        <v>44740</v>
      </c>
      <c r="F545" s="4">
        <f t="shared" si="110"/>
        <v>28</v>
      </c>
      <c r="G545">
        <v>32</v>
      </c>
      <c r="H545">
        <v>28</v>
      </c>
      <c r="I545" s="13">
        <f t="shared" si="111"/>
        <v>0.87</v>
      </c>
      <c r="J545">
        <f t="shared" si="104"/>
        <v>4</v>
      </c>
      <c r="K545" s="2">
        <v>2.5462962962962961E-4</v>
      </c>
      <c r="L545" s="11">
        <f t="shared" si="105"/>
        <v>10.266666666666666</v>
      </c>
      <c r="M545" s="3">
        <f t="shared" si="112"/>
        <v>0.36666666666666664</v>
      </c>
      <c r="N545" s="4">
        <f t="shared" si="113"/>
        <v>22</v>
      </c>
      <c r="O545" s="2">
        <v>1.8865740740740742E-3</v>
      </c>
      <c r="P545" s="9">
        <f t="shared" si="106"/>
        <v>76.066666666666663</v>
      </c>
      <c r="Q545" s="3">
        <f t="shared" si="114"/>
        <v>2.7166666666666668</v>
      </c>
      <c r="R545" s="4">
        <f t="shared" si="115"/>
        <v>163</v>
      </c>
      <c r="S545" s="3">
        <f t="shared" si="116"/>
        <v>18</v>
      </c>
      <c r="T545" s="1">
        <v>0.6452</v>
      </c>
      <c r="U545" s="6">
        <f t="shared" si="107"/>
        <v>18.0656</v>
      </c>
    </row>
    <row r="546" spans="1:21" x14ac:dyDescent="0.35">
      <c r="A546">
        <v>545</v>
      </c>
      <c r="B546" s="5">
        <v>44741</v>
      </c>
      <c r="C546" s="4">
        <f t="shared" si="108"/>
        <v>2022</v>
      </c>
      <c r="D546" s="4">
        <f t="shared" si="109"/>
        <v>6</v>
      </c>
      <c r="E546" s="14">
        <v>44741</v>
      </c>
      <c r="F546" s="4">
        <f t="shared" si="110"/>
        <v>29</v>
      </c>
      <c r="G546">
        <v>52</v>
      </c>
      <c r="H546">
        <v>49</v>
      </c>
      <c r="I546" s="13">
        <f t="shared" si="111"/>
        <v>0.94</v>
      </c>
      <c r="J546">
        <f t="shared" si="104"/>
        <v>3</v>
      </c>
      <c r="K546" s="2">
        <v>3.7037037037037035E-4</v>
      </c>
      <c r="L546" s="11">
        <f t="shared" si="105"/>
        <v>26.133333333333333</v>
      </c>
      <c r="M546" s="3">
        <f t="shared" si="112"/>
        <v>0.53333333333333333</v>
      </c>
      <c r="N546" s="4">
        <f t="shared" si="113"/>
        <v>32</v>
      </c>
      <c r="O546" s="2">
        <v>2.0601851851851853E-3</v>
      </c>
      <c r="P546" s="9">
        <f t="shared" si="106"/>
        <v>145.36666666666667</v>
      </c>
      <c r="Q546" s="3">
        <f t="shared" si="114"/>
        <v>2.9666666666666668</v>
      </c>
      <c r="R546" s="4">
        <f t="shared" si="115"/>
        <v>178</v>
      </c>
      <c r="S546" s="3">
        <f t="shared" si="116"/>
        <v>31</v>
      </c>
      <c r="T546" s="1">
        <v>0.63460000000000005</v>
      </c>
      <c r="U546" s="6">
        <f t="shared" si="107"/>
        <v>31.095400000000001</v>
      </c>
    </row>
    <row r="547" spans="1:21" x14ac:dyDescent="0.35">
      <c r="A547">
        <v>546</v>
      </c>
      <c r="B547" s="5">
        <v>44742</v>
      </c>
      <c r="C547" s="4">
        <f t="shared" si="108"/>
        <v>2022</v>
      </c>
      <c r="D547" s="4">
        <f t="shared" si="109"/>
        <v>6</v>
      </c>
      <c r="E547" s="14">
        <v>44742</v>
      </c>
      <c r="F547" s="4">
        <f t="shared" si="110"/>
        <v>30</v>
      </c>
      <c r="G547">
        <v>154</v>
      </c>
      <c r="H547">
        <v>149</v>
      </c>
      <c r="I547" s="13">
        <f t="shared" si="111"/>
        <v>0.96</v>
      </c>
      <c r="J547">
        <f t="shared" si="104"/>
        <v>5</v>
      </c>
      <c r="K547" s="2">
        <v>3.0092592592592595E-4</v>
      </c>
      <c r="L547" s="11">
        <f t="shared" si="105"/>
        <v>64.566666666666663</v>
      </c>
      <c r="M547" s="3">
        <f t="shared" si="112"/>
        <v>0.43333333333333335</v>
      </c>
      <c r="N547" s="4">
        <f t="shared" si="113"/>
        <v>26</v>
      </c>
      <c r="O547" s="2">
        <v>1.9907407407407408E-3</v>
      </c>
      <c r="P547" s="9">
        <f t="shared" si="106"/>
        <v>427.13333333333333</v>
      </c>
      <c r="Q547" s="3">
        <f t="shared" si="114"/>
        <v>2.8666666666666667</v>
      </c>
      <c r="R547" s="4">
        <f t="shared" si="115"/>
        <v>172</v>
      </c>
      <c r="S547" s="3">
        <f t="shared" si="116"/>
        <v>96</v>
      </c>
      <c r="T547" s="1">
        <v>0.64900000000000002</v>
      </c>
      <c r="U547" s="6">
        <f t="shared" si="107"/>
        <v>96.701000000000008</v>
      </c>
    </row>
    <row r="548" spans="1:21" x14ac:dyDescent="0.35">
      <c r="A548">
        <v>547</v>
      </c>
      <c r="B548" s="5">
        <v>44743</v>
      </c>
      <c r="C548" s="4">
        <f t="shared" si="108"/>
        <v>2022</v>
      </c>
      <c r="D548" s="4">
        <f t="shared" si="109"/>
        <v>7</v>
      </c>
      <c r="E548" s="14">
        <v>44743</v>
      </c>
      <c r="F548" s="4">
        <f t="shared" si="110"/>
        <v>1</v>
      </c>
      <c r="G548">
        <v>223</v>
      </c>
      <c r="H548">
        <v>218</v>
      </c>
      <c r="I548" s="13">
        <f t="shared" si="111"/>
        <v>0.97</v>
      </c>
      <c r="J548">
        <f t="shared" si="104"/>
        <v>5</v>
      </c>
      <c r="K548" s="2">
        <v>2.0833333333333335E-4</v>
      </c>
      <c r="L548" s="11">
        <f t="shared" si="105"/>
        <v>65.399999999999991</v>
      </c>
      <c r="M548" s="3">
        <f t="shared" si="112"/>
        <v>0.3</v>
      </c>
      <c r="N548" s="4">
        <f t="shared" si="113"/>
        <v>18</v>
      </c>
      <c r="O548" s="2">
        <v>1.4699074074074074E-3</v>
      </c>
      <c r="P548" s="9">
        <f t="shared" si="106"/>
        <v>461.43333333333334</v>
      </c>
      <c r="Q548" s="3">
        <f t="shared" si="114"/>
        <v>2.1166666666666667</v>
      </c>
      <c r="R548" s="4">
        <f t="shared" si="115"/>
        <v>127</v>
      </c>
      <c r="S548" s="3">
        <f t="shared" si="116"/>
        <v>174</v>
      </c>
      <c r="T548" s="1">
        <v>0.80089999999999995</v>
      </c>
      <c r="U548" s="6">
        <f t="shared" si="107"/>
        <v>174.59619999999998</v>
      </c>
    </row>
    <row r="549" spans="1:21" x14ac:dyDescent="0.35">
      <c r="A549">
        <v>548</v>
      </c>
      <c r="B549" s="5">
        <v>44744</v>
      </c>
      <c r="C549" s="4">
        <f t="shared" si="108"/>
        <v>2022</v>
      </c>
      <c r="D549" s="4">
        <f t="shared" si="109"/>
        <v>7</v>
      </c>
      <c r="E549" s="14">
        <v>44744</v>
      </c>
      <c r="F549" s="4">
        <f t="shared" si="110"/>
        <v>2</v>
      </c>
      <c r="G549">
        <v>170</v>
      </c>
      <c r="H549">
        <v>157</v>
      </c>
      <c r="I549" s="13">
        <f t="shared" si="111"/>
        <v>0.92</v>
      </c>
      <c r="J549">
        <f t="shared" si="104"/>
        <v>13</v>
      </c>
      <c r="K549" s="2">
        <v>1.9675925925925926E-4</v>
      </c>
      <c r="L549" s="11">
        <f t="shared" si="105"/>
        <v>44.483333333333334</v>
      </c>
      <c r="M549" s="3">
        <f t="shared" si="112"/>
        <v>0.28333333333333333</v>
      </c>
      <c r="N549" s="4">
        <f t="shared" si="113"/>
        <v>17</v>
      </c>
      <c r="O549" s="2">
        <v>2.1296296296296298E-3</v>
      </c>
      <c r="P549" s="9">
        <f t="shared" si="106"/>
        <v>481.4666666666667</v>
      </c>
      <c r="Q549" s="3">
        <f t="shared" si="114"/>
        <v>3.0666666666666669</v>
      </c>
      <c r="R549" s="4">
        <f t="shared" si="115"/>
        <v>184</v>
      </c>
      <c r="S549" s="3">
        <f t="shared" si="116"/>
        <v>123</v>
      </c>
      <c r="T549" s="1">
        <v>0.78439999999999999</v>
      </c>
      <c r="U549" s="6">
        <f t="shared" si="107"/>
        <v>123.1508</v>
      </c>
    </row>
    <row r="550" spans="1:21" x14ac:dyDescent="0.35">
      <c r="A550">
        <v>549</v>
      </c>
      <c r="B550" s="5">
        <v>44745</v>
      </c>
      <c r="C550" s="4">
        <f t="shared" si="108"/>
        <v>2022</v>
      </c>
      <c r="D550" s="4">
        <f t="shared" si="109"/>
        <v>7</v>
      </c>
      <c r="E550" s="14">
        <v>44745</v>
      </c>
      <c r="F550" s="4">
        <f t="shared" si="110"/>
        <v>3</v>
      </c>
      <c r="G550">
        <v>145</v>
      </c>
      <c r="H550">
        <v>133</v>
      </c>
      <c r="I550" s="13">
        <f t="shared" si="111"/>
        <v>0.91</v>
      </c>
      <c r="J550">
        <f t="shared" si="104"/>
        <v>12</v>
      </c>
      <c r="K550" s="2">
        <v>3.0092592592592595E-4</v>
      </c>
      <c r="L550" s="11">
        <f t="shared" si="105"/>
        <v>57.633333333333333</v>
      </c>
      <c r="M550" s="3">
        <f t="shared" si="112"/>
        <v>0.43333333333333335</v>
      </c>
      <c r="N550" s="4">
        <f t="shared" si="113"/>
        <v>26</v>
      </c>
      <c r="O550" s="2">
        <v>2.0370370370370369E-3</v>
      </c>
      <c r="P550" s="9">
        <f t="shared" si="106"/>
        <v>390.13333333333338</v>
      </c>
      <c r="Q550" s="3">
        <f t="shared" si="114"/>
        <v>2.9333333333333336</v>
      </c>
      <c r="R550" s="4">
        <f t="shared" si="115"/>
        <v>176</v>
      </c>
      <c r="S550" s="3">
        <f t="shared" si="116"/>
        <v>92</v>
      </c>
      <c r="T550" s="1">
        <v>0.69230000000000003</v>
      </c>
      <c r="U550" s="6">
        <f t="shared" si="107"/>
        <v>92.075900000000004</v>
      </c>
    </row>
    <row r="551" spans="1:21" x14ac:dyDescent="0.35">
      <c r="A551">
        <v>550</v>
      </c>
      <c r="B551" s="5">
        <v>44746</v>
      </c>
      <c r="C551" s="4">
        <f t="shared" si="108"/>
        <v>2022</v>
      </c>
      <c r="D551" s="4">
        <f t="shared" si="109"/>
        <v>7</v>
      </c>
      <c r="E551" s="14">
        <v>44746</v>
      </c>
      <c r="F551" s="4">
        <f t="shared" si="110"/>
        <v>4</v>
      </c>
      <c r="G551">
        <v>144</v>
      </c>
      <c r="H551">
        <v>138</v>
      </c>
      <c r="I551" s="13">
        <f t="shared" si="111"/>
        <v>0.95</v>
      </c>
      <c r="J551">
        <f t="shared" si="104"/>
        <v>6</v>
      </c>
      <c r="K551" s="2">
        <v>1.9675925925925926E-4</v>
      </c>
      <c r="L551" s="11">
        <f t="shared" si="105"/>
        <v>39.1</v>
      </c>
      <c r="M551" s="3">
        <f t="shared" si="112"/>
        <v>0.28333333333333333</v>
      </c>
      <c r="N551" s="4">
        <f t="shared" si="113"/>
        <v>17</v>
      </c>
      <c r="O551" s="2">
        <v>2.0023148148148148E-3</v>
      </c>
      <c r="P551" s="9">
        <f t="shared" si="106"/>
        <v>397.9</v>
      </c>
      <c r="Q551" s="3">
        <f t="shared" si="114"/>
        <v>2.8833333333333333</v>
      </c>
      <c r="R551" s="4">
        <f t="shared" si="115"/>
        <v>173</v>
      </c>
      <c r="S551" s="3">
        <f t="shared" si="116"/>
        <v>115</v>
      </c>
      <c r="T551" s="1">
        <v>0.83799999999999997</v>
      </c>
      <c r="U551" s="6">
        <f t="shared" si="107"/>
        <v>115.64399999999999</v>
      </c>
    </row>
    <row r="552" spans="1:21" x14ac:dyDescent="0.35">
      <c r="A552">
        <v>551</v>
      </c>
      <c r="B552" s="5">
        <v>44747</v>
      </c>
      <c r="C552" s="4">
        <f t="shared" si="108"/>
        <v>2022</v>
      </c>
      <c r="D552" s="4">
        <f t="shared" si="109"/>
        <v>7</v>
      </c>
      <c r="E552" s="14">
        <v>44747</v>
      </c>
      <c r="F552" s="4">
        <f t="shared" si="110"/>
        <v>5</v>
      </c>
      <c r="G552">
        <v>16</v>
      </c>
      <c r="H552">
        <v>15</v>
      </c>
      <c r="I552" s="13">
        <f t="shared" si="111"/>
        <v>0.93</v>
      </c>
      <c r="J552">
        <f t="shared" si="104"/>
        <v>1</v>
      </c>
      <c r="K552" s="2">
        <v>1.9675925925925926E-4</v>
      </c>
      <c r="L552" s="11">
        <f t="shared" si="105"/>
        <v>4.25</v>
      </c>
      <c r="M552" s="3">
        <f t="shared" si="112"/>
        <v>0.28333333333333333</v>
      </c>
      <c r="N552" s="4">
        <f t="shared" si="113"/>
        <v>17</v>
      </c>
      <c r="O552" s="2">
        <v>2.0833333333333333E-3</v>
      </c>
      <c r="P552" s="9">
        <f t="shared" si="106"/>
        <v>45</v>
      </c>
      <c r="Q552" s="3">
        <f t="shared" si="114"/>
        <v>3</v>
      </c>
      <c r="R552" s="4">
        <f t="shared" si="115"/>
        <v>180</v>
      </c>
      <c r="S552" s="3">
        <f t="shared" si="116"/>
        <v>10</v>
      </c>
      <c r="T552" s="1">
        <v>0.6875</v>
      </c>
      <c r="U552" s="6">
        <f t="shared" si="107"/>
        <v>10.3125</v>
      </c>
    </row>
    <row r="553" spans="1:21" x14ac:dyDescent="0.35">
      <c r="A553">
        <v>552</v>
      </c>
      <c r="B553" s="5">
        <v>44748</v>
      </c>
      <c r="C553" s="4">
        <f t="shared" si="108"/>
        <v>2022</v>
      </c>
      <c r="D553" s="4">
        <f t="shared" si="109"/>
        <v>7</v>
      </c>
      <c r="E553" s="14">
        <v>44748</v>
      </c>
      <c r="F553" s="4">
        <f t="shared" si="110"/>
        <v>6</v>
      </c>
      <c r="G553">
        <v>135</v>
      </c>
      <c r="H553">
        <v>131</v>
      </c>
      <c r="I553" s="13">
        <f t="shared" si="111"/>
        <v>0.97</v>
      </c>
      <c r="J553">
        <f t="shared" si="104"/>
        <v>4</v>
      </c>
      <c r="K553" s="2">
        <v>2.3148148148148149E-4</v>
      </c>
      <c r="L553" s="11">
        <f t="shared" si="105"/>
        <v>43.666666666666664</v>
      </c>
      <c r="M553" s="3">
        <f t="shared" si="112"/>
        <v>0.33333333333333331</v>
      </c>
      <c r="N553" s="4">
        <f t="shared" si="113"/>
        <v>20</v>
      </c>
      <c r="O553" s="2">
        <v>1.8171296296296297E-3</v>
      </c>
      <c r="P553" s="9">
        <f t="shared" si="106"/>
        <v>342.78333333333336</v>
      </c>
      <c r="Q553" s="3">
        <f t="shared" si="114"/>
        <v>2.6166666666666667</v>
      </c>
      <c r="R553" s="4">
        <f t="shared" si="115"/>
        <v>157</v>
      </c>
      <c r="S553" s="3">
        <f t="shared" si="116"/>
        <v>99</v>
      </c>
      <c r="T553" s="1">
        <v>0.76119999999999999</v>
      </c>
      <c r="U553" s="6">
        <f t="shared" si="107"/>
        <v>99.717200000000005</v>
      </c>
    </row>
    <row r="554" spans="1:21" x14ac:dyDescent="0.35">
      <c r="A554">
        <v>553</v>
      </c>
      <c r="B554" s="5">
        <v>44749</v>
      </c>
      <c r="C554" s="4">
        <f t="shared" si="108"/>
        <v>2022</v>
      </c>
      <c r="D554" s="4">
        <f t="shared" si="109"/>
        <v>7</v>
      </c>
      <c r="E554" s="14">
        <v>44749</v>
      </c>
      <c r="F554" s="4">
        <f t="shared" si="110"/>
        <v>7</v>
      </c>
      <c r="G554">
        <v>137</v>
      </c>
      <c r="H554">
        <v>133</v>
      </c>
      <c r="I554" s="13">
        <f t="shared" si="111"/>
        <v>0.97</v>
      </c>
      <c r="J554">
        <f t="shared" si="104"/>
        <v>4</v>
      </c>
      <c r="K554" s="2">
        <v>2.7777777777777778E-4</v>
      </c>
      <c r="L554" s="11">
        <f t="shared" si="105"/>
        <v>53.2</v>
      </c>
      <c r="M554" s="3">
        <f t="shared" si="112"/>
        <v>0.4</v>
      </c>
      <c r="N554" s="4">
        <f t="shared" si="113"/>
        <v>24</v>
      </c>
      <c r="O554" s="2">
        <v>1.9560185185185184E-3</v>
      </c>
      <c r="P554" s="9">
        <f t="shared" si="106"/>
        <v>374.61666666666662</v>
      </c>
      <c r="Q554" s="3">
        <f t="shared" si="114"/>
        <v>2.8166666666666664</v>
      </c>
      <c r="R554" s="4">
        <f t="shared" si="115"/>
        <v>169</v>
      </c>
      <c r="S554" s="3">
        <f t="shared" si="116"/>
        <v>91</v>
      </c>
      <c r="T554" s="1">
        <v>0.69120000000000004</v>
      </c>
      <c r="U554" s="6">
        <f t="shared" si="107"/>
        <v>91.929600000000008</v>
      </c>
    </row>
    <row r="555" spans="1:21" x14ac:dyDescent="0.35">
      <c r="A555">
        <v>554</v>
      </c>
      <c r="B555" s="5">
        <v>44750</v>
      </c>
      <c r="C555" s="4">
        <f t="shared" si="108"/>
        <v>2022</v>
      </c>
      <c r="D555" s="4">
        <f t="shared" si="109"/>
        <v>7</v>
      </c>
      <c r="E555" s="14">
        <v>44750</v>
      </c>
      <c r="F555" s="4">
        <f t="shared" si="110"/>
        <v>8</v>
      </c>
      <c r="G555">
        <v>149</v>
      </c>
      <c r="H555">
        <v>144</v>
      </c>
      <c r="I555" s="13">
        <f t="shared" si="111"/>
        <v>0.96</v>
      </c>
      <c r="J555">
        <f t="shared" si="104"/>
        <v>5</v>
      </c>
      <c r="K555" s="2">
        <v>1.9675925925925926E-4</v>
      </c>
      <c r="L555" s="11">
        <f t="shared" si="105"/>
        <v>40.799999999999997</v>
      </c>
      <c r="M555" s="3">
        <f t="shared" si="112"/>
        <v>0.28333333333333333</v>
      </c>
      <c r="N555" s="4">
        <f t="shared" si="113"/>
        <v>17</v>
      </c>
      <c r="O555" s="2">
        <v>1.8402777777777777E-3</v>
      </c>
      <c r="P555" s="9">
        <f t="shared" si="106"/>
        <v>381.59999999999997</v>
      </c>
      <c r="Q555" s="3">
        <f t="shared" si="114"/>
        <v>2.65</v>
      </c>
      <c r="R555" s="4">
        <f t="shared" si="115"/>
        <v>159</v>
      </c>
      <c r="S555" s="3">
        <f t="shared" si="116"/>
        <v>119</v>
      </c>
      <c r="T555" s="1">
        <v>0.8276</v>
      </c>
      <c r="U555" s="6">
        <f t="shared" si="107"/>
        <v>119.17440000000001</v>
      </c>
    </row>
    <row r="556" spans="1:21" x14ac:dyDescent="0.35">
      <c r="A556">
        <v>555</v>
      </c>
      <c r="B556" s="5">
        <v>44751</v>
      </c>
      <c r="C556" s="4">
        <f t="shared" si="108"/>
        <v>2022</v>
      </c>
      <c r="D556" s="4">
        <f t="shared" si="109"/>
        <v>7</v>
      </c>
      <c r="E556" s="14">
        <v>44751</v>
      </c>
      <c r="F556" s="4">
        <f t="shared" si="110"/>
        <v>9</v>
      </c>
      <c r="G556">
        <v>155</v>
      </c>
      <c r="H556">
        <v>143</v>
      </c>
      <c r="I556" s="13">
        <f t="shared" si="111"/>
        <v>0.92</v>
      </c>
      <c r="J556">
        <f t="shared" si="104"/>
        <v>12</v>
      </c>
      <c r="K556" s="2">
        <v>1.8518518518518518E-4</v>
      </c>
      <c r="L556" s="11">
        <f t="shared" si="105"/>
        <v>38.133333333333333</v>
      </c>
      <c r="M556" s="3">
        <f t="shared" si="112"/>
        <v>0.26666666666666666</v>
      </c>
      <c r="N556" s="4">
        <f t="shared" si="113"/>
        <v>16</v>
      </c>
      <c r="O556" s="2">
        <v>1.8634259259259259E-3</v>
      </c>
      <c r="P556" s="9">
        <f t="shared" si="106"/>
        <v>383.7166666666667</v>
      </c>
      <c r="Q556" s="3">
        <f t="shared" si="114"/>
        <v>2.6833333333333336</v>
      </c>
      <c r="R556" s="4">
        <f t="shared" si="115"/>
        <v>161</v>
      </c>
      <c r="S556" s="3">
        <f t="shared" si="116"/>
        <v>114</v>
      </c>
      <c r="T556" s="1">
        <v>0.8014</v>
      </c>
      <c r="U556" s="6">
        <f t="shared" si="107"/>
        <v>114.6002</v>
      </c>
    </row>
    <row r="557" spans="1:21" x14ac:dyDescent="0.35">
      <c r="A557">
        <v>556</v>
      </c>
      <c r="B557" s="5">
        <v>44752</v>
      </c>
      <c r="C557" s="4">
        <f t="shared" si="108"/>
        <v>2022</v>
      </c>
      <c r="D557" s="4">
        <f t="shared" si="109"/>
        <v>7</v>
      </c>
      <c r="E557" s="14">
        <v>44752</v>
      </c>
      <c r="F557" s="4">
        <f t="shared" si="110"/>
        <v>10</v>
      </c>
      <c r="G557">
        <v>128</v>
      </c>
      <c r="H557">
        <v>121</v>
      </c>
      <c r="I557" s="13">
        <f t="shared" si="111"/>
        <v>0.94</v>
      </c>
      <c r="J557">
        <f t="shared" si="104"/>
        <v>7</v>
      </c>
      <c r="K557" s="2">
        <v>2.199074074074074E-4</v>
      </c>
      <c r="L557" s="11">
        <f t="shared" si="105"/>
        <v>38.316666666666663</v>
      </c>
      <c r="M557" s="3">
        <f t="shared" si="112"/>
        <v>0.31666666666666665</v>
      </c>
      <c r="N557" s="4">
        <f t="shared" si="113"/>
        <v>19</v>
      </c>
      <c r="O557" s="2">
        <v>2.0254629629629629E-3</v>
      </c>
      <c r="P557" s="9">
        <f t="shared" si="106"/>
        <v>352.91666666666663</v>
      </c>
      <c r="Q557" s="3">
        <f t="shared" si="114"/>
        <v>2.9166666666666665</v>
      </c>
      <c r="R557" s="4">
        <f t="shared" si="115"/>
        <v>175</v>
      </c>
      <c r="S557" s="3">
        <f t="shared" si="116"/>
        <v>94</v>
      </c>
      <c r="T557" s="1">
        <v>0.77780000000000005</v>
      </c>
      <c r="U557" s="6">
        <f t="shared" si="107"/>
        <v>94.113800000000012</v>
      </c>
    </row>
    <row r="558" spans="1:21" x14ac:dyDescent="0.35">
      <c r="A558">
        <v>557</v>
      </c>
      <c r="B558" s="5">
        <v>44753</v>
      </c>
      <c r="C558" s="4">
        <f t="shared" si="108"/>
        <v>2022</v>
      </c>
      <c r="D558" s="4">
        <f t="shared" si="109"/>
        <v>7</v>
      </c>
      <c r="E558" s="14">
        <v>44753</v>
      </c>
      <c r="F558" s="4">
        <f t="shared" si="110"/>
        <v>11</v>
      </c>
      <c r="G558">
        <v>134</v>
      </c>
      <c r="H558">
        <v>125</v>
      </c>
      <c r="I558" s="13">
        <f t="shared" si="111"/>
        <v>0.93</v>
      </c>
      <c r="J558">
        <f t="shared" si="104"/>
        <v>9</v>
      </c>
      <c r="K558" s="2">
        <v>2.4305555555555555E-4</v>
      </c>
      <c r="L558" s="11">
        <f t="shared" si="105"/>
        <v>43.75</v>
      </c>
      <c r="M558" s="3">
        <f t="shared" si="112"/>
        <v>0.35</v>
      </c>
      <c r="N558" s="4">
        <f t="shared" si="113"/>
        <v>21</v>
      </c>
      <c r="O558" s="2">
        <v>1.8287037037037037E-3</v>
      </c>
      <c r="P558" s="9">
        <f t="shared" si="106"/>
        <v>329.16666666666669</v>
      </c>
      <c r="Q558" s="3">
        <f t="shared" si="114"/>
        <v>2.6333333333333333</v>
      </c>
      <c r="R558" s="4">
        <f t="shared" si="115"/>
        <v>158</v>
      </c>
      <c r="S558" s="3">
        <f t="shared" si="116"/>
        <v>90</v>
      </c>
      <c r="T558" s="1">
        <v>0.72519999999999996</v>
      </c>
      <c r="U558" s="6">
        <f t="shared" si="107"/>
        <v>90.649999999999991</v>
      </c>
    </row>
    <row r="559" spans="1:21" x14ac:dyDescent="0.35">
      <c r="A559">
        <v>558</v>
      </c>
      <c r="B559" s="5">
        <v>44754</v>
      </c>
      <c r="C559" s="4">
        <f t="shared" si="108"/>
        <v>2022</v>
      </c>
      <c r="D559" s="4">
        <f t="shared" si="109"/>
        <v>7</v>
      </c>
      <c r="E559" s="14">
        <v>44754</v>
      </c>
      <c r="F559" s="4">
        <f t="shared" si="110"/>
        <v>12</v>
      </c>
      <c r="G559">
        <v>21</v>
      </c>
      <c r="H559">
        <v>21</v>
      </c>
      <c r="I559" s="13">
        <f t="shared" si="111"/>
        <v>1</v>
      </c>
      <c r="J559">
        <f t="shared" si="104"/>
        <v>0</v>
      </c>
      <c r="K559" s="2">
        <v>2.6620370370370372E-4</v>
      </c>
      <c r="L559" s="11">
        <f t="shared" si="105"/>
        <v>8.0500000000000007</v>
      </c>
      <c r="M559" s="3">
        <f t="shared" si="112"/>
        <v>0.38333333333333336</v>
      </c>
      <c r="N559" s="4">
        <f t="shared" si="113"/>
        <v>23</v>
      </c>
      <c r="O559" s="2">
        <v>1.8171296296296297E-3</v>
      </c>
      <c r="P559" s="9">
        <f t="shared" si="106"/>
        <v>54.95</v>
      </c>
      <c r="Q559" s="3">
        <f t="shared" si="114"/>
        <v>2.6166666666666667</v>
      </c>
      <c r="R559" s="4">
        <f t="shared" si="115"/>
        <v>157</v>
      </c>
      <c r="S559" s="3">
        <f t="shared" si="116"/>
        <v>15</v>
      </c>
      <c r="T559" s="1">
        <v>0.76190000000000002</v>
      </c>
      <c r="U559" s="6">
        <f t="shared" si="107"/>
        <v>15.9999</v>
      </c>
    </row>
    <row r="560" spans="1:21" x14ac:dyDescent="0.35">
      <c r="A560">
        <v>559</v>
      </c>
      <c r="B560" s="5">
        <v>44755</v>
      </c>
      <c r="C560" s="4">
        <f t="shared" si="108"/>
        <v>2022</v>
      </c>
      <c r="D560" s="4">
        <f t="shared" si="109"/>
        <v>7</v>
      </c>
      <c r="E560" s="14">
        <v>44755</v>
      </c>
      <c r="F560" s="4">
        <f t="shared" si="110"/>
        <v>13</v>
      </c>
      <c r="G560">
        <v>150</v>
      </c>
      <c r="H560">
        <v>138</v>
      </c>
      <c r="I560" s="13">
        <f t="shared" si="111"/>
        <v>0.92</v>
      </c>
      <c r="J560">
        <f t="shared" si="104"/>
        <v>12</v>
      </c>
      <c r="K560" s="2">
        <v>3.4722222222222224E-4</v>
      </c>
      <c r="L560" s="11">
        <f t="shared" si="105"/>
        <v>69</v>
      </c>
      <c r="M560" s="3">
        <f t="shared" si="112"/>
        <v>0.5</v>
      </c>
      <c r="N560" s="4">
        <f t="shared" si="113"/>
        <v>30</v>
      </c>
      <c r="O560" s="2">
        <v>1.9907407407407408E-3</v>
      </c>
      <c r="P560" s="9">
        <f t="shared" si="106"/>
        <v>395.6</v>
      </c>
      <c r="Q560" s="3">
        <f t="shared" si="114"/>
        <v>2.8666666666666667</v>
      </c>
      <c r="R560" s="4">
        <f t="shared" si="115"/>
        <v>172</v>
      </c>
      <c r="S560" s="3">
        <f t="shared" si="116"/>
        <v>80</v>
      </c>
      <c r="T560" s="1">
        <v>0.5867</v>
      </c>
      <c r="U560" s="6">
        <f t="shared" si="107"/>
        <v>80.964600000000004</v>
      </c>
    </row>
    <row r="561" spans="1:21" x14ac:dyDescent="0.35">
      <c r="A561">
        <v>560</v>
      </c>
      <c r="B561" s="5">
        <v>44756</v>
      </c>
      <c r="C561" s="4">
        <f t="shared" si="108"/>
        <v>2022</v>
      </c>
      <c r="D561" s="4">
        <f t="shared" si="109"/>
        <v>7</v>
      </c>
      <c r="E561" s="14">
        <v>44756</v>
      </c>
      <c r="F561" s="4">
        <f t="shared" si="110"/>
        <v>14</v>
      </c>
      <c r="G561">
        <v>163</v>
      </c>
      <c r="H561">
        <v>158</v>
      </c>
      <c r="I561" s="13">
        <f t="shared" si="111"/>
        <v>0.96</v>
      </c>
      <c r="J561">
        <f t="shared" si="104"/>
        <v>5</v>
      </c>
      <c r="K561" s="2">
        <v>1.6203703703703703E-4</v>
      </c>
      <c r="L561" s="11">
        <f t="shared" si="105"/>
        <v>36.866666666666667</v>
      </c>
      <c r="M561" s="3">
        <f t="shared" si="112"/>
        <v>0.23333333333333334</v>
      </c>
      <c r="N561" s="4">
        <f t="shared" si="113"/>
        <v>14</v>
      </c>
      <c r="O561" s="2">
        <v>1.712962962962963E-3</v>
      </c>
      <c r="P561" s="9">
        <f t="shared" si="106"/>
        <v>389.73333333333335</v>
      </c>
      <c r="Q561" s="3">
        <f t="shared" si="114"/>
        <v>2.4666666666666668</v>
      </c>
      <c r="R561" s="4">
        <f t="shared" si="115"/>
        <v>148</v>
      </c>
      <c r="S561" s="3">
        <f t="shared" si="116"/>
        <v>129</v>
      </c>
      <c r="T561" s="1">
        <v>0.81989999999999996</v>
      </c>
      <c r="U561" s="6">
        <f t="shared" si="107"/>
        <v>129.54419999999999</v>
      </c>
    </row>
    <row r="562" spans="1:21" x14ac:dyDescent="0.35">
      <c r="A562">
        <v>561</v>
      </c>
      <c r="B562" s="5">
        <v>44757</v>
      </c>
      <c r="C562" s="4">
        <f t="shared" si="108"/>
        <v>2022</v>
      </c>
      <c r="D562" s="4">
        <f t="shared" si="109"/>
        <v>7</v>
      </c>
      <c r="E562" s="14">
        <v>44757</v>
      </c>
      <c r="F562" s="4">
        <f t="shared" si="110"/>
        <v>15</v>
      </c>
      <c r="G562">
        <v>160</v>
      </c>
      <c r="H562">
        <v>151</v>
      </c>
      <c r="I562" s="13">
        <f t="shared" si="111"/>
        <v>0.94</v>
      </c>
      <c r="J562">
        <f t="shared" si="104"/>
        <v>9</v>
      </c>
      <c r="K562" s="2">
        <v>1.3888888888888889E-4</v>
      </c>
      <c r="L562" s="11">
        <f t="shared" si="105"/>
        <v>30.200000000000003</v>
      </c>
      <c r="M562" s="3">
        <f t="shared" si="112"/>
        <v>0.2</v>
      </c>
      <c r="N562" s="4">
        <f t="shared" si="113"/>
        <v>12</v>
      </c>
      <c r="O562" s="2">
        <v>1.8402777777777777E-3</v>
      </c>
      <c r="P562" s="9">
        <f t="shared" si="106"/>
        <v>400.15</v>
      </c>
      <c r="Q562" s="3">
        <f t="shared" si="114"/>
        <v>2.65</v>
      </c>
      <c r="R562" s="4">
        <f t="shared" si="115"/>
        <v>159</v>
      </c>
      <c r="S562" s="3">
        <f t="shared" si="116"/>
        <v>131</v>
      </c>
      <c r="T562" s="1">
        <v>0.87180000000000002</v>
      </c>
      <c r="U562" s="6">
        <f t="shared" si="107"/>
        <v>131.64179999999999</v>
      </c>
    </row>
    <row r="563" spans="1:21" x14ac:dyDescent="0.35">
      <c r="A563">
        <v>562</v>
      </c>
      <c r="B563" s="5">
        <v>44758</v>
      </c>
      <c r="C563" s="4">
        <f t="shared" si="108"/>
        <v>2022</v>
      </c>
      <c r="D563" s="4">
        <f t="shared" si="109"/>
        <v>7</v>
      </c>
      <c r="E563" s="14">
        <v>44758</v>
      </c>
      <c r="F563" s="4">
        <f t="shared" si="110"/>
        <v>16</v>
      </c>
      <c r="G563">
        <v>132</v>
      </c>
      <c r="H563">
        <v>125</v>
      </c>
      <c r="I563" s="13">
        <f t="shared" si="111"/>
        <v>0.94</v>
      </c>
      <c r="J563">
        <f t="shared" si="104"/>
        <v>7</v>
      </c>
      <c r="K563" s="2">
        <v>3.4722222222222224E-4</v>
      </c>
      <c r="L563" s="11">
        <f t="shared" si="105"/>
        <v>62.5</v>
      </c>
      <c r="M563" s="3">
        <f t="shared" si="112"/>
        <v>0.5</v>
      </c>
      <c r="N563" s="4">
        <f t="shared" si="113"/>
        <v>30</v>
      </c>
      <c r="O563" s="2">
        <v>1.9212962962962964E-3</v>
      </c>
      <c r="P563" s="9">
        <f t="shared" si="106"/>
        <v>345.83333333333331</v>
      </c>
      <c r="Q563" s="3">
        <f t="shared" si="114"/>
        <v>2.7666666666666666</v>
      </c>
      <c r="R563" s="4">
        <f t="shared" si="115"/>
        <v>166</v>
      </c>
      <c r="S563" s="3">
        <f t="shared" si="116"/>
        <v>80</v>
      </c>
      <c r="T563" s="1">
        <v>0.6462</v>
      </c>
      <c r="U563" s="6">
        <f t="shared" si="107"/>
        <v>80.775000000000006</v>
      </c>
    </row>
    <row r="564" spans="1:21" x14ac:dyDescent="0.35">
      <c r="A564">
        <v>563</v>
      </c>
      <c r="B564" s="5">
        <v>44759</v>
      </c>
      <c r="C564" s="4">
        <f t="shared" si="108"/>
        <v>2022</v>
      </c>
      <c r="D564" s="4">
        <f t="shared" si="109"/>
        <v>7</v>
      </c>
      <c r="E564" s="14">
        <v>44759</v>
      </c>
      <c r="F564" s="4">
        <f t="shared" si="110"/>
        <v>17</v>
      </c>
      <c r="G564">
        <v>131</v>
      </c>
      <c r="H564">
        <v>126</v>
      </c>
      <c r="I564" s="13">
        <f t="shared" si="111"/>
        <v>0.96</v>
      </c>
      <c r="J564">
        <f t="shared" si="104"/>
        <v>5</v>
      </c>
      <c r="K564" s="2">
        <v>1.9675925925925926E-4</v>
      </c>
      <c r="L564" s="11">
        <f t="shared" si="105"/>
        <v>35.699999999999996</v>
      </c>
      <c r="M564" s="3">
        <f t="shared" si="112"/>
        <v>0.28333333333333333</v>
      </c>
      <c r="N564" s="4">
        <f t="shared" si="113"/>
        <v>17</v>
      </c>
      <c r="O564" s="2">
        <v>1.9328703703703704E-3</v>
      </c>
      <c r="P564" s="9">
        <f t="shared" si="106"/>
        <v>350.7</v>
      </c>
      <c r="Q564" s="3">
        <f t="shared" si="114"/>
        <v>2.7833333333333332</v>
      </c>
      <c r="R564" s="4">
        <f t="shared" si="115"/>
        <v>167</v>
      </c>
      <c r="S564" s="3">
        <f t="shared" si="116"/>
        <v>98</v>
      </c>
      <c r="T564" s="1">
        <v>0.78290000000000004</v>
      </c>
      <c r="U564" s="6">
        <f t="shared" si="107"/>
        <v>98.645400000000009</v>
      </c>
    </row>
    <row r="565" spans="1:21" x14ac:dyDescent="0.35">
      <c r="A565">
        <v>564</v>
      </c>
      <c r="B565" s="5">
        <v>44760</v>
      </c>
      <c r="C565" s="4">
        <f t="shared" si="108"/>
        <v>2022</v>
      </c>
      <c r="D565" s="4">
        <f t="shared" si="109"/>
        <v>7</v>
      </c>
      <c r="E565" s="14">
        <v>44760</v>
      </c>
      <c r="F565" s="4">
        <f t="shared" si="110"/>
        <v>18</v>
      </c>
      <c r="G565">
        <v>158</v>
      </c>
      <c r="H565">
        <v>146</v>
      </c>
      <c r="I565" s="13">
        <f t="shared" si="111"/>
        <v>0.92</v>
      </c>
      <c r="J565">
        <f t="shared" si="104"/>
        <v>12</v>
      </c>
      <c r="K565" s="2">
        <v>2.4305555555555555E-4</v>
      </c>
      <c r="L565" s="11">
        <f t="shared" si="105"/>
        <v>51.099999999999994</v>
      </c>
      <c r="M565" s="3">
        <f t="shared" si="112"/>
        <v>0.35</v>
      </c>
      <c r="N565" s="4">
        <f t="shared" si="113"/>
        <v>21</v>
      </c>
      <c r="O565" s="2">
        <v>1.8749999999999999E-3</v>
      </c>
      <c r="P565" s="9">
        <f t="shared" si="106"/>
        <v>394.20000000000005</v>
      </c>
      <c r="Q565" s="3">
        <f t="shared" si="114"/>
        <v>2.7</v>
      </c>
      <c r="R565" s="4">
        <f t="shared" si="115"/>
        <v>162</v>
      </c>
      <c r="S565" s="3">
        <f t="shared" si="116"/>
        <v>109</v>
      </c>
      <c r="T565" s="1">
        <v>0.75319999999999998</v>
      </c>
      <c r="U565" s="6">
        <f t="shared" si="107"/>
        <v>109.96719999999999</v>
      </c>
    </row>
    <row r="566" spans="1:21" x14ac:dyDescent="0.35">
      <c r="A566">
        <v>565</v>
      </c>
      <c r="B566" s="5">
        <v>44761</v>
      </c>
      <c r="C566" s="4">
        <f t="shared" si="108"/>
        <v>2022</v>
      </c>
      <c r="D566" s="4">
        <f t="shared" si="109"/>
        <v>7</v>
      </c>
      <c r="E566" s="14">
        <v>44761</v>
      </c>
      <c r="F566" s="4">
        <f t="shared" si="110"/>
        <v>19</v>
      </c>
      <c r="G566">
        <v>19</v>
      </c>
      <c r="H566">
        <v>16</v>
      </c>
      <c r="I566" s="13">
        <f t="shared" si="111"/>
        <v>0.84</v>
      </c>
      <c r="J566">
        <f t="shared" si="104"/>
        <v>3</v>
      </c>
      <c r="K566" s="2">
        <v>5.9027777777777778E-4</v>
      </c>
      <c r="L566" s="11">
        <f t="shared" si="105"/>
        <v>13.6</v>
      </c>
      <c r="M566" s="3">
        <f t="shared" si="112"/>
        <v>0.85</v>
      </c>
      <c r="N566" s="4">
        <f t="shared" si="113"/>
        <v>51</v>
      </c>
      <c r="O566" s="2">
        <v>1.9212962962962964E-3</v>
      </c>
      <c r="P566" s="9">
        <f t="shared" si="106"/>
        <v>44.266666666666666</v>
      </c>
      <c r="Q566" s="3">
        <f t="shared" si="114"/>
        <v>2.7666666666666666</v>
      </c>
      <c r="R566" s="4">
        <f t="shared" si="115"/>
        <v>166</v>
      </c>
      <c r="S566" s="3">
        <f t="shared" si="116"/>
        <v>7</v>
      </c>
      <c r="T566" s="1">
        <v>0.47370000000000001</v>
      </c>
      <c r="U566" s="6">
        <f t="shared" si="107"/>
        <v>7.5792000000000002</v>
      </c>
    </row>
    <row r="567" spans="1:21" x14ac:dyDescent="0.35">
      <c r="A567">
        <v>566</v>
      </c>
      <c r="B567" s="5">
        <v>44762</v>
      </c>
      <c r="C567" s="4">
        <f t="shared" si="108"/>
        <v>2022</v>
      </c>
      <c r="D567" s="4">
        <f t="shared" si="109"/>
        <v>7</v>
      </c>
      <c r="E567" s="14">
        <v>44762</v>
      </c>
      <c r="F567" s="4">
        <f t="shared" si="110"/>
        <v>20</v>
      </c>
      <c r="G567">
        <v>151</v>
      </c>
      <c r="H567">
        <v>128</v>
      </c>
      <c r="I567" s="13">
        <f t="shared" si="111"/>
        <v>0.84</v>
      </c>
      <c r="J567">
        <f t="shared" si="104"/>
        <v>23</v>
      </c>
      <c r="K567" s="2">
        <v>6.018518518518519E-4</v>
      </c>
      <c r="L567" s="11">
        <f t="shared" si="105"/>
        <v>110.93333333333334</v>
      </c>
      <c r="M567" s="3">
        <f t="shared" si="112"/>
        <v>0.8666666666666667</v>
      </c>
      <c r="N567" s="4">
        <f t="shared" si="113"/>
        <v>52</v>
      </c>
      <c r="O567" s="2">
        <v>1.736111111111111E-3</v>
      </c>
      <c r="P567" s="9">
        <f t="shared" si="106"/>
        <v>320</v>
      </c>
      <c r="Q567" s="3">
        <f t="shared" si="114"/>
        <v>2.5</v>
      </c>
      <c r="R567" s="4">
        <f t="shared" si="115"/>
        <v>150</v>
      </c>
      <c r="S567" s="3">
        <f t="shared" si="116"/>
        <v>48</v>
      </c>
      <c r="T567" s="1">
        <v>0.37930000000000003</v>
      </c>
      <c r="U567" s="6">
        <f t="shared" si="107"/>
        <v>48.550400000000003</v>
      </c>
    </row>
    <row r="568" spans="1:21" x14ac:dyDescent="0.35">
      <c r="A568">
        <v>567</v>
      </c>
      <c r="B568" s="5">
        <v>44763</v>
      </c>
      <c r="C568" s="4">
        <f t="shared" si="108"/>
        <v>2022</v>
      </c>
      <c r="D568" s="4">
        <f t="shared" si="109"/>
        <v>7</v>
      </c>
      <c r="E568" s="14">
        <v>44763</v>
      </c>
      <c r="F568" s="4">
        <f t="shared" si="110"/>
        <v>21</v>
      </c>
      <c r="G568">
        <v>139</v>
      </c>
      <c r="H568">
        <v>128</v>
      </c>
      <c r="I568" s="13">
        <f t="shared" si="111"/>
        <v>0.92</v>
      </c>
      <c r="J568">
        <f t="shared" si="104"/>
        <v>11</v>
      </c>
      <c r="K568" s="2">
        <v>3.7037037037037035E-4</v>
      </c>
      <c r="L568" s="11">
        <f t="shared" si="105"/>
        <v>68.266666666666666</v>
      </c>
      <c r="M568" s="3">
        <f t="shared" si="112"/>
        <v>0.53333333333333333</v>
      </c>
      <c r="N568" s="4">
        <f t="shared" si="113"/>
        <v>32</v>
      </c>
      <c r="O568" s="2">
        <v>1.8981481481481482E-3</v>
      </c>
      <c r="P568" s="9">
        <f t="shared" si="106"/>
        <v>349.86666666666667</v>
      </c>
      <c r="Q568" s="3">
        <f t="shared" si="114"/>
        <v>2.7333333333333334</v>
      </c>
      <c r="R568" s="4">
        <f t="shared" si="115"/>
        <v>164</v>
      </c>
      <c r="S568" s="3">
        <f t="shared" si="116"/>
        <v>66</v>
      </c>
      <c r="T568" s="1">
        <v>0.51800000000000002</v>
      </c>
      <c r="U568" s="6">
        <f t="shared" si="107"/>
        <v>66.304000000000002</v>
      </c>
    </row>
    <row r="569" spans="1:21" x14ac:dyDescent="0.35">
      <c r="A569">
        <v>568</v>
      </c>
      <c r="B569" s="5">
        <v>44764</v>
      </c>
      <c r="C569" s="4">
        <f t="shared" si="108"/>
        <v>2022</v>
      </c>
      <c r="D569" s="4">
        <f t="shared" si="109"/>
        <v>7</v>
      </c>
      <c r="E569" s="14">
        <v>44764</v>
      </c>
      <c r="F569" s="4">
        <f t="shared" si="110"/>
        <v>22</v>
      </c>
      <c r="G569">
        <v>166</v>
      </c>
      <c r="H569">
        <v>135</v>
      </c>
      <c r="I569" s="13">
        <f t="shared" si="111"/>
        <v>0.81</v>
      </c>
      <c r="J569">
        <f t="shared" si="104"/>
        <v>31</v>
      </c>
      <c r="K569" s="2">
        <v>4.7453703703703704E-4</v>
      </c>
      <c r="L569" s="11">
        <f t="shared" si="105"/>
        <v>92.25</v>
      </c>
      <c r="M569" s="3">
        <f t="shared" si="112"/>
        <v>0.68333333333333335</v>
      </c>
      <c r="N569" s="4">
        <f t="shared" si="113"/>
        <v>41</v>
      </c>
      <c r="O569" s="2">
        <v>1.8518518518518519E-3</v>
      </c>
      <c r="P569" s="9">
        <f t="shared" si="106"/>
        <v>360</v>
      </c>
      <c r="Q569" s="3">
        <f t="shared" si="114"/>
        <v>2.6666666666666665</v>
      </c>
      <c r="R569" s="4">
        <f t="shared" si="115"/>
        <v>160</v>
      </c>
      <c r="S569" s="3">
        <f t="shared" si="116"/>
        <v>62</v>
      </c>
      <c r="T569" s="1">
        <v>0.46500000000000002</v>
      </c>
      <c r="U569" s="6">
        <f t="shared" si="107"/>
        <v>62.775000000000006</v>
      </c>
    </row>
    <row r="570" spans="1:21" x14ac:dyDescent="0.35">
      <c r="A570">
        <v>569</v>
      </c>
      <c r="B570" s="5">
        <v>44765</v>
      </c>
      <c r="C570" s="4">
        <f t="shared" si="108"/>
        <v>2022</v>
      </c>
      <c r="D570" s="4">
        <f t="shared" si="109"/>
        <v>7</v>
      </c>
      <c r="E570" s="14">
        <v>44765</v>
      </c>
      <c r="F570" s="4">
        <f t="shared" si="110"/>
        <v>23</v>
      </c>
      <c r="G570">
        <v>258</v>
      </c>
      <c r="H570">
        <v>196</v>
      </c>
      <c r="I570" s="13">
        <f t="shared" si="111"/>
        <v>0.75</v>
      </c>
      <c r="J570">
        <f t="shared" si="104"/>
        <v>62</v>
      </c>
      <c r="K570" s="2">
        <v>8.1018518518518516E-4</v>
      </c>
      <c r="L570" s="11">
        <f t="shared" si="105"/>
        <v>228.66666666666669</v>
      </c>
      <c r="M570" s="3">
        <f t="shared" si="112"/>
        <v>1.1666666666666667</v>
      </c>
      <c r="N570" s="4">
        <f t="shared" si="113"/>
        <v>70</v>
      </c>
      <c r="O570" s="2">
        <v>1.736111111111111E-3</v>
      </c>
      <c r="P570" s="9">
        <f t="shared" si="106"/>
        <v>490</v>
      </c>
      <c r="Q570" s="3">
        <f t="shared" si="114"/>
        <v>2.5</v>
      </c>
      <c r="R570" s="4">
        <f t="shared" si="115"/>
        <v>150</v>
      </c>
      <c r="S570" s="3">
        <f t="shared" si="116"/>
        <v>47</v>
      </c>
      <c r="T570" s="1">
        <v>0.2429</v>
      </c>
      <c r="U570" s="6">
        <f t="shared" si="107"/>
        <v>47.608400000000003</v>
      </c>
    </row>
    <row r="571" spans="1:21" x14ac:dyDescent="0.35">
      <c r="A571">
        <v>570</v>
      </c>
      <c r="B571" s="5">
        <v>44766</v>
      </c>
      <c r="C571" s="4">
        <f t="shared" si="108"/>
        <v>2022</v>
      </c>
      <c r="D571" s="4">
        <f t="shared" si="109"/>
        <v>7</v>
      </c>
      <c r="E571" s="14">
        <v>44766</v>
      </c>
      <c r="F571" s="4">
        <f t="shared" si="110"/>
        <v>24</v>
      </c>
      <c r="G571">
        <v>203</v>
      </c>
      <c r="H571">
        <v>176</v>
      </c>
      <c r="I571" s="13">
        <f t="shared" si="111"/>
        <v>0.86</v>
      </c>
      <c r="J571">
        <f t="shared" si="104"/>
        <v>27</v>
      </c>
      <c r="K571" s="2">
        <v>4.6296296296296298E-4</v>
      </c>
      <c r="L571" s="11">
        <f t="shared" si="105"/>
        <v>117.33333333333333</v>
      </c>
      <c r="M571" s="3">
        <f t="shared" si="112"/>
        <v>0.66666666666666663</v>
      </c>
      <c r="N571" s="4">
        <f t="shared" si="113"/>
        <v>40</v>
      </c>
      <c r="O571" s="2">
        <v>1.736111111111111E-3</v>
      </c>
      <c r="P571" s="9">
        <f t="shared" si="106"/>
        <v>440</v>
      </c>
      <c r="Q571" s="3">
        <f t="shared" si="114"/>
        <v>2.5</v>
      </c>
      <c r="R571" s="4">
        <f t="shared" si="115"/>
        <v>150</v>
      </c>
      <c r="S571" s="3">
        <f t="shared" si="116"/>
        <v>78</v>
      </c>
      <c r="T571" s="1">
        <v>0.44779999999999998</v>
      </c>
      <c r="U571" s="6">
        <f t="shared" si="107"/>
        <v>78.812799999999996</v>
      </c>
    </row>
    <row r="572" spans="1:21" x14ac:dyDescent="0.35">
      <c r="A572">
        <v>571</v>
      </c>
      <c r="B572" s="5">
        <v>44767</v>
      </c>
      <c r="C572" s="4">
        <f t="shared" si="108"/>
        <v>2022</v>
      </c>
      <c r="D572" s="4">
        <f t="shared" si="109"/>
        <v>7</v>
      </c>
      <c r="E572" s="14">
        <v>44767</v>
      </c>
      <c r="F572" s="4">
        <f t="shared" si="110"/>
        <v>25</v>
      </c>
      <c r="G572">
        <v>182</v>
      </c>
      <c r="H572">
        <v>162</v>
      </c>
      <c r="I572" s="13">
        <f t="shared" si="111"/>
        <v>0.89</v>
      </c>
      <c r="J572">
        <f t="shared" si="104"/>
        <v>20</v>
      </c>
      <c r="K572" s="2">
        <v>2.8935185185185184E-4</v>
      </c>
      <c r="L572" s="11">
        <f t="shared" si="105"/>
        <v>67.5</v>
      </c>
      <c r="M572" s="3">
        <f t="shared" si="112"/>
        <v>0.41666666666666669</v>
      </c>
      <c r="N572" s="4">
        <f t="shared" si="113"/>
        <v>25</v>
      </c>
      <c r="O572" s="2">
        <v>1.9444444444444444E-3</v>
      </c>
      <c r="P572" s="9">
        <f t="shared" si="106"/>
        <v>453.59999999999997</v>
      </c>
      <c r="Q572" s="3">
        <f t="shared" si="114"/>
        <v>2.8</v>
      </c>
      <c r="R572" s="4">
        <f t="shared" si="115"/>
        <v>168</v>
      </c>
      <c r="S572" s="3">
        <f t="shared" si="116"/>
        <v>96</v>
      </c>
      <c r="T572" s="1">
        <v>0.59430000000000005</v>
      </c>
      <c r="U572" s="6">
        <f t="shared" si="107"/>
        <v>96.276600000000002</v>
      </c>
    </row>
    <row r="573" spans="1:21" x14ac:dyDescent="0.35">
      <c r="A573">
        <v>572</v>
      </c>
      <c r="B573" s="5">
        <v>44768</v>
      </c>
      <c r="C573" s="4">
        <f t="shared" si="108"/>
        <v>2022</v>
      </c>
      <c r="D573" s="4">
        <f t="shared" si="109"/>
        <v>7</v>
      </c>
      <c r="E573" s="14">
        <v>44768</v>
      </c>
      <c r="F573" s="4">
        <f t="shared" si="110"/>
        <v>26</v>
      </c>
      <c r="G573">
        <v>18</v>
      </c>
      <c r="H573">
        <v>17</v>
      </c>
      <c r="I573" s="13">
        <f t="shared" si="111"/>
        <v>0.94</v>
      </c>
      <c r="J573">
        <f t="shared" si="104"/>
        <v>1</v>
      </c>
      <c r="K573" s="2">
        <v>6.3657407407407413E-4</v>
      </c>
      <c r="L573" s="11">
        <f t="shared" si="105"/>
        <v>15.583333333333332</v>
      </c>
      <c r="M573" s="3">
        <f t="shared" si="112"/>
        <v>0.91666666666666663</v>
      </c>
      <c r="N573" s="4">
        <f t="shared" si="113"/>
        <v>55</v>
      </c>
      <c r="O573" s="2">
        <v>2.7893518518518519E-3</v>
      </c>
      <c r="P573" s="9">
        <f t="shared" si="106"/>
        <v>68.283333333333331</v>
      </c>
      <c r="Q573" s="3">
        <f t="shared" si="114"/>
        <v>4.0166666666666666</v>
      </c>
      <c r="R573" s="4">
        <f t="shared" si="115"/>
        <v>241</v>
      </c>
      <c r="S573" s="3">
        <f t="shared" si="116"/>
        <v>8</v>
      </c>
      <c r="T573" s="1">
        <v>0.5</v>
      </c>
      <c r="U573" s="6">
        <f t="shared" si="107"/>
        <v>8.5</v>
      </c>
    </row>
    <row r="574" spans="1:21" x14ac:dyDescent="0.35">
      <c r="A574">
        <v>573</v>
      </c>
      <c r="B574" s="5">
        <v>44769</v>
      </c>
      <c r="C574" s="4">
        <f t="shared" si="108"/>
        <v>2022</v>
      </c>
      <c r="D574" s="4">
        <f t="shared" si="109"/>
        <v>7</v>
      </c>
      <c r="E574" s="14">
        <v>44769</v>
      </c>
      <c r="F574" s="4">
        <f t="shared" si="110"/>
        <v>27</v>
      </c>
      <c r="G574">
        <v>215</v>
      </c>
      <c r="H574">
        <v>170</v>
      </c>
      <c r="I574" s="13">
        <f t="shared" si="111"/>
        <v>0.79</v>
      </c>
      <c r="J574">
        <f t="shared" si="104"/>
        <v>45</v>
      </c>
      <c r="K574" s="2">
        <v>6.3657407407407413E-4</v>
      </c>
      <c r="L574" s="11">
        <f t="shared" si="105"/>
        <v>155.83333333333331</v>
      </c>
      <c r="M574" s="3">
        <f t="shared" si="112"/>
        <v>0.91666666666666663</v>
      </c>
      <c r="N574" s="4">
        <f t="shared" si="113"/>
        <v>55</v>
      </c>
      <c r="O574" s="2">
        <v>1.9560185185185184E-3</v>
      </c>
      <c r="P574" s="9">
        <f t="shared" si="106"/>
        <v>478.83333333333331</v>
      </c>
      <c r="Q574" s="3">
        <f t="shared" si="114"/>
        <v>2.8166666666666664</v>
      </c>
      <c r="R574" s="4">
        <f t="shared" si="115"/>
        <v>169</v>
      </c>
      <c r="S574" s="3">
        <f t="shared" si="116"/>
        <v>73</v>
      </c>
      <c r="T574" s="1">
        <v>0.43059999999999998</v>
      </c>
      <c r="U574" s="6">
        <f t="shared" si="107"/>
        <v>73.201999999999998</v>
      </c>
    </row>
    <row r="575" spans="1:21" x14ac:dyDescent="0.35">
      <c r="A575">
        <v>574</v>
      </c>
      <c r="B575" s="5">
        <v>44770</v>
      </c>
      <c r="C575" s="4">
        <f t="shared" si="108"/>
        <v>2022</v>
      </c>
      <c r="D575" s="4">
        <f t="shared" si="109"/>
        <v>7</v>
      </c>
      <c r="E575" s="14">
        <v>44770</v>
      </c>
      <c r="F575" s="4">
        <f t="shared" si="110"/>
        <v>28</v>
      </c>
      <c r="G575">
        <v>209</v>
      </c>
      <c r="H575">
        <v>203</v>
      </c>
      <c r="I575" s="13">
        <f t="shared" si="111"/>
        <v>0.97</v>
      </c>
      <c r="J575">
        <f t="shared" si="104"/>
        <v>6</v>
      </c>
      <c r="K575" s="2">
        <v>2.8935185185185184E-4</v>
      </c>
      <c r="L575" s="11">
        <f t="shared" si="105"/>
        <v>84.583333333333343</v>
      </c>
      <c r="M575" s="3">
        <f t="shared" si="112"/>
        <v>0.41666666666666669</v>
      </c>
      <c r="N575" s="4">
        <f t="shared" si="113"/>
        <v>25</v>
      </c>
      <c r="O575" s="2">
        <v>1.8749999999999999E-3</v>
      </c>
      <c r="P575" s="9">
        <f t="shared" si="106"/>
        <v>548.1</v>
      </c>
      <c r="Q575" s="3">
        <f t="shared" si="114"/>
        <v>2.7</v>
      </c>
      <c r="R575" s="4">
        <f t="shared" si="115"/>
        <v>162</v>
      </c>
      <c r="S575" s="3">
        <f t="shared" si="116"/>
        <v>152</v>
      </c>
      <c r="T575" s="1">
        <v>0.74880000000000002</v>
      </c>
      <c r="U575" s="6">
        <f t="shared" si="107"/>
        <v>152.00640000000001</v>
      </c>
    </row>
    <row r="576" spans="1:21" x14ac:dyDescent="0.35">
      <c r="A576">
        <v>575</v>
      </c>
      <c r="B576" s="5">
        <v>44771</v>
      </c>
      <c r="C576" s="4">
        <f t="shared" si="108"/>
        <v>2022</v>
      </c>
      <c r="D576" s="4">
        <f t="shared" si="109"/>
        <v>7</v>
      </c>
      <c r="E576" s="14">
        <v>44771</v>
      </c>
      <c r="F576" s="4">
        <f t="shared" si="110"/>
        <v>29</v>
      </c>
      <c r="G576">
        <v>140</v>
      </c>
      <c r="H576">
        <v>134</v>
      </c>
      <c r="I576" s="13">
        <f t="shared" si="111"/>
        <v>0.95</v>
      </c>
      <c r="J576">
        <f t="shared" si="104"/>
        <v>6</v>
      </c>
      <c r="K576" s="2">
        <v>2.3148148148148149E-4</v>
      </c>
      <c r="L576" s="11">
        <f t="shared" si="105"/>
        <v>44.666666666666664</v>
      </c>
      <c r="M576" s="3">
        <f t="shared" si="112"/>
        <v>0.33333333333333331</v>
      </c>
      <c r="N576" s="4">
        <f t="shared" si="113"/>
        <v>20</v>
      </c>
      <c r="O576" s="2">
        <v>2.0717592592592593E-3</v>
      </c>
      <c r="P576" s="9">
        <f t="shared" si="106"/>
        <v>399.76666666666665</v>
      </c>
      <c r="Q576" s="3">
        <f t="shared" si="114"/>
        <v>2.9833333333333334</v>
      </c>
      <c r="R576" s="4">
        <f t="shared" si="115"/>
        <v>179</v>
      </c>
      <c r="S576" s="3">
        <f t="shared" si="116"/>
        <v>102</v>
      </c>
      <c r="T576" s="1">
        <v>0.76259999999999994</v>
      </c>
      <c r="U576" s="6">
        <f t="shared" si="107"/>
        <v>102.18839999999999</v>
      </c>
    </row>
    <row r="577" spans="1:21" x14ac:dyDescent="0.35">
      <c r="A577">
        <v>576</v>
      </c>
      <c r="B577" s="5">
        <v>44772</v>
      </c>
      <c r="C577" s="4">
        <f t="shared" si="108"/>
        <v>2022</v>
      </c>
      <c r="D577" s="4">
        <f t="shared" si="109"/>
        <v>7</v>
      </c>
      <c r="E577" s="14">
        <v>44772</v>
      </c>
      <c r="F577" s="4">
        <f t="shared" si="110"/>
        <v>30</v>
      </c>
      <c r="G577">
        <v>124</v>
      </c>
      <c r="H577">
        <v>110</v>
      </c>
      <c r="I577" s="13">
        <f t="shared" si="111"/>
        <v>0.88</v>
      </c>
      <c r="J577">
        <f t="shared" si="104"/>
        <v>14</v>
      </c>
      <c r="K577" s="2">
        <v>1.7361111111111112E-4</v>
      </c>
      <c r="L577" s="11">
        <f t="shared" si="105"/>
        <v>27.5</v>
      </c>
      <c r="M577" s="3">
        <f t="shared" si="112"/>
        <v>0.25</v>
      </c>
      <c r="N577" s="4">
        <f t="shared" si="113"/>
        <v>15</v>
      </c>
      <c r="O577" s="2">
        <v>2.0370370370370369E-3</v>
      </c>
      <c r="P577" s="9">
        <f t="shared" si="106"/>
        <v>322.66666666666669</v>
      </c>
      <c r="Q577" s="3">
        <f t="shared" si="114"/>
        <v>2.9333333333333336</v>
      </c>
      <c r="R577" s="4">
        <f t="shared" si="115"/>
        <v>176</v>
      </c>
      <c r="S577" s="3">
        <f t="shared" si="116"/>
        <v>90</v>
      </c>
      <c r="T577" s="1">
        <v>0.81820000000000004</v>
      </c>
      <c r="U577" s="6">
        <f t="shared" si="107"/>
        <v>90.00200000000001</v>
      </c>
    </row>
    <row r="578" spans="1:21" x14ac:dyDescent="0.35">
      <c r="A578">
        <v>577</v>
      </c>
      <c r="B578" s="5">
        <v>44773</v>
      </c>
      <c r="C578" s="4">
        <f t="shared" si="108"/>
        <v>2022</v>
      </c>
      <c r="D578" s="4">
        <f t="shared" si="109"/>
        <v>7</v>
      </c>
      <c r="E578" s="14">
        <v>44773</v>
      </c>
      <c r="F578" s="4">
        <f t="shared" si="110"/>
        <v>31</v>
      </c>
      <c r="G578">
        <v>179</v>
      </c>
      <c r="H578">
        <v>163</v>
      </c>
      <c r="I578" s="13">
        <f t="shared" si="111"/>
        <v>0.91</v>
      </c>
      <c r="J578">
        <f t="shared" ref="J578:J641" si="117">G578-H578</f>
        <v>16</v>
      </c>
      <c r="K578" s="2">
        <v>2.6620370370370372E-4</v>
      </c>
      <c r="L578" s="11">
        <f t="shared" ref="L578:L641" si="118">H578*M578</f>
        <v>62.483333333333334</v>
      </c>
      <c r="M578" s="3">
        <f t="shared" si="112"/>
        <v>0.38333333333333336</v>
      </c>
      <c r="N578" s="4">
        <f t="shared" si="113"/>
        <v>23</v>
      </c>
      <c r="O578" s="2">
        <v>1.8981481481481482E-3</v>
      </c>
      <c r="P578" s="9">
        <f t="shared" ref="P578:P641" si="119">Q578*H578</f>
        <v>445.53333333333336</v>
      </c>
      <c r="Q578" s="3">
        <f t="shared" si="114"/>
        <v>2.7333333333333334</v>
      </c>
      <c r="R578" s="4">
        <f t="shared" si="115"/>
        <v>164</v>
      </c>
      <c r="S578" s="3">
        <f t="shared" si="116"/>
        <v>116</v>
      </c>
      <c r="T578" s="1">
        <v>0.71589999999999998</v>
      </c>
      <c r="U578" s="6">
        <f t="shared" ref="U578:U641" si="120">T578*H578</f>
        <v>116.6917</v>
      </c>
    </row>
    <row r="579" spans="1:21" x14ac:dyDescent="0.35">
      <c r="A579">
        <v>578</v>
      </c>
      <c r="B579" s="5">
        <v>44774</v>
      </c>
      <c r="C579" s="4">
        <f t="shared" ref="C579:C642" si="121">YEAR(B579)</f>
        <v>2022</v>
      </c>
      <c r="D579" s="4">
        <f t="shared" ref="D579:D642" si="122">MONTH(B579)</f>
        <v>8</v>
      </c>
      <c r="E579" s="14">
        <v>44774</v>
      </c>
      <c r="F579" s="4">
        <f t="shared" ref="F579:F642" si="123">DAY(B579)</f>
        <v>1</v>
      </c>
      <c r="G579">
        <v>163</v>
      </c>
      <c r="H579">
        <v>161</v>
      </c>
      <c r="I579" s="13">
        <f t="shared" ref="I579:I642" si="124">TRUNC(H579/G579,2)</f>
        <v>0.98</v>
      </c>
      <c r="J579">
        <f t="shared" si="117"/>
        <v>2</v>
      </c>
      <c r="K579" s="2">
        <v>1.1574074074074075E-4</v>
      </c>
      <c r="L579" s="11">
        <f t="shared" si="118"/>
        <v>26.833333333333332</v>
      </c>
      <c r="M579" s="3">
        <f t="shared" ref="M579:M642" si="125">MINUTE(K579)+SECOND(K579)/60</f>
        <v>0.16666666666666666</v>
      </c>
      <c r="N579" s="4">
        <f t="shared" ref="N579:N642" si="126">M579*60</f>
        <v>10</v>
      </c>
      <c r="O579" s="2">
        <v>1.8518518518518519E-3</v>
      </c>
      <c r="P579" s="9">
        <f t="shared" si="119"/>
        <v>429.33333333333331</v>
      </c>
      <c r="Q579" s="3">
        <f t="shared" ref="Q579:Q642" si="127">MINUTE(O579)+SECOND(O579)/60</f>
        <v>2.6666666666666665</v>
      </c>
      <c r="R579" s="4">
        <f t="shared" ref="R579:R642" si="128">Q579*60</f>
        <v>160</v>
      </c>
      <c r="S579" s="3">
        <f t="shared" ref="S579:S642" si="129">TRUNC(U579,0)</f>
        <v>152</v>
      </c>
      <c r="T579" s="1">
        <v>0.94410000000000005</v>
      </c>
      <c r="U579" s="6">
        <f t="shared" si="120"/>
        <v>152.0001</v>
      </c>
    </row>
    <row r="580" spans="1:21" x14ac:dyDescent="0.35">
      <c r="A580">
        <v>579</v>
      </c>
      <c r="B580" s="5">
        <v>44775</v>
      </c>
      <c r="C580" s="4">
        <f t="shared" si="121"/>
        <v>2022</v>
      </c>
      <c r="D580" s="4">
        <f t="shared" si="122"/>
        <v>8</v>
      </c>
      <c r="E580" s="14">
        <v>44775</v>
      </c>
      <c r="F580" s="4">
        <f t="shared" si="123"/>
        <v>2</v>
      </c>
      <c r="G580">
        <v>27</v>
      </c>
      <c r="H580">
        <v>27</v>
      </c>
      <c r="I580" s="13">
        <f t="shared" si="124"/>
        <v>1</v>
      </c>
      <c r="J580">
        <f t="shared" si="117"/>
        <v>0</v>
      </c>
      <c r="K580" s="2">
        <v>5.7870370370370373E-5</v>
      </c>
      <c r="L580" s="11">
        <f t="shared" si="118"/>
        <v>2.25</v>
      </c>
      <c r="M580" s="3">
        <f t="shared" si="125"/>
        <v>8.3333333333333329E-2</v>
      </c>
      <c r="N580" s="4">
        <f t="shared" si="126"/>
        <v>5</v>
      </c>
      <c r="O580" s="2">
        <v>1.9444444444444444E-3</v>
      </c>
      <c r="P580" s="9">
        <f t="shared" si="119"/>
        <v>75.599999999999994</v>
      </c>
      <c r="Q580" s="3">
        <f t="shared" si="127"/>
        <v>2.8</v>
      </c>
      <c r="R580" s="4">
        <f t="shared" si="128"/>
        <v>168</v>
      </c>
      <c r="S580" s="3">
        <f t="shared" si="129"/>
        <v>27</v>
      </c>
      <c r="T580" s="1">
        <v>1</v>
      </c>
      <c r="U580" s="6">
        <f t="shared" si="120"/>
        <v>27</v>
      </c>
    </row>
    <row r="581" spans="1:21" x14ac:dyDescent="0.35">
      <c r="A581">
        <v>580</v>
      </c>
      <c r="B581" s="5">
        <v>44776</v>
      </c>
      <c r="C581" s="4">
        <f t="shared" si="121"/>
        <v>2022</v>
      </c>
      <c r="D581" s="4">
        <f t="shared" si="122"/>
        <v>8</v>
      </c>
      <c r="E581" s="14">
        <v>44776</v>
      </c>
      <c r="F581" s="4">
        <f t="shared" si="123"/>
        <v>3</v>
      </c>
      <c r="G581">
        <v>182</v>
      </c>
      <c r="H581">
        <v>175</v>
      </c>
      <c r="I581" s="13">
        <f t="shared" si="124"/>
        <v>0.96</v>
      </c>
      <c r="J581">
        <f t="shared" si="117"/>
        <v>7</v>
      </c>
      <c r="K581" s="2">
        <v>2.199074074074074E-4</v>
      </c>
      <c r="L581" s="11">
        <f t="shared" si="118"/>
        <v>55.416666666666664</v>
      </c>
      <c r="M581" s="3">
        <f t="shared" si="125"/>
        <v>0.31666666666666665</v>
      </c>
      <c r="N581" s="4">
        <f t="shared" si="126"/>
        <v>19</v>
      </c>
      <c r="O581" s="2">
        <v>1.8287037037037037E-3</v>
      </c>
      <c r="P581" s="9">
        <f t="shared" si="119"/>
        <v>460.83333333333331</v>
      </c>
      <c r="Q581" s="3">
        <f t="shared" si="127"/>
        <v>2.6333333333333333</v>
      </c>
      <c r="R581" s="4">
        <f t="shared" si="128"/>
        <v>158</v>
      </c>
      <c r="S581" s="3">
        <f t="shared" si="129"/>
        <v>139</v>
      </c>
      <c r="T581" s="1">
        <v>0.79890000000000005</v>
      </c>
      <c r="U581" s="6">
        <f t="shared" si="120"/>
        <v>139.8075</v>
      </c>
    </row>
    <row r="582" spans="1:21" x14ac:dyDescent="0.35">
      <c r="A582">
        <v>581</v>
      </c>
      <c r="B582" s="5">
        <v>44777</v>
      </c>
      <c r="C582" s="4">
        <f t="shared" si="121"/>
        <v>2022</v>
      </c>
      <c r="D582" s="4">
        <f t="shared" si="122"/>
        <v>8</v>
      </c>
      <c r="E582" s="14">
        <v>44777</v>
      </c>
      <c r="F582" s="4">
        <f t="shared" si="123"/>
        <v>4</v>
      </c>
      <c r="G582">
        <v>164</v>
      </c>
      <c r="H582">
        <v>159</v>
      </c>
      <c r="I582" s="13">
        <f t="shared" si="124"/>
        <v>0.96</v>
      </c>
      <c r="J582">
        <f t="shared" si="117"/>
        <v>5</v>
      </c>
      <c r="K582" s="2">
        <v>1.273148148148148E-4</v>
      </c>
      <c r="L582" s="11">
        <f t="shared" si="118"/>
        <v>29.15</v>
      </c>
      <c r="M582" s="3">
        <f t="shared" si="125"/>
        <v>0.18333333333333332</v>
      </c>
      <c r="N582" s="4">
        <f t="shared" si="126"/>
        <v>11</v>
      </c>
      <c r="O582" s="2">
        <v>1.6550925925925926E-3</v>
      </c>
      <c r="P582" s="9">
        <f t="shared" si="119"/>
        <v>378.95</v>
      </c>
      <c r="Q582" s="3">
        <f t="shared" si="127"/>
        <v>2.3833333333333333</v>
      </c>
      <c r="R582" s="4">
        <f t="shared" si="128"/>
        <v>143</v>
      </c>
      <c r="S582" s="3">
        <f t="shared" si="129"/>
        <v>143</v>
      </c>
      <c r="T582" s="1">
        <v>0.90180000000000005</v>
      </c>
      <c r="U582" s="6">
        <f t="shared" si="120"/>
        <v>143.3862</v>
      </c>
    </row>
    <row r="583" spans="1:21" x14ac:dyDescent="0.35">
      <c r="A583">
        <v>582</v>
      </c>
      <c r="B583" s="5">
        <v>44778</v>
      </c>
      <c r="C583" s="4">
        <f t="shared" si="121"/>
        <v>2022</v>
      </c>
      <c r="D583" s="4">
        <f t="shared" si="122"/>
        <v>8</v>
      </c>
      <c r="E583" s="14">
        <v>44778</v>
      </c>
      <c r="F583" s="4">
        <f t="shared" si="123"/>
        <v>5</v>
      </c>
      <c r="G583">
        <v>160</v>
      </c>
      <c r="H583">
        <v>159</v>
      </c>
      <c r="I583" s="13">
        <f t="shared" si="124"/>
        <v>0.99</v>
      </c>
      <c r="J583">
        <f t="shared" si="117"/>
        <v>1</v>
      </c>
      <c r="K583" s="2">
        <v>5.7870370370370373E-5</v>
      </c>
      <c r="L583" s="11">
        <f t="shared" si="118"/>
        <v>13.25</v>
      </c>
      <c r="M583" s="3">
        <f t="shared" si="125"/>
        <v>8.3333333333333329E-2</v>
      </c>
      <c r="N583" s="4">
        <f t="shared" si="126"/>
        <v>5</v>
      </c>
      <c r="O583" s="2">
        <v>1.8518518518518519E-3</v>
      </c>
      <c r="P583" s="9">
        <f t="shared" si="119"/>
        <v>424</v>
      </c>
      <c r="Q583" s="3">
        <f t="shared" si="127"/>
        <v>2.6666666666666665</v>
      </c>
      <c r="R583" s="4">
        <f t="shared" si="128"/>
        <v>160</v>
      </c>
      <c r="S583" s="3">
        <f t="shared" si="129"/>
        <v>156</v>
      </c>
      <c r="T583" s="1">
        <v>0.98740000000000006</v>
      </c>
      <c r="U583" s="6">
        <f t="shared" si="120"/>
        <v>156.9966</v>
      </c>
    </row>
    <row r="584" spans="1:21" x14ac:dyDescent="0.35">
      <c r="A584">
        <v>583</v>
      </c>
      <c r="B584" s="5">
        <v>44779</v>
      </c>
      <c r="C584" s="4">
        <f t="shared" si="121"/>
        <v>2022</v>
      </c>
      <c r="D584" s="4">
        <f t="shared" si="122"/>
        <v>8</v>
      </c>
      <c r="E584" s="14">
        <v>44779</v>
      </c>
      <c r="F584" s="4">
        <f t="shared" si="123"/>
        <v>6</v>
      </c>
      <c r="G584">
        <v>174</v>
      </c>
      <c r="H584">
        <v>155</v>
      </c>
      <c r="I584" s="13">
        <f t="shared" si="124"/>
        <v>0.89</v>
      </c>
      <c r="J584">
        <f t="shared" si="117"/>
        <v>19</v>
      </c>
      <c r="K584" s="2">
        <v>1.8518518518518518E-4</v>
      </c>
      <c r="L584" s="11">
        <f t="shared" si="118"/>
        <v>41.333333333333336</v>
      </c>
      <c r="M584" s="3">
        <f t="shared" si="125"/>
        <v>0.26666666666666666</v>
      </c>
      <c r="N584" s="4">
        <f t="shared" si="126"/>
        <v>16</v>
      </c>
      <c r="O584" s="2">
        <v>1.8634259259259259E-3</v>
      </c>
      <c r="P584" s="9">
        <f t="shared" si="119"/>
        <v>415.91666666666669</v>
      </c>
      <c r="Q584" s="3">
        <f t="shared" si="127"/>
        <v>2.6833333333333336</v>
      </c>
      <c r="R584" s="4">
        <f t="shared" si="128"/>
        <v>161</v>
      </c>
      <c r="S584" s="3">
        <f t="shared" si="129"/>
        <v>119</v>
      </c>
      <c r="T584" s="1">
        <v>0.77059999999999995</v>
      </c>
      <c r="U584" s="6">
        <f t="shared" si="120"/>
        <v>119.443</v>
      </c>
    </row>
    <row r="585" spans="1:21" x14ac:dyDescent="0.35">
      <c r="A585">
        <v>584</v>
      </c>
      <c r="B585" s="5">
        <v>44780</v>
      </c>
      <c r="C585" s="4">
        <f t="shared" si="121"/>
        <v>2022</v>
      </c>
      <c r="D585" s="4">
        <f t="shared" si="122"/>
        <v>8</v>
      </c>
      <c r="E585" s="14">
        <v>44780</v>
      </c>
      <c r="F585" s="4">
        <f t="shared" si="123"/>
        <v>7</v>
      </c>
      <c r="G585">
        <v>235</v>
      </c>
      <c r="H585">
        <v>230</v>
      </c>
      <c r="I585" s="13">
        <f t="shared" si="124"/>
        <v>0.97</v>
      </c>
      <c r="J585">
        <f t="shared" si="117"/>
        <v>5</v>
      </c>
      <c r="K585" s="2">
        <v>5.7870370370370373E-5</v>
      </c>
      <c r="L585" s="11">
        <f t="shared" si="118"/>
        <v>19.166666666666664</v>
      </c>
      <c r="M585" s="3">
        <f t="shared" si="125"/>
        <v>8.3333333333333329E-2</v>
      </c>
      <c r="N585" s="4">
        <f t="shared" si="126"/>
        <v>5</v>
      </c>
      <c r="O585" s="2">
        <v>1.7013888888888888E-3</v>
      </c>
      <c r="P585" s="9">
        <f t="shared" si="119"/>
        <v>563.5</v>
      </c>
      <c r="Q585" s="3">
        <f t="shared" si="127"/>
        <v>2.4500000000000002</v>
      </c>
      <c r="R585" s="4">
        <f t="shared" si="128"/>
        <v>147</v>
      </c>
      <c r="S585" s="3">
        <f t="shared" si="129"/>
        <v>220</v>
      </c>
      <c r="T585" s="1">
        <v>0.95740000000000003</v>
      </c>
      <c r="U585" s="6">
        <f t="shared" si="120"/>
        <v>220.202</v>
      </c>
    </row>
    <row r="586" spans="1:21" x14ac:dyDescent="0.35">
      <c r="A586">
        <v>585</v>
      </c>
      <c r="B586" s="5">
        <v>44781</v>
      </c>
      <c r="C586" s="4">
        <f t="shared" si="121"/>
        <v>2022</v>
      </c>
      <c r="D586" s="4">
        <f t="shared" si="122"/>
        <v>8</v>
      </c>
      <c r="E586" s="14">
        <v>44781</v>
      </c>
      <c r="F586" s="4">
        <f t="shared" si="123"/>
        <v>8</v>
      </c>
      <c r="G586">
        <v>175</v>
      </c>
      <c r="H586">
        <v>174</v>
      </c>
      <c r="I586" s="13">
        <f t="shared" si="124"/>
        <v>0.99</v>
      </c>
      <c r="J586">
        <f t="shared" si="117"/>
        <v>1</v>
      </c>
      <c r="K586" s="2">
        <v>4.6296296296296294E-5</v>
      </c>
      <c r="L586" s="11">
        <f t="shared" si="118"/>
        <v>11.6</v>
      </c>
      <c r="M586" s="3">
        <f t="shared" si="125"/>
        <v>6.6666666666666666E-2</v>
      </c>
      <c r="N586" s="4">
        <f t="shared" si="126"/>
        <v>4</v>
      </c>
      <c r="O586" s="2">
        <v>1.6898148148148148E-3</v>
      </c>
      <c r="P586" s="9">
        <f t="shared" si="119"/>
        <v>423.40000000000003</v>
      </c>
      <c r="Q586" s="3">
        <f t="shared" si="127"/>
        <v>2.4333333333333336</v>
      </c>
      <c r="R586" s="4">
        <f t="shared" si="128"/>
        <v>146</v>
      </c>
      <c r="S586" s="3">
        <f t="shared" si="129"/>
        <v>172</v>
      </c>
      <c r="T586" s="1">
        <v>0.98860000000000003</v>
      </c>
      <c r="U586" s="6">
        <f t="shared" si="120"/>
        <v>172.0164</v>
      </c>
    </row>
    <row r="587" spans="1:21" x14ac:dyDescent="0.35">
      <c r="A587">
        <v>586</v>
      </c>
      <c r="B587" s="5">
        <v>44782</v>
      </c>
      <c r="C587" s="4">
        <f t="shared" si="121"/>
        <v>2022</v>
      </c>
      <c r="D587" s="4">
        <f t="shared" si="122"/>
        <v>8</v>
      </c>
      <c r="E587" s="14">
        <v>44782</v>
      </c>
      <c r="F587" s="4">
        <f t="shared" si="123"/>
        <v>9</v>
      </c>
      <c r="G587">
        <v>25</v>
      </c>
      <c r="H587">
        <v>25</v>
      </c>
      <c r="I587" s="13">
        <f t="shared" si="124"/>
        <v>1</v>
      </c>
      <c r="J587">
        <f t="shared" si="117"/>
        <v>0</v>
      </c>
      <c r="K587" s="2">
        <v>4.6296296296296294E-5</v>
      </c>
      <c r="L587" s="11">
        <f t="shared" si="118"/>
        <v>1.6666666666666667</v>
      </c>
      <c r="M587" s="3">
        <f t="shared" si="125"/>
        <v>6.6666666666666666E-2</v>
      </c>
      <c r="N587" s="4">
        <f t="shared" si="126"/>
        <v>4</v>
      </c>
      <c r="O587" s="2">
        <v>2.2569444444444442E-3</v>
      </c>
      <c r="P587" s="9">
        <f t="shared" si="119"/>
        <v>81.25</v>
      </c>
      <c r="Q587" s="3">
        <f t="shared" si="127"/>
        <v>3.25</v>
      </c>
      <c r="R587" s="4">
        <f t="shared" si="128"/>
        <v>195</v>
      </c>
      <c r="S587" s="3">
        <f t="shared" si="129"/>
        <v>24</v>
      </c>
      <c r="T587" s="1">
        <v>0.96</v>
      </c>
      <c r="U587" s="6">
        <f t="shared" si="120"/>
        <v>24</v>
      </c>
    </row>
    <row r="588" spans="1:21" x14ac:dyDescent="0.35">
      <c r="A588">
        <v>587</v>
      </c>
      <c r="B588" s="5">
        <v>44783</v>
      </c>
      <c r="C588" s="4">
        <f t="shared" si="121"/>
        <v>2022</v>
      </c>
      <c r="D588" s="4">
        <f t="shared" si="122"/>
        <v>8</v>
      </c>
      <c r="E588" s="14">
        <v>44783</v>
      </c>
      <c r="F588" s="4">
        <f t="shared" si="123"/>
        <v>10</v>
      </c>
      <c r="G588">
        <v>170</v>
      </c>
      <c r="H588">
        <v>167</v>
      </c>
      <c r="I588" s="13">
        <f t="shared" si="124"/>
        <v>0.98</v>
      </c>
      <c r="J588">
        <f t="shared" si="117"/>
        <v>3</v>
      </c>
      <c r="K588" s="2">
        <v>6.9444444444444444E-5</v>
      </c>
      <c r="L588" s="11">
        <f t="shared" si="118"/>
        <v>16.7</v>
      </c>
      <c r="M588" s="3">
        <f t="shared" si="125"/>
        <v>0.1</v>
      </c>
      <c r="N588" s="4">
        <f t="shared" si="126"/>
        <v>6</v>
      </c>
      <c r="O588" s="2">
        <v>1.7939814814814815E-3</v>
      </c>
      <c r="P588" s="9">
        <f t="shared" si="119"/>
        <v>431.41666666666669</v>
      </c>
      <c r="Q588" s="3">
        <f t="shared" si="127"/>
        <v>2.5833333333333335</v>
      </c>
      <c r="R588" s="4">
        <f t="shared" si="128"/>
        <v>155</v>
      </c>
      <c r="S588" s="3">
        <f t="shared" si="129"/>
        <v>157</v>
      </c>
      <c r="T588" s="1">
        <v>0.94079999999999997</v>
      </c>
      <c r="U588" s="6">
        <f t="shared" si="120"/>
        <v>157.11359999999999</v>
      </c>
    </row>
    <row r="589" spans="1:21" x14ac:dyDescent="0.35">
      <c r="A589">
        <v>588</v>
      </c>
      <c r="B589" s="5">
        <v>44784</v>
      </c>
      <c r="C589" s="4">
        <f t="shared" si="121"/>
        <v>2022</v>
      </c>
      <c r="D589" s="4">
        <f t="shared" si="122"/>
        <v>8</v>
      </c>
      <c r="E589" s="14">
        <v>44784</v>
      </c>
      <c r="F589" s="4">
        <f t="shared" si="123"/>
        <v>11</v>
      </c>
      <c r="G589">
        <v>187</v>
      </c>
      <c r="H589">
        <v>168</v>
      </c>
      <c r="I589" s="13">
        <f t="shared" si="124"/>
        <v>0.89</v>
      </c>
      <c r="J589">
        <f t="shared" si="117"/>
        <v>19</v>
      </c>
      <c r="K589" s="2">
        <v>3.0092592592592595E-4</v>
      </c>
      <c r="L589" s="11">
        <f t="shared" si="118"/>
        <v>72.8</v>
      </c>
      <c r="M589" s="3">
        <f t="shared" si="125"/>
        <v>0.43333333333333335</v>
      </c>
      <c r="N589" s="4">
        <f t="shared" si="126"/>
        <v>26</v>
      </c>
      <c r="O589" s="2">
        <v>1.6203703703703703E-3</v>
      </c>
      <c r="P589" s="9">
        <f t="shared" si="119"/>
        <v>392</v>
      </c>
      <c r="Q589" s="3">
        <f t="shared" si="127"/>
        <v>2.3333333333333335</v>
      </c>
      <c r="R589" s="4">
        <f t="shared" si="128"/>
        <v>140</v>
      </c>
      <c r="S589" s="3">
        <f t="shared" si="129"/>
        <v>118</v>
      </c>
      <c r="T589" s="1">
        <v>0.70430000000000004</v>
      </c>
      <c r="U589" s="6">
        <f t="shared" si="120"/>
        <v>118.3224</v>
      </c>
    </row>
    <row r="590" spans="1:21" x14ac:dyDescent="0.35">
      <c r="A590">
        <v>589</v>
      </c>
      <c r="B590" s="5">
        <v>44785</v>
      </c>
      <c r="C590" s="4">
        <f t="shared" si="121"/>
        <v>2022</v>
      </c>
      <c r="D590" s="4">
        <f t="shared" si="122"/>
        <v>8</v>
      </c>
      <c r="E590" s="14">
        <v>44785</v>
      </c>
      <c r="F590" s="4">
        <f t="shared" si="123"/>
        <v>12</v>
      </c>
      <c r="G590">
        <v>53</v>
      </c>
      <c r="H590">
        <v>51</v>
      </c>
      <c r="I590" s="13">
        <f t="shared" si="124"/>
        <v>0.96</v>
      </c>
      <c r="J590">
        <f t="shared" si="117"/>
        <v>2</v>
      </c>
      <c r="K590" s="2">
        <v>6.9444444444444444E-5</v>
      </c>
      <c r="L590" s="11">
        <f t="shared" si="118"/>
        <v>5.1000000000000005</v>
      </c>
      <c r="M590" s="3">
        <f t="shared" si="125"/>
        <v>0.1</v>
      </c>
      <c r="N590" s="4">
        <f t="shared" si="126"/>
        <v>6</v>
      </c>
      <c r="O590" s="2">
        <v>1.724537037037037E-3</v>
      </c>
      <c r="P590" s="9">
        <f t="shared" si="119"/>
        <v>126.65</v>
      </c>
      <c r="Q590" s="3">
        <f t="shared" si="127"/>
        <v>2.4833333333333334</v>
      </c>
      <c r="R590" s="4">
        <f t="shared" si="128"/>
        <v>149</v>
      </c>
      <c r="S590" s="3">
        <f t="shared" si="129"/>
        <v>45</v>
      </c>
      <c r="T590" s="1">
        <v>0.88680000000000003</v>
      </c>
      <c r="U590" s="6">
        <f t="shared" si="120"/>
        <v>45.226800000000004</v>
      </c>
    </row>
    <row r="591" spans="1:21" x14ac:dyDescent="0.35">
      <c r="A591">
        <v>590</v>
      </c>
      <c r="B591" s="5">
        <v>44786</v>
      </c>
      <c r="C591" s="4">
        <f t="shared" si="121"/>
        <v>2022</v>
      </c>
      <c r="D591" s="4">
        <f t="shared" si="122"/>
        <v>8</v>
      </c>
      <c r="E591" s="14">
        <v>44786</v>
      </c>
      <c r="F591" s="4">
        <f t="shared" si="123"/>
        <v>13</v>
      </c>
      <c r="G591">
        <v>121</v>
      </c>
      <c r="H591">
        <v>117</v>
      </c>
      <c r="I591" s="13">
        <f t="shared" si="124"/>
        <v>0.96</v>
      </c>
      <c r="J591">
        <f t="shared" si="117"/>
        <v>4</v>
      </c>
      <c r="K591" s="2">
        <v>1.5046296296296297E-4</v>
      </c>
      <c r="L591" s="11">
        <f t="shared" si="118"/>
        <v>25.35</v>
      </c>
      <c r="M591" s="3">
        <f t="shared" si="125"/>
        <v>0.21666666666666667</v>
      </c>
      <c r="N591" s="4">
        <f t="shared" si="126"/>
        <v>13</v>
      </c>
      <c r="O591" s="2">
        <v>1.8055555555555555E-3</v>
      </c>
      <c r="P591" s="9">
        <f t="shared" si="119"/>
        <v>304.2</v>
      </c>
      <c r="Q591" s="3">
        <f t="shared" si="127"/>
        <v>2.6</v>
      </c>
      <c r="R591" s="4">
        <f t="shared" si="128"/>
        <v>156</v>
      </c>
      <c r="S591" s="3">
        <f t="shared" si="129"/>
        <v>100</v>
      </c>
      <c r="T591" s="1">
        <v>0.85829999999999995</v>
      </c>
      <c r="U591" s="6">
        <f t="shared" si="120"/>
        <v>100.4211</v>
      </c>
    </row>
    <row r="592" spans="1:21" x14ac:dyDescent="0.35">
      <c r="A592">
        <v>591</v>
      </c>
      <c r="B592" s="5">
        <v>44787</v>
      </c>
      <c r="C592" s="4">
        <f t="shared" si="121"/>
        <v>2022</v>
      </c>
      <c r="D592" s="4">
        <f t="shared" si="122"/>
        <v>8</v>
      </c>
      <c r="E592" s="14">
        <v>44787</v>
      </c>
      <c r="F592" s="4">
        <f t="shared" si="123"/>
        <v>14</v>
      </c>
      <c r="G592">
        <v>143</v>
      </c>
      <c r="H592">
        <v>139</v>
      </c>
      <c r="I592" s="13">
        <f t="shared" si="124"/>
        <v>0.97</v>
      </c>
      <c r="J592">
        <f t="shared" si="117"/>
        <v>4</v>
      </c>
      <c r="K592" s="2">
        <v>5.7870370370370373E-5</v>
      </c>
      <c r="L592" s="11">
        <f t="shared" si="118"/>
        <v>11.583333333333332</v>
      </c>
      <c r="M592" s="3">
        <f t="shared" si="125"/>
        <v>8.3333333333333329E-2</v>
      </c>
      <c r="N592" s="4">
        <f t="shared" si="126"/>
        <v>5</v>
      </c>
      <c r="O592" s="2">
        <v>1.6898148148148148E-3</v>
      </c>
      <c r="P592" s="9">
        <f t="shared" si="119"/>
        <v>338.23333333333335</v>
      </c>
      <c r="Q592" s="3">
        <f t="shared" si="127"/>
        <v>2.4333333333333336</v>
      </c>
      <c r="R592" s="4">
        <f t="shared" si="128"/>
        <v>146</v>
      </c>
      <c r="S592" s="3">
        <f t="shared" si="129"/>
        <v>131</v>
      </c>
      <c r="T592" s="1">
        <v>0.94410000000000005</v>
      </c>
      <c r="U592" s="6">
        <f t="shared" si="120"/>
        <v>131.22990000000001</v>
      </c>
    </row>
    <row r="593" spans="1:21" x14ac:dyDescent="0.35">
      <c r="A593">
        <v>592</v>
      </c>
      <c r="B593" s="5">
        <v>44788</v>
      </c>
      <c r="C593" s="4">
        <f t="shared" si="121"/>
        <v>2022</v>
      </c>
      <c r="D593" s="4">
        <f t="shared" si="122"/>
        <v>8</v>
      </c>
      <c r="E593" s="14">
        <v>44788</v>
      </c>
      <c r="F593" s="4">
        <f t="shared" si="123"/>
        <v>15</v>
      </c>
      <c r="G593">
        <v>100</v>
      </c>
      <c r="H593">
        <v>96</v>
      </c>
      <c r="I593" s="13">
        <f t="shared" si="124"/>
        <v>0.96</v>
      </c>
      <c r="J593">
        <f t="shared" si="117"/>
        <v>4</v>
      </c>
      <c r="K593" s="2">
        <v>6.9444444444444444E-5</v>
      </c>
      <c r="L593" s="11">
        <f t="shared" si="118"/>
        <v>9.6000000000000014</v>
      </c>
      <c r="M593" s="3">
        <f t="shared" si="125"/>
        <v>0.1</v>
      </c>
      <c r="N593" s="4">
        <f t="shared" si="126"/>
        <v>6</v>
      </c>
      <c r="O593" s="2">
        <v>1.712962962962963E-3</v>
      </c>
      <c r="P593" s="9">
        <f t="shared" si="119"/>
        <v>236.8</v>
      </c>
      <c r="Q593" s="3">
        <f t="shared" si="127"/>
        <v>2.4666666666666668</v>
      </c>
      <c r="R593" s="4">
        <f t="shared" si="128"/>
        <v>148</v>
      </c>
      <c r="S593" s="3">
        <f t="shared" si="129"/>
        <v>88</v>
      </c>
      <c r="T593" s="1">
        <v>0.91920000000000002</v>
      </c>
      <c r="U593" s="6">
        <f t="shared" si="120"/>
        <v>88.243200000000002</v>
      </c>
    </row>
    <row r="594" spans="1:21" x14ac:dyDescent="0.35">
      <c r="A594">
        <v>593</v>
      </c>
      <c r="B594" s="5">
        <v>44789</v>
      </c>
      <c r="C594" s="4">
        <f t="shared" si="121"/>
        <v>2022</v>
      </c>
      <c r="D594" s="4">
        <f t="shared" si="122"/>
        <v>8</v>
      </c>
      <c r="E594" s="14">
        <v>44789</v>
      </c>
      <c r="F594" s="4">
        <f t="shared" si="123"/>
        <v>16</v>
      </c>
      <c r="G594">
        <v>17</v>
      </c>
      <c r="H594">
        <v>17</v>
      </c>
      <c r="I594" s="13">
        <f t="shared" si="124"/>
        <v>1</v>
      </c>
      <c r="J594">
        <f t="shared" si="117"/>
        <v>0</v>
      </c>
      <c r="K594" s="2">
        <v>9.2592592592592588E-5</v>
      </c>
      <c r="L594" s="11">
        <f t="shared" si="118"/>
        <v>2.2666666666666666</v>
      </c>
      <c r="M594" s="3">
        <f t="shared" si="125"/>
        <v>0.13333333333333333</v>
      </c>
      <c r="N594" s="4">
        <f t="shared" si="126"/>
        <v>8</v>
      </c>
      <c r="O594" s="2">
        <v>2.0254629629629629E-3</v>
      </c>
      <c r="P594" s="9">
        <f t="shared" si="119"/>
        <v>49.583333333333329</v>
      </c>
      <c r="Q594" s="3">
        <f t="shared" si="127"/>
        <v>2.9166666666666665</v>
      </c>
      <c r="R594" s="4">
        <f t="shared" si="128"/>
        <v>175</v>
      </c>
      <c r="S594" s="3">
        <f t="shared" si="129"/>
        <v>15</v>
      </c>
      <c r="T594" s="1">
        <v>0.88239999999999996</v>
      </c>
      <c r="U594" s="6">
        <f t="shared" si="120"/>
        <v>15.0008</v>
      </c>
    </row>
    <row r="595" spans="1:21" x14ac:dyDescent="0.35">
      <c r="A595">
        <v>594</v>
      </c>
      <c r="B595" s="5">
        <v>44790</v>
      </c>
      <c r="C595" s="4">
        <f t="shared" si="121"/>
        <v>2022</v>
      </c>
      <c r="D595" s="4">
        <f t="shared" si="122"/>
        <v>8</v>
      </c>
      <c r="E595" s="14">
        <v>44790</v>
      </c>
      <c r="F595" s="4">
        <f t="shared" si="123"/>
        <v>17</v>
      </c>
      <c r="G595">
        <v>113</v>
      </c>
      <c r="H595">
        <v>110</v>
      </c>
      <c r="I595" s="13">
        <f t="shared" si="124"/>
        <v>0.97</v>
      </c>
      <c r="J595">
        <f t="shared" si="117"/>
        <v>3</v>
      </c>
      <c r="K595" s="2">
        <v>9.2592592592592588E-5</v>
      </c>
      <c r="L595" s="11">
        <f t="shared" si="118"/>
        <v>14.666666666666666</v>
      </c>
      <c r="M595" s="3">
        <f t="shared" si="125"/>
        <v>0.13333333333333333</v>
      </c>
      <c r="N595" s="4">
        <f t="shared" si="126"/>
        <v>8</v>
      </c>
      <c r="O595" s="2">
        <v>1.7708333333333332E-3</v>
      </c>
      <c r="P595" s="9">
        <f t="shared" si="119"/>
        <v>280.5</v>
      </c>
      <c r="Q595" s="3">
        <f t="shared" si="127"/>
        <v>2.5499999999999998</v>
      </c>
      <c r="R595" s="4">
        <f t="shared" si="128"/>
        <v>153</v>
      </c>
      <c r="S595" s="3">
        <f t="shared" si="129"/>
        <v>99</v>
      </c>
      <c r="T595" s="1">
        <v>0.90180000000000005</v>
      </c>
      <c r="U595" s="6">
        <f t="shared" si="120"/>
        <v>99.198000000000008</v>
      </c>
    </row>
    <row r="596" spans="1:21" x14ac:dyDescent="0.35">
      <c r="A596">
        <v>595</v>
      </c>
      <c r="B596" s="5">
        <v>44791</v>
      </c>
      <c r="C596" s="4">
        <f t="shared" si="121"/>
        <v>2022</v>
      </c>
      <c r="D596" s="4">
        <f t="shared" si="122"/>
        <v>8</v>
      </c>
      <c r="E596" s="14">
        <v>44791</v>
      </c>
      <c r="F596" s="4">
        <f t="shared" si="123"/>
        <v>18</v>
      </c>
      <c r="G596">
        <v>139</v>
      </c>
      <c r="H596">
        <v>128</v>
      </c>
      <c r="I596" s="13">
        <f t="shared" si="124"/>
        <v>0.92</v>
      </c>
      <c r="J596">
        <f t="shared" si="117"/>
        <v>11</v>
      </c>
      <c r="K596" s="2">
        <v>1.5046296296296297E-4</v>
      </c>
      <c r="L596" s="11">
        <f t="shared" si="118"/>
        <v>27.733333333333334</v>
      </c>
      <c r="M596" s="3">
        <f t="shared" si="125"/>
        <v>0.21666666666666667</v>
      </c>
      <c r="N596" s="4">
        <f t="shared" si="126"/>
        <v>13</v>
      </c>
      <c r="O596" s="2">
        <v>1.8287037037037037E-3</v>
      </c>
      <c r="P596" s="9">
        <f t="shared" si="119"/>
        <v>337.06666666666666</v>
      </c>
      <c r="Q596" s="3">
        <f t="shared" si="127"/>
        <v>2.6333333333333333</v>
      </c>
      <c r="R596" s="4">
        <f t="shared" si="128"/>
        <v>158</v>
      </c>
      <c r="S596" s="3">
        <f t="shared" si="129"/>
        <v>104</v>
      </c>
      <c r="T596" s="1">
        <v>0.82010000000000005</v>
      </c>
      <c r="U596" s="6">
        <f t="shared" si="120"/>
        <v>104.97280000000001</v>
      </c>
    </row>
    <row r="597" spans="1:21" x14ac:dyDescent="0.35">
      <c r="A597">
        <v>596</v>
      </c>
      <c r="B597" s="5">
        <v>44792</v>
      </c>
      <c r="C597" s="4">
        <f t="shared" si="121"/>
        <v>2022</v>
      </c>
      <c r="D597" s="4">
        <f t="shared" si="122"/>
        <v>8</v>
      </c>
      <c r="E597" s="14">
        <v>44792</v>
      </c>
      <c r="F597" s="4">
        <f t="shared" si="123"/>
        <v>19</v>
      </c>
      <c r="G597">
        <v>135</v>
      </c>
      <c r="H597">
        <v>134</v>
      </c>
      <c r="I597" s="13">
        <f t="shared" si="124"/>
        <v>0.99</v>
      </c>
      <c r="J597">
        <f t="shared" si="117"/>
        <v>1</v>
      </c>
      <c r="K597" s="2">
        <v>4.6296296296296294E-5</v>
      </c>
      <c r="L597" s="11">
        <f t="shared" si="118"/>
        <v>8.9333333333333336</v>
      </c>
      <c r="M597" s="3">
        <f t="shared" si="125"/>
        <v>6.6666666666666666E-2</v>
      </c>
      <c r="N597" s="4">
        <f t="shared" si="126"/>
        <v>4</v>
      </c>
      <c r="O597" s="2">
        <v>1.7824074074074075E-3</v>
      </c>
      <c r="P597" s="9">
        <f t="shared" si="119"/>
        <v>343.93333333333328</v>
      </c>
      <c r="Q597" s="3">
        <f t="shared" si="127"/>
        <v>2.5666666666666664</v>
      </c>
      <c r="R597" s="4">
        <f t="shared" si="128"/>
        <v>154</v>
      </c>
      <c r="S597" s="3">
        <f t="shared" si="129"/>
        <v>132</v>
      </c>
      <c r="T597" s="1">
        <v>0.98519999999999996</v>
      </c>
      <c r="U597" s="6">
        <f t="shared" si="120"/>
        <v>132.01679999999999</v>
      </c>
    </row>
    <row r="598" spans="1:21" x14ac:dyDescent="0.35">
      <c r="A598">
        <v>597</v>
      </c>
      <c r="B598" s="5">
        <v>44793</v>
      </c>
      <c r="C598" s="4">
        <f t="shared" si="121"/>
        <v>2022</v>
      </c>
      <c r="D598" s="4">
        <f t="shared" si="122"/>
        <v>8</v>
      </c>
      <c r="E598" s="14">
        <v>44793</v>
      </c>
      <c r="F598" s="4">
        <f t="shared" si="123"/>
        <v>20</v>
      </c>
      <c r="G598">
        <v>29</v>
      </c>
      <c r="H598">
        <v>29</v>
      </c>
      <c r="I598" s="13">
        <f t="shared" si="124"/>
        <v>1</v>
      </c>
      <c r="J598">
        <f t="shared" si="117"/>
        <v>0</v>
      </c>
      <c r="K598" s="2">
        <v>1.7361111111111112E-4</v>
      </c>
      <c r="L598" s="11">
        <f t="shared" si="118"/>
        <v>7.25</v>
      </c>
      <c r="M598" s="3">
        <f t="shared" si="125"/>
        <v>0.25</v>
      </c>
      <c r="N598" s="4">
        <f t="shared" si="126"/>
        <v>15</v>
      </c>
      <c r="O598" s="2">
        <v>2.2337962962962962E-3</v>
      </c>
      <c r="P598" s="9">
        <f t="shared" si="119"/>
        <v>93.283333333333331</v>
      </c>
      <c r="Q598" s="3">
        <f t="shared" si="127"/>
        <v>3.2166666666666668</v>
      </c>
      <c r="R598" s="4">
        <f t="shared" si="128"/>
        <v>193</v>
      </c>
      <c r="S598" s="3">
        <f t="shared" si="129"/>
        <v>22</v>
      </c>
      <c r="T598" s="1">
        <v>0.79310000000000003</v>
      </c>
      <c r="U598" s="6">
        <f t="shared" si="120"/>
        <v>22.9999</v>
      </c>
    </row>
    <row r="599" spans="1:21" x14ac:dyDescent="0.35">
      <c r="A599">
        <v>598</v>
      </c>
      <c r="B599" s="5">
        <v>44794</v>
      </c>
      <c r="C599" s="4">
        <f t="shared" si="121"/>
        <v>2022</v>
      </c>
      <c r="D599" s="4">
        <f t="shared" si="122"/>
        <v>8</v>
      </c>
      <c r="E599" s="14">
        <v>44794</v>
      </c>
      <c r="F599" s="4">
        <f t="shared" si="123"/>
        <v>21</v>
      </c>
      <c r="G599">
        <v>120</v>
      </c>
      <c r="H599">
        <v>116</v>
      </c>
      <c r="I599" s="13">
        <f t="shared" si="124"/>
        <v>0.96</v>
      </c>
      <c r="J599">
        <f t="shared" si="117"/>
        <v>4</v>
      </c>
      <c r="K599" s="2">
        <v>5.7870370370370373E-5</v>
      </c>
      <c r="L599" s="11">
        <f t="shared" si="118"/>
        <v>9.6666666666666661</v>
      </c>
      <c r="M599" s="3">
        <f t="shared" si="125"/>
        <v>8.3333333333333329E-2</v>
      </c>
      <c r="N599" s="4">
        <f t="shared" si="126"/>
        <v>5</v>
      </c>
      <c r="O599" s="2">
        <v>1.8865740740740742E-3</v>
      </c>
      <c r="P599" s="9">
        <f t="shared" si="119"/>
        <v>315.13333333333333</v>
      </c>
      <c r="Q599" s="3">
        <f t="shared" si="127"/>
        <v>2.7166666666666668</v>
      </c>
      <c r="R599" s="4">
        <f t="shared" si="128"/>
        <v>163</v>
      </c>
      <c r="S599" s="3">
        <f t="shared" si="129"/>
        <v>111</v>
      </c>
      <c r="T599" s="1">
        <v>0.95830000000000004</v>
      </c>
      <c r="U599" s="6">
        <f t="shared" si="120"/>
        <v>111.1628</v>
      </c>
    </row>
    <row r="600" spans="1:21" x14ac:dyDescent="0.35">
      <c r="A600">
        <v>599</v>
      </c>
      <c r="B600" s="5">
        <v>44795</v>
      </c>
      <c r="C600" s="4">
        <f t="shared" si="121"/>
        <v>2022</v>
      </c>
      <c r="D600" s="4">
        <f t="shared" si="122"/>
        <v>8</v>
      </c>
      <c r="E600" s="14">
        <v>44795</v>
      </c>
      <c r="F600" s="4">
        <f t="shared" si="123"/>
        <v>22</v>
      </c>
      <c r="G600">
        <v>115</v>
      </c>
      <c r="H600">
        <v>108</v>
      </c>
      <c r="I600" s="13">
        <f t="shared" si="124"/>
        <v>0.93</v>
      </c>
      <c r="J600">
        <f t="shared" si="117"/>
        <v>7</v>
      </c>
      <c r="K600" s="2">
        <v>1.0416666666666667E-4</v>
      </c>
      <c r="L600" s="11">
        <f t="shared" si="118"/>
        <v>16.2</v>
      </c>
      <c r="M600" s="3">
        <f t="shared" si="125"/>
        <v>0.15</v>
      </c>
      <c r="N600" s="4">
        <f t="shared" si="126"/>
        <v>9</v>
      </c>
      <c r="O600" s="2">
        <v>1.9675925925925924E-3</v>
      </c>
      <c r="P600" s="9">
        <f t="shared" si="119"/>
        <v>306</v>
      </c>
      <c r="Q600" s="3">
        <f t="shared" si="127"/>
        <v>2.8333333333333335</v>
      </c>
      <c r="R600" s="4">
        <f t="shared" si="128"/>
        <v>170</v>
      </c>
      <c r="S600" s="3">
        <f t="shared" si="129"/>
        <v>95</v>
      </c>
      <c r="T600" s="1">
        <v>0.88700000000000001</v>
      </c>
      <c r="U600" s="6">
        <f t="shared" si="120"/>
        <v>95.796000000000006</v>
      </c>
    </row>
    <row r="601" spans="1:21" x14ac:dyDescent="0.35">
      <c r="A601">
        <v>600</v>
      </c>
      <c r="B601" s="5">
        <v>44796</v>
      </c>
      <c r="C601" s="4">
        <f t="shared" si="121"/>
        <v>2022</v>
      </c>
      <c r="D601" s="4">
        <f t="shared" si="122"/>
        <v>8</v>
      </c>
      <c r="E601" s="14">
        <v>44796</v>
      </c>
      <c r="F601" s="4">
        <f t="shared" si="123"/>
        <v>23</v>
      </c>
      <c r="G601">
        <v>14</v>
      </c>
      <c r="H601">
        <v>14</v>
      </c>
      <c r="I601" s="13">
        <f t="shared" si="124"/>
        <v>1</v>
      </c>
      <c r="J601">
        <f t="shared" si="117"/>
        <v>0</v>
      </c>
      <c r="K601" s="2">
        <v>1.6203703703703703E-4</v>
      </c>
      <c r="L601" s="11">
        <f t="shared" si="118"/>
        <v>3.2666666666666666</v>
      </c>
      <c r="M601" s="3">
        <f t="shared" si="125"/>
        <v>0.23333333333333334</v>
      </c>
      <c r="N601" s="4">
        <f t="shared" si="126"/>
        <v>14</v>
      </c>
      <c r="O601" s="2">
        <v>1.5856481481481481E-3</v>
      </c>
      <c r="P601" s="9">
        <f t="shared" si="119"/>
        <v>31.966666666666665</v>
      </c>
      <c r="Q601" s="3">
        <f t="shared" si="127"/>
        <v>2.2833333333333332</v>
      </c>
      <c r="R601" s="4">
        <f t="shared" si="128"/>
        <v>137</v>
      </c>
      <c r="S601" s="3">
        <f t="shared" si="129"/>
        <v>10</v>
      </c>
      <c r="T601" s="1">
        <v>0.78569999999999995</v>
      </c>
      <c r="U601" s="6">
        <f t="shared" si="120"/>
        <v>10.999799999999999</v>
      </c>
    </row>
    <row r="602" spans="1:21" x14ac:dyDescent="0.35">
      <c r="A602">
        <v>601</v>
      </c>
      <c r="B602" s="5">
        <v>44797</v>
      </c>
      <c r="C602" s="4">
        <f t="shared" si="121"/>
        <v>2022</v>
      </c>
      <c r="D602" s="4">
        <f t="shared" si="122"/>
        <v>8</v>
      </c>
      <c r="E602" s="14">
        <v>44797</v>
      </c>
      <c r="F602" s="4">
        <f t="shared" si="123"/>
        <v>24</v>
      </c>
      <c r="G602">
        <v>107</v>
      </c>
      <c r="H602">
        <v>104</v>
      </c>
      <c r="I602" s="13">
        <f t="shared" si="124"/>
        <v>0.97</v>
      </c>
      <c r="J602">
        <f t="shared" si="117"/>
        <v>3</v>
      </c>
      <c r="K602" s="2">
        <v>8.1018518518518516E-5</v>
      </c>
      <c r="L602" s="11">
        <f t="shared" si="118"/>
        <v>12.133333333333333</v>
      </c>
      <c r="M602" s="3">
        <f t="shared" si="125"/>
        <v>0.11666666666666667</v>
      </c>
      <c r="N602" s="4">
        <f t="shared" si="126"/>
        <v>7</v>
      </c>
      <c r="O602" s="2">
        <v>1.724537037037037E-3</v>
      </c>
      <c r="P602" s="9">
        <f t="shared" si="119"/>
        <v>258.26666666666665</v>
      </c>
      <c r="Q602" s="3">
        <f t="shared" si="127"/>
        <v>2.4833333333333334</v>
      </c>
      <c r="R602" s="4">
        <f t="shared" si="128"/>
        <v>149</v>
      </c>
      <c r="S602" s="3">
        <f t="shared" si="129"/>
        <v>94</v>
      </c>
      <c r="T602" s="1">
        <v>0.90569999999999995</v>
      </c>
      <c r="U602" s="6">
        <f t="shared" si="120"/>
        <v>94.192799999999991</v>
      </c>
    </row>
    <row r="603" spans="1:21" x14ac:dyDescent="0.35">
      <c r="A603">
        <v>602</v>
      </c>
      <c r="B603" s="5">
        <v>44798</v>
      </c>
      <c r="C603" s="4">
        <f t="shared" si="121"/>
        <v>2022</v>
      </c>
      <c r="D603" s="4">
        <f t="shared" si="122"/>
        <v>8</v>
      </c>
      <c r="E603" s="14">
        <v>44798</v>
      </c>
      <c r="F603" s="4">
        <f t="shared" si="123"/>
        <v>25</v>
      </c>
      <c r="G603">
        <v>137</v>
      </c>
      <c r="H603">
        <v>128</v>
      </c>
      <c r="I603" s="13">
        <f t="shared" si="124"/>
        <v>0.93</v>
      </c>
      <c r="J603">
        <f t="shared" si="117"/>
        <v>9</v>
      </c>
      <c r="K603" s="2">
        <v>1.1574074074074075E-4</v>
      </c>
      <c r="L603" s="11">
        <f t="shared" si="118"/>
        <v>21.333333333333332</v>
      </c>
      <c r="M603" s="3">
        <f t="shared" si="125"/>
        <v>0.16666666666666666</v>
      </c>
      <c r="N603" s="4">
        <f t="shared" si="126"/>
        <v>10</v>
      </c>
      <c r="O603" s="2">
        <v>1.736111111111111E-3</v>
      </c>
      <c r="P603" s="9">
        <f t="shared" si="119"/>
        <v>320</v>
      </c>
      <c r="Q603" s="3">
        <f t="shared" si="127"/>
        <v>2.5</v>
      </c>
      <c r="R603" s="4">
        <f t="shared" si="128"/>
        <v>150</v>
      </c>
      <c r="S603" s="3">
        <f t="shared" si="129"/>
        <v>109</v>
      </c>
      <c r="T603" s="1">
        <v>0.85289999999999999</v>
      </c>
      <c r="U603" s="6">
        <f t="shared" si="120"/>
        <v>109.1712</v>
      </c>
    </row>
    <row r="604" spans="1:21" x14ac:dyDescent="0.35">
      <c r="A604">
        <v>603</v>
      </c>
      <c r="B604" s="5">
        <v>44799</v>
      </c>
      <c r="C604" s="4">
        <f t="shared" si="121"/>
        <v>2022</v>
      </c>
      <c r="D604" s="4">
        <f t="shared" si="122"/>
        <v>8</v>
      </c>
      <c r="E604" s="14">
        <v>44799</v>
      </c>
      <c r="F604" s="4">
        <f t="shared" si="123"/>
        <v>26</v>
      </c>
      <c r="G604">
        <v>106</v>
      </c>
      <c r="H604">
        <v>105</v>
      </c>
      <c r="I604" s="13">
        <f t="shared" si="124"/>
        <v>0.99</v>
      </c>
      <c r="J604">
        <f t="shared" si="117"/>
        <v>1</v>
      </c>
      <c r="K604" s="2">
        <v>1.273148148148148E-4</v>
      </c>
      <c r="L604" s="11">
        <f t="shared" si="118"/>
        <v>19.25</v>
      </c>
      <c r="M604" s="3">
        <f t="shared" si="125"/>
        <v>0.18333333333333332</v>
      </c>
      <c r="N604" s="4">
        <f t="shared" si="126"/>
        <v>11</v>
      </c>
      <c r="O604" s="2">
        <v>1.9328703703703704E-3</v>
      </c>
      <c r="P604" s="9">
        <f t="shared" si="119"/>
        <v>292.25</v>
      </c>
      <c r="Q604" s="3">
        <f t="shared" si="127"/>
        <v>2.7833333333333332</v>
      </c>
      <c r="R604" s="4">
        <f t="shared" si="128"/>
        <v>167</v>
      </c>
      <c r="S604" s="3">
        <f t="shared" si="129"/>
        <v>90</v>
      </c>
      <c r="T604" s="1">
        <v>0.85850000000000004</v>
      </c>
      <c r="U604" s="6">
        <f t="shared" si="120"/>
        <v>90.142499999999998</v>
      </c>
    </row>
    <row r="605" spans="1:21" x14ac:dyDescent="0.35">
      <c r="A605">
        <v>604</v>
      </c>
      <c r="B605" s="5">
        <v>44800</v>
      </c>
      <c r="C605" s="4">
        <f t="shared" si="121"/>
        <v>2022</v>
      </c>
      <c r="D605" s="4">
        <f t="shared" si="122"/>
        <v>8</v>
      </c>
      <c r="E605" s="14">
        <v>44800</v>
      </c>
      <c r="F605" s="4">
        <f t="shared" si="123"/>
        <v>27</v>
      </c>
      <c r="G605">
        <v>116</v>
      </c>
      <c r="H605">
        <v>108</v>
      </c>
      <c r="I605" s="13">
        <f t="shared" si="124"/>
        <v>0.93</v>
      </c>
      <c r="J605">
        <f t="shared" si="117"/>
        <v>8</v>
      </c>
      <c r="K605" s="2">
        <v>2.199074074074074E-4</v>
      </c>
      <c r="L605" s="11">
        <f t="shared" si="118"/>
        <v>34.199999999999996</v>
      </c>
      <c r="M605" s="3">
        <f t="shared" si="125"/>
        <v>0.31666666666666665</v>
      </c>
      <c r="N605" s="4">
        <f t="shared" si="126"/>
        <v>19</v>
      </c>
      <c r="O605" s="2">
        <v>1.6898148148148148E-3</v>
      </c>
      <c r="P605" s="9">
        <f t="shared" si="119"/>
        <v>262.8</v>
      </c>
      <c r="Q605" s="3">
        <f t="shared" si="127"/>
        <v>2.4333333333333336</v>
      </c>
      <c r="R605" s="4">
        <f t="shared" si="128"/>
        <v>146</v>
      </c>
      <c r="S605" s="3">
        <f t="shared" si="129"/>
        <v>90</v>
      </c>
      <c r="T605" s="1">
        <v>0.8407</v>
      </c>
      <c r="U605" s="6">
        <f t="shared" si="120"/>
        <v>90.795600000000007</v>
      </c>
    </row>
    <row r="606" spans="1:21" x14ac:dyDescent="0.35">
      <c r="A606">
        <v>605</v>
      </c>
      <c r="B606" s="5">
        <v>44801</v>
      </c>
      <c r="C606" s="4">
        <f t="shared" si="121"/>
        <v>2022</v>
      </c>
      <c r="D606" s="4">
        <f t="shared" si="122"/>
        <v>8</v>
      </c>
      <c r="E606" s="14">
        <v>44801</v>
      </c>
      <c r="F606" s="4">
        <f t="shared" si="123"/>
        <v>28</v>
      </c>
      <c r="G606">
        <v>120</v>
      </c>
      <c r="H606">
        <v>117</v>
      </c>
      <c r="I606" s="13">
        <f t="shared" si="124"/>
        <v>0.97</v>
      </c>
      <c r="J606">
        <f t="shared" si="117"/>
        <v>3</v>
      </c>
      <c r="K606" s="2">
        <v>1.0416666666666667E-4</v>
      </c>
      <c r="L606" s="11">
        <f t="shared" si="118"/>
        <v>17.55</v>
      </c>
      <c r="M606" s="3">
        <f t="shared" si="125"/>
        <v>0.15</v>
      </c>
      <c r="N606" s="4">
        <f t="shared" si="126"/>
        <v>9</v>
      </c>
      <c r="O606" s="2">
        <v>1.8171296296296297E-3</v>
      </c>
      <c r="P606" s="9">
        <f t="shared" si="119"/>
        <v>306.14999999999998</v>
      </c>
      <c r="Q606" s="3">
        <f t="shared" si="127"/>
        <v>2.6166666666666667</v>
      </c>
      <c r="R606" s="4">
        <f t="shared" si="128"/>
        <v>157</v>
      </c>
      <c r="S606" s="3">
        <f t="shared" si="129"/>
        <v>106</v>
      </c>
      <c r="T606" s="1">
        <v>0.90759999999999996</v>
      </c>
      <c r="U606" s="6">
        <f t="shared" si="120"/>
        <v>106.1892</v>
      </c>
    </row>
    <row r="607" spans="1:21" x14ac:dyDescent="0.35">
      <c r="A607">
        <v>606</v>
      </c>
      <c r="B607" s="5">
        <v>44802</v>
      </c>
      <c r="C607" s="4">
        <f t="shared" si="121"/>
        <v>2022</v>
      </c>
      <c r="D607" s="4">
        <f t="shared" si="122"/>
        <v>8</v>
      </c>
      <c r="E607" s="14">
        <v>44802</v>
      </c>
      <c r="F607" s="4">
        <f t="shared" si="123"/>
        <v>29</v>
      </c>
      <c r="G607">
        <v>123</v>
      </c>
      <c r="H607">
        <v>121</v>
      </c>
      <c r="I607" s="13">
        <f t="shared" si="124"/>
        <v>0.98</v>
      </c>
      <c r="J607">
        <f t="shared" si="117"/>
        <v>2</v>
      </c>
      <c r="K607" s="2">
        <v>8.1018518518518516E-5</v>
      </c>
      <c r="L607" s="11">
        <f t="shared" si="118"/>
        <v>14.116666666666667</v>
      </c>
      <c r="M607" s="3">
        <f t="shared" si="125"/>
        <v>0.11666666666666667</v>
      </c>
      <c r="N607" s="4">
        <f t="shared" si="126"/>
        <v>7</v>
      </c>
      <c r="O607" s="2">
        <v>1.7013888888888888E-3</v>
      </c>
      <c r="P607" s="9">
        <f t="shared" si="119"/>
        <v>296.45000000000005</v>
      </c>
      <c r="Q607" s="3">
        <f t="shared" si="127"/>
        <v>2.4500000000000002</v>
      </c>
      <c r="R607" s="4">
        <f t="shared" si="128"/>
        <v>147</v>
      </c>
      <c r="S607" s="3">
        <f t="shared" si="129"/>
        <v>110</v>
      </c>
      <c r="T607" s="1">
        <v>0.91059999999999997</v>
      </c>
      <c r="U607" s="6">
        <f t="shared" si="120"/>
        <v>110.18259999999999</v>
      </c>
    </row>
    <row r="608" spans="1:21" x14ac:dyDescent="0.35">
      <c r="A608">
        <v>607</v>
      </c>
      <c r="B608" s="5">
        <v>44803</v>
      </c>
      <c r="C608" s="4">
        <f t="shared" si="121"/>
        <v>2022</v>
      </c>
      <c r="D608" s="4">
        <f t="shared" si="122"/>
        <v>8</v>
      </c>
      <c r="E608" s="14">
        <v>44803</v>
      </c>
      <c r="F608" s="4">
        <f t="shared" si="123"/>
        <v>30</v>
      </c>
      <c r="G608">
        <v>31</v>
      </c>
      <c r="H608">
        <v>31</v>
      </c>
      <c r="I608" s="13">
        <f t="shared" si="124"/>
        <v>1</v>
      </c>
      <c r="J608">
        <f t="shared" si="117"/>
        <v>0</v>
      </c>
      <c r="K608" s="2">
        <v>3.4722222222222222E-5</v>
      </c>
      <c r="L608" s="11">
        <f t="shared" si="118"/>
        <v>1.55</v>
      </c>
      <c r="M608" s="3">
        <f t="shared" si="125"/>
        <v>0.05</v>
      </c>
      <c r="N608" s="4">
        <f t="shared" si="126"/>
        <v>3</v>
      </c>
      <c r="O608" s="2">
        <v>1.5972222222222223E-3</v>
      </c>
      <c r="P608" s="9">
        <f t="shared" si="119"/>
        <v>71.3</v>
      </c>
      <c r="Q608" s="3">
        <f t="shared" si="127"/>
        <v>2.2999999999999998</v>
      </c>
      <c r="R608" s="4">
        <f t="shared" si="128"/>
        <v>138</v>
      </c>
      <c r="S608" s="3">
        <f t="shared" si="129"/>
        <v>31</v>
      </c>
      <c r="T608" s="1">
        <v>1</v>
      </c>
      <c r="U608" s="6">
        <f t="shared" si="120"/>
        <v>31</v>
      </c>
    </row>
    <row r="609" spans="1:21" x14ac:dyDescent="0.35">
      <c r="A609">
        <v>608</v>
      </c>
      <c r="B609" s="5">
        <v>44804</v>
      </c>
      <c r="C609" s="4">
        <f t="shared" si="121"/>
        <v>2022</v>
      </c>
      <c r="D609" s="4">
        <f t="shared" si="122"/>
        <v>8</v>
      </c>
      <c r="E609" s="14">
        <v>44804</v>
      </c>
      <c r="F609" s="4">
        <f t="shared" si="123"/>
        <v>31</v>
      </c>
      <c r="G609">
        <v>140</v>
      </c>
      <c r="H609">
        <v>139</v>
      </c>
      <c r="I609" s="13">
        <f t="shared" si="124"/>
        <v>0.99</v>
      </c>
      <c r="J609">
        <f t="shared" si="117"/>
        <v>1</v>
      </c>
      <c r="K609" s="2">
        <v>9.2592592592592588E-5</v>
      </c>
      <c r="L609" s="11">
        <f t="shared" si="118"/>
        <v>18.533333333333331</v>
      </c>
      <c r="M609" s="3">
        <f t="shared" si="125"/>
        <v>0.13333333333333333</v>
      </c>
      <c r="N609" s="4">
        <f t="shared" si="126"/>
        <v>8</v>
      </c>
      <c r="O609" s="2">
        <v>1.8402777777777777E-3</v>
      </c>
      <c r="P609" s="9">
        <f t="shared" si="119"/>
        <v>368.34999999999997</v>
      </c>
      <c r="Q609" s="3">
        <f t="shared" si="127"/>
        <v>2.65</v>
      </c>
      <c r="R609" s="4">
        <f t="shared" si="128"/>
        <v>159</v>
      </c>
      <c r="S609" s="3">
        <f t="shared" si="129"/>
        <v>128</v>
      </c>
      <c r="T609" s="1">
        <v>0.9214</v>
      </c>
      <c r="U609" s="6">
        <f t="shared" si="120"/>
        <v>128.0746</v>
      </c>
    </row>
    <row r="610" spans="1:21" x14ac:dyDescent="0.35">
      <c r="A610">
        <v>609</v>
      </c>
      <c r="B610" s="5">
        <v>44805</v>
      </c>
      <c r="C610" s="4">
        <f t="shared" si="121"/>
        <v>2022</v>
      </c>
      <c r="D610" s="4">
        <f t="shared" si="122"/>
        <v>9</v>
      </c>
      <c r="E610" s="14">
        <v>44805</v>
      </c>
      <c r="F610" s="4">
        <f t="shared" si="123"/>
        <v>1</v>
      </c>
      <c r="G610">
        <v>168</v>
      </c>
      <c r="H610">
        <v>161</v>
      </c>
      <c r="I610" s="13">
        <f t="shared" si="124"/>
        <v>0.95</v>
      </c>
      <c r="J610">
        <f t="shared" si="117"/>
        <v>7</v>
      </c>
      <c r="K610" s="2">
        <v>2.0833333333333335E-4</v>
      </c>
      <c r="L610" s="11">
        <f t="shared" si="118"/>
        <v>48.3</v>
      </c>
      <c r="M610" s="3">
        <f t="shared" si="125"/>
        <v>0.3</v>
      </c>
      <c r="N610" s="4">
        <f t="shared" si="126"/>
        <v>18</v>
      </c>
      <c r="O610" s="2">
        <v>1.6666666666666668E-3</v>
      </c>
      <c r="P610" s="9">
        <f t="shared" si="119"/>
        <v>386.4</v>
      </c>
      <c r="Q610" s="3">
        <f t="shared" si="127"/>
        <v>2.4</v>
      </c>
      <c r="R610" s="4">
        <f t="shared" si="128"/>
        <v>144</v>
      </c>
      <c r="S610" s="3">
        <f t="shared" si="129"/>
        <v>118</v>
      </c>
      <c r="T610" s="1">
        <v>0.73650000000000004</v>
      </c>
      <c r="U610" s="6">
        <f t="shared" si="120"/>
        <v>118.57650000000001</v>
      </c>
    </row>
    <row r="611" spans="1:21" x14ac:dyDescent="0.35">
      <c r="A611">
        <v>610</v>
      </c>
      <c r="B611" s="5">
        <v>44806</v>
      </c>
      <c r="C611" s="4">
        <f t="shared" si="121"/>
        <v>2022</v>
      </c>
      <c r="D611" s="4">
        <f t="shared" si="122"/>
        <v>9</v>
      </c>
      <c r="E611" s="14">
        <v>44806</v>
      </c>
      <c r="F611" s="4">
        <f t="shared" si="123"/>
        <v>2</v>
      </c>
      <c r="G611">
        <v>146</v>
      </c>
      <c r="H611">
        <v>144</v>
      </c>
      <c r="I611" s="13">
        <f t="shared" si="124"/>
        <v>0.98</v>
      </c>
      <c r="J611">
        <f t="shared" si="117"/>
        <v>2</v>
      </c>
      <c r="K611" s="2">
        <v>6.9444444444444444E-5</v>
      </c>
      <c r="L611" s="11">
        <f t="shared" si="118"/>
        <v>14.4</v>
      </c>
      <c r="M611" s="3">
        <f t="shared" si="125"/>
        <v>0.1</v>
      </c>
      <c r="N611" s="4">
        <f t="shared" si="126"/>
        <v>6</v>
      </c>
      <c r="O611" s="2">
        <v>1.8287037037037037E-3</v>
      </c>
      <c r="P611" s="9">
        <f t="shared" si="119"/>
        <v>379.2</v>
      </c>
      <c r="Q611" s="3">
        <f t="shared" si="127"/>
        <v>2.6333333333333333</v>
      </c>
      <c r="R611" s="4">
        <f t="shared" si="128"/>
        <v>158</v>
      </c>
      <c r="S611" s="3">
        <f t="shared" si="129"/>
        <v>136</v>
      </c>
      <c r="T611" s="1">
        <v>0.94479999999999997</v>
      </c>
      <c r="U611" s="6">
        <f t="shared" si="120"/>
        <v>136.05119999999999</v>
      </c>
    </row>
    <row r="612" spans="1:21" x14ac:dyDescent="0.35">
      <c r="A612">
        <v>611</v>
      </c>
      <c r="B612" s="5">
        <v>44807</v>
      </c>
      <c r="C612" s="4">
        <f t="shared" si="121"/>
        <v>2022</v>
      </c>
      <c r="D612" s="4">
        <f t="shared" si="122"/>
        <v>9</v>
      </c>
      <c r="E612" s="14">
        <v>44807</v>
      </c>
      <c r="F612" s="4">
        <f t="shared" si="123"/>
        <v>3</v>
      </c>
      <c r="G612">
        <v>110</v>
      </c>
      <c r="H612">
        <v>106</v>
      </c>
      <c r="I612" s="13">
        <f t="shared" si="124"/>
        <v>0.96</v>
      </c>
      <c r="J612">
        <f t="shared" si="117"/>
        <v>4</v>
      </c>
      <c r="K612" s="2">
        <v>1.7361111111111112E-4</v>
      </c>
      <c r="L612" s="11">
        <f t="shared" si="118"/>
        <v>26.5</v>
      </c>
      <c r="M612" s="3">
        <f t="shared" si="125"/>
        <v>0.25</v>
      </c>
      <c r="N612" s="4">
        <f t="shared" si="126"/>
        <v>15</v>
      </c>
      <c r="O612" s="2">
        <v>1.9675925925925924E-3</v>
      </c>
      <c r="P612" s="9">
        <f t="shared" si="119"/>
        <v>300.33333333333337</v>
      </c>
      <c r="Q612" s="3">
        <f t="shared" si="127"/>
        <v>2.8333333333333335</v>
      </c>
      <c r="R612" s="4">
        <f t="shared" si="128"/>
        <v>170</v>
      </c>
      <c r="S612" s="3">
        <f t="shared" si="129"/>
        <v>84</v>
      </c>
      <c r="T612" s="1">
        <v>0.8</v>
      </c>
      <c r="U612" s="6">
        <f t="shared" si="120"/>
        <v>84.800000000000011</v>
      </c>
    </row>
    <row r="613" spans="1:21" x14ac:dyDescent="0.35">
      <c r="A613">
        <v>612</v>
      </c>
      <c r="B613" s="5">
        <v>44808</v>
      </c>
      <c r="C613" s="4">
        <f t="shared" si="121"/>
        <v>2022</v>
      </c>
      <c r="D613" s="4">
        <f t="shared" si="122"/>
        <v>9</v>
      </c>
      <c r="E613" s="14">
        <v>44808</v>
      </c>
      <c r="F613" s="4">
        <f t="shared" si="123"/>
        <v>4</v>
      </c>
      <c r="G613">
        <v>342</v>
      </c>
      <c r="H613">
        <v>333</v>
      </c>
      <c r="I613" s="13">
        <f t="shared" si="124"/>
        <v>0.97</v>
      </c>
      <c r="J613">
        <f t="shared" si="117"/>
        <v>9</v>
      </c>
      <c r="K613" s="2">
        <v>1.7361111111111112E-4</v>
      </c>
      <c r="L613" s="11">
        <f t="shared" si="118"/>
        <v>83.25</v>
      </c>
      <c r="M613" s="3">
        <f t="shared" si="125"/>
        <v>0.25</v>
      </c>
      <c r="N613" s="4">
        <f t="shared" si="126"/>
        <v>15</v>
      </c>
      <c r="O613" s="2">
        <v>1.5046296296296296E-3</v>
      </c>
      <c r="P613" s="9">
        <f t="shared" si="119"/>
        <v>721.5</v>
      </c>
      <c r="Q613" s="3">
        <f t="shared" si="127"/>
        <v>2.1666666666666665</v>
      </c>
      <c r="R613" s="4">
        <f t="shared" si="128"/>
        <v>130</v>
      </c>
      <c r="S613" s="3">
        <f t="shared" si="129"/>
        <v>271</v>
      </c>
      <c r="T613" s="1">
        <v>0.81420000000000003</v>
      </c>
      <c r="U613" s="6">
        <f t="shared" si="120"/>
        <v>271.12860000000001</v>
      </c>
    </row>
    <row r="614" spans="1:21" x14ac:dyDescent="0.35">
      <c r="A614">
        <v>613</v>
      </c>
      <c r="B614" s="5">
        <v>44809</v>
      </c>
      <c r="C614" s="4">
        <f t="shared" si="121"/>
        <v>2022</v>
      </c>
      <c r="D614" s="4">
        <f t="shared" si="122"/>
        <v>9</v>
      </c>
      <c r="E614" s="14">
        <v>44809</v>
      </c>
      <c r="F614" s="4">
        <f t="shared" si="123"/>
        <v>5</v>
      </c>
      <c r="G614">
        <v>190</v>
      </c>
      <c r="H614">
        <v>183</v>
      </c>
      <c r="I614" s="13">
        <f t="shared" si="124"/>
        <v>0.96</v>
      </c>
      <c r="J614">
        <f t="shared" si="117"/>
        <v>7</v>
      </c>
      <c r="K614" s="2">
        <v>1.8518518518518518E-4</v>
      </c>
      <c r="L614" s="11">
        <f t="shared" si="118"/>
        <v>48.8</v>
      </c>
      <c r="M614" s="3">
        <f t="shared" si="125"/>
        <v>0.26666666666666666</v>
      </c>
      <c r="N614" s="4">
        <f t="shared" si="126"/>
        <v>16</v>
      </c>
      <c r="O614" s="2">
        <v>1.7592592592592592E-3</v>
      </c>
      <c r="P614" s="9">
        <f t="shared" si="119"/>
        <v>463.59999999999997</v>
      </c>
      <c r="Q614" s="3">
        <f t="shared" si="127"/>
        <v>2.5333333333333332</v>
      </c>
      <c r="R614" s="4">
        <f t="shared" si="128"/>
        <v>152</v>
      </c>
      <c r="S614" s="3">
        <f t="shared" si="129"/>
        <v>144</v>
      </c>
      <c r="T614" s="1">
        <v>0.78949999999999998</v>
      </c>
      <c r="U614" s="6">
        <f t="shared" si="120"/>
        <v>144.4785</v>
      </c>
    </row>
    <row r="615" spans="1:21" x14ac:dyDescent="0.35">
      <c r="A615">
        <v>614</v>
      </c>
      <c r="B615" s="5">
        <v>44810</v>
      </c>
      <c r="C615" s="4">
        <f t="shared" si="121"/>
        <v>2022</v>
      </c>
      <c r="D615" s="4">
        <f t="shared" si="122"/>
        <v>9</v>
      </c>
      <c r="E615" s="14">
        <v>44810</v>
      </c>
      <c r="F615" s="4">
        <f t="shared" si="123"/>
        <v>6</v>
      </c>
      <c r="G615">
        <v>25</v>
      </c>
      <c r="H615">
        <v>24</v>
      </c>
      <c r="I615" s="13">
        <f t="shared" si="124"/>
        <v>0.96</v>
      </c>
      <c r="J615">
        <f t="shared" si="117"/>
        <v>1</v>
      </c>
      <c r="K615" s="2">
        <v>6.9444444444444444E-5</v>
      </c>
      <c r="L615" s="11">
        <f t="shared" si="118"/>
        <v>2.4000000000000004</v>
      </c>
      <c r="M615" s="3">
        <f t="shared" si="125"/>
        <v>0.1</v>
      </c>
      <c r="N615" s="4">
        <f t="shared" si="126"/>
        <v>6</v>
      </c>
      <c r="O615" s="2">
        <v>1.6435185185185185E-3</v>
      </c>
      <c r="P615" s="9">
        <f t="shared" si="119"/>
        <v>56.8</v>
      </c>
      <c r="Q615" s="3">
        <f t="shared" si="127"/>
        <v>2.3666666666666667</v>
      </c>
      <c r="R615" s="4">
        <f t="shared" si="128"/>
        <v>142</v>
      </c>
      <c r="S615" s="3">
        <f t="shared" si="129"/>
        <v>22</v>
      </c>
      <c r="T615" s="1">
        <v>0.91669999999999996</v>
      </c>
      <c r="U615" s="6">
        <f t="shared" si="120"/>
        <v>22.000799999999998</v>
      </c>
    </row>
    <row r="616" spans="1:21" x14ac:dyDescent="0.35">
      <c r="A616">
        <v>615</v>
      </c>
      <c r="B616" s="5">
        <v>44811</v>
      </c>
      <c r="C616" s="4">
        <f t="shared" si="121"/>
        <v>2022</v>
      </c>
      <c r="D616" s="4">
        <f t="shared" si="122"/>
        <v>9</v>
      </c>
      <c r="E616" s="14">
        <v>44811</v>
      </c>
      <c r="F616" s="4">
        <f t="shared" si="123"/>
        <v>7</v>
      </c>
      <c r="G616">
        <v>169</v>
      </c>
      <c r="H616">
        <v>162</v>
      </c>
      <c r="I616" s="13">
        <f t="shared" si="124"/>
        <v>0.95</v>
      </c>
      <c r="J616">
        <f t="shared" si="117"/>
        <v>7</v>
      </c>
      <c r="K616" s="2">
        <v>1.0416666666666667E-4</v>
      </c>
      <c r="L616" s="11">
        <f t="shared" si="118"/>
        <v>24.3</v>
      </c>
      <c r="M616" s="3">
        <f t="shared" si="125"/>
        <v>0.15</v>
      </c>
      <c r="N616" s="4">
        <f t="shared" si="126"/>
        <v>9</v>
      </c>
      <c r="O616" s="2">
        <v>1.7476851851851852E-3</v>
      </c>
      <c r="P616" s="9">
        <f t="shared" si="119"/>
        <v>407.7</v>
      </c>
      <c r="Q616" s="3">
        <f t="shared" si="127"/>
        <v>2.5166666666666666</v>
      </c>
      <c r="R616" s="4">
        <f t="shared" si="128"/>
        <v>151</v>
      </c>
      <c r="S616" s="3">
        <f t="shared" si="129"/>
        <v>144</v>
      </c>
      <c r="T616" s="1">
        <v>0.89159999999999995</v>
      </c>
      <c r="U616" s="6">
        <f t="shared" si="120"/>
        <v>144.4392</v>
      </c>
    </row>
    <row r="617" spans="1:21" x14ac:dyDescent="0.35">
      <c r="A617">
        <v>616</v>
      </c>
      <c r="B617" s="5">
        <v>44812</v>
      </c>
      <c r="C617" s="4">
        <f t="shared" si="121"/>
        <v>2022</v>
      </c>
      <c r="D617" s="4">
        <f t="shared" si="122"/>
        <v>9</v>
      </c>
      <c r="E617" s="14">
        <v>44812</v>
      </c>
      <c r="F617" s="4">
        <f t="shared" si="123"/>
        <v>8</v>
      </c>
      <c r="G617">
        <v>130</v>
      </c>
      <c r="H617">
        <v>129</v>
      </c>
      <c r="I617" s="13">
        <f t="shared" si="124"/>
        <v>0.99</v>
      </c>
      <c r="J617">
        <f t="shared" si="117"/>
        <v>1</v>
      </c>
      <c r="K617" s="2">
        <v>1.273148148148148E-4</v>
      </c>
      <c r="L617" s="11">
        <f t="shared" si="118"/>
        <v>23.65</v>
      </c>
      <c r="M617" s="3">
        <f t="shared" si="125"/>
        <v>0.18333333333333332</v>
      </c>
      <c r="N617" s="4">
        <f t="shared" si="126"/>
        <v>11</v>
      </c>
      <c r="O617" s="2">
        <v>1.736111111111111E-3</v>
      </c>
      <c r="P617" s="9">
        <f t="shared" si="119"/>
        <v>322.5</v>
      </c>
      <c r="Q617" s="3">
        <f t="shared" si="127"/>
        <v>2.5</v>
      </c>
      <c r="R617" s="4">
        <f t="shared" si="128"/>
        <v>150</v>
      </c>
      <c r="S617" s="3">
        <f t="shared" si="129"/>
        <v>112</v>
      </c>
      <c r="T617" s="1">
        <v>0.86919999999999997</v>
      </c>
      <c r="U617" s="6">
        <f t="shared" si="120"/>
        <v>112.1268</v>
      </c>
    </row>
    <row r="618" spans="1:21" x14ac:dyDescent="0.35">
      <c r="A618">
        <v>617</v>
      </c>
      <c r="B618" s="5">
        <v>44813</v>
      </c>
      <c r="C618" s="4">
        <f t="shared" si="121"/>
        <v>2022</v>
      </c>
      <c r="D618" s="4">
        <f t="shared" si="122"/>
        <v>9</v>
      </c>
      <c r="E618" s="14">
        <v>44813</v>
      </c>
      <c r="F618" s="4">
        <f t="shared" si="123"/>
        <v>9</v>
      </c>
      <c r="G618">
        <v>22</v>
      </c>
      <c r="H618">
        <v>20</v>
      </c>
      <c r="I618" s="13">
        <f t="shared" si="124"/>
        <v>0.9</v>
      </c>
      <c r="J618">
        <f t="shared" si="117"/>
        <v>2</v>
      </c>
      <c r="K618" s="2">
        <v>1.0416666666666667E-4</v>
      </c>
      <c r="L618" s="11">
        <f t="shared" si="118"/>
        <v>3</v>
      </c>
      <c r="M618" s="3">
        <f t="shared" si="125"/>
        <v>0.15</v>
      </c>
      <c r="N618" s="4">
        <f t="shared" si="126"/>
        <v>9</v>
      </c>
      <c r="O618" s="2">
        <v>2.2569444444444442E-3</v>
      </c>
      <c r="P618" s="9">
        <f t="shared" si="119"/>
        <v>65</v>
      </c>
      <c r="Q618" s="3">
        <f t="shared" si="127"/>
        <v>3.25</v>
      </c>
      <c r="R618" s="4">
        <f t="shared" si="128"/>
        <v>195</v>
      </c>
      <c r="S618" s="3">
        <f t="shared" si="129"/>
        <v>18</v>
      </c>
      <c r="T618" s="1">
        <v>0.90480000000000005</v>
      </c>
      <c r="U618" s="6">
        <f t="shared" si="120"/>
        <v>18.096</v>
      </c>
    </row>
    <row r="619" spans="1:21" x14ac:dyDescent="0.35">
      <c r="A619">
        <v>618</v>
      </c>
      <c r="B619" s="5">
        <v>44814</v>
      </c>
      <c r="C619" s="4">
        <f t="shared" si="121"/>
        <v>2022</v>
      </c>
      <c r="D619" s="4">
        <f t="shared" si="122"/>
        <v>9</v>
      </c>
      <c r="E619" s="14">
        <v>44814</v>
      </c>
      <c r="F619" s="4">
        <f t="shared" si="123"/>
        <v>10</v>
      </c>
      <c r="G619">
        <v>5</v>
      </c>
      <c r="H619">
        <v>5</v>
      </c>
      <c r="I619" s="13">
        <f t="shared" si="124"/>
        <v>1</v>
      </c>
      <c r="J619">
        <f t="shared" si="117"/>
        <v>0</v>
      </c>
      <c r="K619" s="2">
        <v>3.2407407407407406E-4</v>
      </c>
      <c r="L619" s="11">
        <f t="shared" si="118"/>
        <v>2.3333333333333335</v>
      </c>
      <c r="M619" s="3">
        <f t="shared" si="125"/>
        <v>0.46666666666666667</v>
      </c>
      <c r="N619" s="4">
        <f t="shared" si="126"/>
        <v>28</v>
      </c>
      <c r="O619" s="2">
        <v>1.6782407407407408E-3</v>
      </c>
      <c r="P619" s="9">
        <f t="shared" si="119"/>
        <v>12.083333333333332</v>
      </c>
      <c r="Q619" s="3">
        <f t="shared" si="127"/>
        <v>2.4166666666666665</v>
      </c>
      <c r="R619" s="4">
        <f t="shared" si="128"/>
        <v>145</v>
      </c>
      <c r="S619" s="3">
        <f t="shared" si="129"/>
        <v>3</v>
      </c>
      <c r="T619" s="1">
        <v>0.6</v>
      </c>
      <c r="U619" s="6">
        <f t="shared" si="120"/>
        <v>3</v>
      </c>
    </row>
    <row r="620" spans="1:21" x14ac:dyDescent="0.35">
      <c r="A620">
        <v>619</v>
      </c>
      <c r="B620" s="5">
        <v>44815</v>
      </c>
      <c r="C620" s="4">
        <f t="shared" si="121"/>
        <v>2022</v>
      </c>
      <c r="D620" s="4">
        <f t="shared" si="122"/>
        <v>9</v>
      </c>
      <c r="E620" s="14">
        <v>44815</v>
      </c>
      <c r="F620" s="4">
        <f t="shared" si="123"/>
        <v>11</v>
      </c>
      <c r="G620">
        <v>119</v>
      </c>
      <c r="H620">
        <v>115</v>
      </c>
      <c r="I620" s="13">
        <f t="shared" si="124"/>
        <v>0.96</v>
      </c>
      <c r="J620">
        <f t="shared" si="117"/>
        <v>4</v>
      </c>
      <c r="K620" s="2">
        <v>1.273148148148148E-4</v>
      </c>
      <c r="L620" s="11">
        <f t="shared" si="118"/>
        <v>21.083333333333332</v>
      </c>
      <c r="M620" s="3">
        <f t="shared" si="125"/>
        <v>0.18333333333333332</v>
      </c>
      <c r="N620" s="4">
        <f t="shared" si="126"/>
        <v>11</v>
      </c>
      <c r="O620" s="2">
        <v>1.712962962962963E-3</v>
      </c>
      <c r="P620" s="9">
        <f t="shared" si="119"/>
        <v>283.66666666666669</v>
      </c>
      <c r="Q620" s="3">
        <f t="shared" si="127"/>
        <v>2.4666666666666668</v>
      </c>
      <c r="R620" s="4">
        <f t="shared" si="128"/>
        <v>148</v>
      </c>
      <c r="S620" s="3">
        <f t="shared" si="129"/>
        <v>99</v>
      </c>
      <c r="T620" s="1">
        <v>0.86439999999999995</v>
      </c>
      <c r="U620" s="6">
        <f t="shared" si="120"/>
        <v>99.405999999999992</v>
      </c>
    </row>
    <row r="621" spans="1:21" x14ac:dyDescent="0.35">
      <c r="A621">
        <v>620</v>
      </c>
      <c r="B621" s="5">
        <v>44816</v>
      </c>
      <c r="C621" s="4">
        <f t="shared" si="121"/>
        <v>2022</v>
      </c>
      <c r="D621" s="4">
        <f t="shared" si="122"/>
        <v>9</v>
      </c>
      <c r="E621" s="14">
        <v>44816</v>
      </c>
      <c r="F621" s="4">
        <f t="shared" si="123"/>
        <v>12</v>
      </c>
      <c r="G621">
        <v>140</v>
      </c>
      <c r="H621">
        <v>138</v>
      </c>
      <c r="I621" s="13">
        <f t="shared" si="124"/>
        <v>0.98</v>
      </c>
      <c r="J621">
        <f t="shared" si="117"/>
        <v>2</v>
      </c>
      <c r="K621" s="2">
        <v>1.0416666666666667E-4</v>
      </c>
      <c r="L621" s="11">
        <f t="shared" si="118"/>
        <v>20.7</v>
      </c>
      <c r="M621" s="3">
        <f t="shared" si="125"/>
        <v>0.15</v>
      </c>
      <c r="N621" s="4">
        <f t="shared" si="126"/>
        <v>9</v>
      </c>
      <c r="O621" s="2">
        <v>1.5856481481481481E-3</v>
      </c>
      <c r="P621" s="9">
        <f t="shared" si="119"/>
        <v>315.09999999999997</v>
      </c>
      <c r="Q621" s="3">
        <f t="shared" si="127"/>
        <v>2.2833333333333332</v>
      </c>
      <c r="R621" s="4">
        <f t="shared" si="128"/>
        <v>137</v>
      </c>
      <c r="S621" s="3">
        <f t="shared" si="129"/>
        <v>127</v>
      </c>
      <c r="T621" s="1">
        <v>0.9214</v>
      </c>
      <c r="U621" s="6">
        <f t="shared" si="120"/>
        <v>127.1532</v>
      </c>
    </row>
    <row r="622" spans="1:21" x14ac:dyDescent="0.35">
      <c r="A622">
        <v>621</v>
      </c>
      <c r="B622" s="5">
        <v>44817</v>
      </c>
      <c r="C622" s="4">
        <f t="shared" si="121"/>
        <v>2022</v>
      </c>
      <c r="D622" s="4">
        <f t="shared" si="122"/>
        <v>9</v>
      </c>
      <c r="E622" s="14">
        <v>44817</v>
      </c>
      <c r="F622" s="4">
        <f t="shared" si="123"/>
        <v>13</v>
      </c>
      <c r="G622">
        <v>22</v>
      </c>
      <c r="H622">
        <v>22</v>
      </c>
      <c r="I622" s="13">
        <f t="shared" si="124"/>
        <v>1</v>
      </c>
      <c r="J622">
        <f t="shared" si="117"/>
        <v>0</v>
      </c>
      <c r="K622" s="2">
        <v>6.9444444444444444E-5</v>
      </c>
      <c r="L622" s="11">
        <f t="shared" si="118"/>
        <v>2.2000000000000002</v>
      </c>
      <c r="M622" s="3">
        <f t="shared" si="125"/>
        <v>0.1</v>
      </c>
      <c r="N622" s="4">
        <f t="shared" si="126"/>
        <v>6</v>
      </c>
      <c r="O622" s="2">
        <v>1.6319444444444445E-3</v>
      </c>
      <c r="P622" s="9">
        <f t="shared" si="119"/>
        <v>51.7</v>
      </c>
      <c r="Q622" s="3">
        <f t="shared" si="127"/>
        <v>2.35</v>
      </c>
      <c r="R622" s="4">
        <f t="shared" si="128"/>
        <v>141</v>
      </c>
      <c r="S622" s="3">
        <f t="shared" si="129"/>
        <v>20</v>
      </c>
      <c r="T622" s="1">
        <v>0.90910000000000002</v>
      </c>
      <c r="U622" s="6">
        <f t="shared" si="120"/>
        <v>20.0002</v>
      </c>
    </row>
    <row r="623" spans="1:21" x14ac:dyDescent="0.35">
      <c r="A623">
        <v>622</v>
      </c>
      <c r="B623" s="5">
        <v>44818</v>
      </c>
      <c r="C623" s="4">
        <f t="shared" si="121"/>
        <v>2022</v>
      </c>
      <c r="D623" s="4">
        <f t="shared" si="122"/>
        <v>9</v>
      </c>
      <c r="E623" s="14">
        <v>44818</v>
      </c>
      <c r="F623" s="4">
        <f t="shared" si="123"/>
        <v>14</v>
      </c>
      <c r="G623">
        <v>126</v>
      </c>
      <c r="H623">
        <v>124</v>
      </c>
      <c r="I623" s="13">
        <f t="shared" si="124"/>
        <v>0.98</v>
      </c>
      <c r="J623">
        <f t="shared" si="117"/>
        <v>2</v>
      </c>
      <c r="K623" s="2">
        <v>9.2592592592592588E-5</v>
      </c>
      <c r="L623" s="11">
        <f t="shared" si="118"/>
        <v>16.533333333333331</v>
      </c>
      <c r="M623" s="3">
        <f t="shared" si="125"/>
        <v>0.13333333333333333</v>
      </c>
      <c r="N623" s="4">
        <f t="shared" si="126"/>
        <v>8</v>
      </c>
      <c r="O623" s="2">
        <v>1.7939814814814815E-3</v>
      </c>
      <c r="P623" s="9">
        <f t="shared" si="119"/>
        <v>320.33333333333337</v>
      </c>
      <c r="Q623" s="3">
        <f t="shared" si="127"/>
        <v>2.5833333333333335</v>
      </c>
      <c r="R623" s="4">
        <f t="shared" si="128"/>
        <v>155</v>
      </c>
      <c r="S623" s="3">
        <f t="shared" si="129"/>
        <v>117</v>
      </c>
      <c r="T623" s="1">
        <v>0.94399999999999995</v>
      </c>
      <c r="U623" s="6">
        <f t="shared" si="120"/>
        <v>117.056</v>
      </c>
    </row>
    <row r="624" spans="1:21" x14ac:dyDescent="0.35">
      <c r="A624">
        <v>623</v>
      </c>
      <c r="B624" s="5">
        <v>44819</v>
      </c>
      <c r="C624" s="4">
        <f t="shared" si="121"/>
        <v>2022</v>
      </c>
      <c r="D624" s="4">
        <f t="shared" si="122"/>
        <v>9</v>
      </c>
      <c r="E624" s="14">
        <v>44819</v>
      </c>
      <c r="F624" s="4">
        <f t="shared" si="123"/>
        <v>15</v>
      </c>
      <c r="G624">
        <v>122</v>
      </c>
      <c r="H624">
        <v>111</v>
      </c>
      <c r="I624" s="13">
        <f t="shared" si="124"/>
        <v>0.9</v>
      </c>
      <c r="J624">
        <f t="shared" si="117"/>
        <v>11</v>
      </c>
      <c r="K624" s="2">
        <v>1.5046296296296297E-4</v>
      </c>
      <c r="L624" s="11">
        <f t="shared" si="118"/>
        <v>24.05</v>
      </c>
      <c r="M624" s="3">
        <f t="shared" si="125"/>
        <v>0.21666666666666667</v>
      </c>
      <c r="N624" s="4">
        <f t="shared" si="126"/>
        <v>13</v>
      </c>
      <c r="O624" s="2">
        <v>1.8865740740740742E-3</v>
      </c>
      <c r="P624" s="9">
        <f t="shared" si="119"/>
        <v>301.55</v>
      </c>
      <c r="Q624" s="3">
        <f t="shared" si="127"/>
        <v>2.7166666666666668</v>
      </c>
      <c r="R624" s="4">
        <f t="shared" si="128"/>
        <v>163</v>
      </c>
      <c r="S624" s="3">
        <f t="shared" si="129"/>
        <v>86</v>
      </c>
      <c r="T624" s="1">
        <v>0.77690000000000003</v>
      </c>
      <c r="U624" s="6">
        <f t="shared" si="120"/>
        <v>86.235900000000001</v>
      </c>
    </row>
    <row r="625" spans="1:21" x14ac:dyDescent="0.35">
      <c r="A625">
        <v>624</v>
      </c>
      <c r="B625" s="5">
        <v>44820</v>
      </c>
      <c r="C625" s="4">
        <f t="shared" si="121"/>
        <v>2022</v>
      </c>
      <c r="D625" s="4">
        <f t="shared" si="122"/>
        <v>9</v>
      </c>
      <c r="E625" s="14">
        <v>44820</v>
      </c>
      <c r="F625" s="4">
        <f t="shared" si="123"/>
        <v>16</v>
      </c>
      <c r="G625">
        <v>113</v>
      </c>
      <c r="H625">
        <v>108</v>
      </c>
      <c r="I625" s="13">
        <f t="shared" si="124"/>
        <v>0.95</v>
      </c>
      <c r="J625">
        <f t="shared" si="117"/>
        <v>5</v>
      </c>
      <c r="K625" s="2">
        <v>1.5046296296296297E-4</v>
      </c>
      <c r="L625" s="11">
        <f t="shared" si="118"/>
        <v>23.400000000000002</v>
      </c>
      <c r="M625" s="3">
        <f t="shared" si="125"/>
        <v>0.21666666666666667</v>
      </c>
      <c r="N625" s="4">
        <f t="shared" si="126"/>
        <v>13</v>
      </c>
      <c r="O625" s="2">
        <v>1.7476851851851852E-3</v>
      </c>
      <c r="P625" s="9">
        <f t="shared" si="119"/>
        <v>271.8</v>
      </c>
      <c r="Q625" s="3">
        <f t="shared" si="127"/>
        <v>2.5166666666666666</v>
      </c>
      <c r="R625" s="4">
        <f t="shared" si="128"/>
        <v>151</v>
      </c>
      <c r="S625" s="3">
        <f t="shared" si="129"/>
        <v>89</v>
      </c>
      <c r="T625" s="1">
        <v>0.82879999999999998</v>
      </c>
      <c r="U625" s="6">
        <f t="shared" si="120"/>
        <v>89.510400000000004</v>
      </c>
    </row>
    <row r="626" spans="1:21" x14ac:dyDescent="0.35">
      <c r="A626">
        <v>625</v>
      </c>
      <c r="B626" s="5">
        <v>44821</v>
      </c>
      <c r="C626" s="4">
        <f t="shared" si="121"/>
        <v>2022</v>
      </c>
      <c r="D626" s="4">
        <f t="shared" si="122"/>
        <v>9</v>
      </c>
      <c r="E626" s="14">
        <v>44821</v>
      </c>
      <c r="F626" s="4">
        <f t="shared" si="123"/>
        <v>17</v>
      </c>
      <c r="G626">
        <v>119</v>
      </c>
      <c r="H626">
        <v>109</v>
      </c>
      <c r="I626" s="13">
        <f t="shared" si="124"/>
        <v>0.91</v>
      </c>
      <c r="J626">
        <f t="shared" si="117"/>
        <v>10</v>
      </c>
      <c r="K626" s="2">
        <v>1.9675925925925926E-4</v>
      </c>
      <c r="L626" s="11">
        <f t="shared" si="118"/>
        <v>30.883333333333333</v>
      </c>
      <c r="M626" s="3">
        <f t="shared" si="125"/>
        <v>0.28333333333333333</v>
      </c>
      <c r="N626" s="4">
        <f t="shared" si="126"/>
        <v>17</v>
      </c>
      <c r="O626" s="2">
        <v>1.8055555555555555E-3</v>
      </c>
      <c r="P626" s="9">
        <f t="shared" si="119"/>
        <v>283.40000000000003</v>
      </c>
      <c r="Q626" s="3">
        <f t="shared" si="127"/>
        <v>2.6</v>
      </c>
      <c r="R626" s="4">
        <f t="shared" si="128"/>
        <v>156</v>
      </c>
      <c r="S626" s="3">
        <f t="shared" si="129"/>
        <v>91</v>
      </c>
      <c r="T626" s="1">
        <v>0.83620000000000005</v>
      </c>
      <c r="U626" s="6">
        <f t="shared" si="120"/>
        <v>91.145800000000008</v>
      </c>
    </row>
    <row r="627" spans="1:21" x14ac:dyDescent="0.35">
      <c r="A627">
        <v>626</v>
      </c>
      <c r="B627" s="5">
        <v>44822</v>
      </c>
      <c r="C627" s="4">
        <f t="shared" si="121"/>
        <v>2022</v>
      </c>
      <c r="D627" s="4">
        <f t="shared" si="122"/>
        <v>9</v>
      </c>
      <c r="E627" s="14">
        <v>44822</v>
      </c>
      <c r="F627" s="4">
        <f t="shared" si="123"/>
        <v>18</v>
      </c>
      <c r="G627">
        <v>134</v>
      </c>
      <c r="H627">
        <v>119</v>
      </c>
      <c r="I627" s="13">
        <f t="shared" si="124"/>
        <v>0.88</v>
      </c>
      <c r="J627">
        <f t="shared" si="117"/>
        <v>15</v>
      </c>
      <c r="K627" s="2">
        <v>2.7777777777777778E-4</v>
      </c>
      <c r="L627" s="11">
        <f t="shared" si="118"/>
        <v>47.6</v>
      </c>
      <c r="M627" s="3">
        <f t="shared" si="125"/>
        <v>0.4</v>
      </c>
      <c r="N627" s="4">
        <f t="shared" si="126"/>
        <v>24</v>
      </c>
      <c r="O627" s="2">
        <v>1.9212962962962964E-3</v>
      </c>
      <c r="P627" s="9">
        <f t="shared" si="119"/>
        <v>329.23333333333335</v>
      </c>
      <c r="Q627" s="3">
        <f t="shared" si="127"/>
        <v>2.7666666666666666</v>
      </c>
      <c r="R627" s="4">
        <f t="shared" si="128"/>
        <v>166</v>
      </c>
      <c r="S627" s="3">
        <f t="shared" si="129"/>
        <v>75</v>
      </c>
      <c r="T627" s="1">
        <v>0.63429999999999997</v>
      </c>
      <c r="U627" s="6">
        <f t="shared" si="120"/>
        <v>75.481700000000004</v>
      </c>
    </row>
    <row r="628" spans="1:21" x14ac:dyDescent="0.35">
      <c r="A628">
        <v>627</v>
      </c>
      <c r="B628" s="5">
        <v>44823</v>
      </c>
      <c r="C628" s="4">
        <f t="shared" si="121"/>
        <v>2022</v>
      </c>
      <c r="D628" s="4">
        <f t="shared" si="122"/>
        <v>9</v>
      </c>
      <c r="E628" s="14">
        <v>44823</v>
      </c>
      <c r="F628" s="4">
        <f t="shared" si="123"/>
        <v>19</v>
      </c>
      <c r="G628">
        <v>101</v>
      </c>
      <c r="H628">
        <v>97</v>
      </c>
      <c r="I628" s="13">
        <f t="shared" si="124"/>
        <v>0.96</v>
      </c>
      <c r="J628">
        <f t="shared" si="117"/>
        <v>4</v>
      </c>
      <c r="K628" s="2">
        <v>1.8518518518518518E-4</v>
      </c>
      <c r="L628" s="11">
        <f t="shared" si="118"/>
        <v>25.866666666666667</v>
      </c>
      <c r="M628" s="3">
        <f t="shared" si="125"/>
        <v>0.26666666666666666</v>
      </c>
      <c r="N628" s="4">
        <f t="shared" si="126"/>
        <v>16</v>
      </c>
      <c r="O628" s="2">
        <v>1.7708333333333332E-3</v>
      </c>
      <c r="P628" s="9">
        <f t="shared" si="119"/>
        <v>247.35</v>
      </c>
      <c r="Q628" s="3">
        <f t="shared" si="127"/>
        <v>2.5499999999999998</v>
      </c>
      <c r="R628" s="4">
        <f t="shared" si="128"/>
        <v>153</v>
      </c>
      <c r="S628" s="3">
        <f t="shared" si="129"/>
        <v>74</v>
      </c>
      <c r="T628" s="1">
        <v>0.77</v>
      </c>
      <c r="U628" s="6">
        <f t="shared" si="120"/>
        <v>74.69</v>
      </c>
    </row>
    <row r="629" spans="1:21" x14ac:dyDescent="0.35">
      <c r="A629">
        <v>628</v>
      </c>
      <c r="B629" s="5">
        <v>44824</v>
      </c>
      <c r="C629" s="4">
        <f t="shared" si="121"/>
        <v>2022</v>
      </c>
      <c r="D629" s="4">
        <f t="shared" si="122"/>
        <v>9</v>
      </c>
      <c r="E629" s="14">
        <v>44824</v>
      </c>
      <c r="F629" s="4">
        <f t="shared" si="123"/>
        <v>20</v>
      </c>
      <c r="G629">
        <v>20</v>
      </c>
      <c r="H629">
        <v>20</v>
      </c>
      <c r="I629" s="13">
        <f t="shared" si="124"/>
        <v>1</v>
      </c>
      <c r="J629">
        <f t="shared" si="117"/>
        <v>0</v>
      </c>
      <c r="K629" s="2">
        <v>4.6296296296296294E-5</v>
      </c>
      <c r="L629" s="11">
        <f t="shared" si="118"/>
        <v>1.3333333333333333</v>
      </c>
      <c r="M629" s="3">
        <f t="shared" si="125"/>
        <v>6.6666666666666666E-2</v>
      </c>
      <c r="N629" s="4">
        <f t="shared" si="126"/>
        <v>4</v>
      </c>
      <c r="O629" s="2">
        <v>1.6666666666666668E-3</v>
      </c>
      <c r="P629" s="9">
        <f t="shared" si="119"/>
        <v>48</v>
      </c>
      <c r="Q629" s="3">
        <f t="shared" si="127"/>
        <v>2.4</v>
      </c>
      <c r="R629" s="4">
        <f t="shared" si="128"/>
        <v>144</v>
      </c>
      <c r="S629" s="3">
        <f t="shared" si="129"/>
        <v>20</v>
      </c>
      <c r="T629" s="1">
        <v>1</v>
      </c>
      <c r="U629" s="6">
        <f t="shared" si="120"/>
        <v>20</v>
      </c>
    </row>
    <row r="630" spans="1:21" x14ac:dyDescent="0.35">
      <c r="A630">
        <v>629</v>
      </c>
      <c r="B630" s="5">
        <v>44825</v>
      </c>
      <c r="C630" s="4">
        <f t="shared" si="121"/>
        <v>2022</v>
      </c>
      <c r="D630" s="4">
        <f t="shared" si="122"/>
        <v>9</v>
      </c>
      <c r="E630" s="14">
        <v>44825</v>
      </c>
      <c r="F630" s="4">
        <f t="shared" si="123"/>
        <v>21</v>
      </c>
      <c r="G630">
        <v>169</v>
      </c>
      <c r="H630">
        <v>162</v>
      </c>
      <c r="I630" s="13">
        <f t="shared" si="124"/>
        <v>0.95</v>
      </c>
      <c r="J630">
        <f t="shared" si="117"/>
        <v>7</v>
      </c>
      <c r="K630" s="2">
        <v>1.9675925925925926E-4</v>
      </c>
      <c r="L630" s="11">
        <f t="shared" si="118"/>
        <v>45.9</v>
      </c>
      <c r="M630" s="3">
        <f t="shared" si="125"/>
        <v>0.28333333333333333</v>
      </c>
      <c r="N630" s="4">
        <f t="shared" si="126"/>
        <v>17</v>
      </c>
      <c r="O630" s="2">
        <v>1.7592592592592592E-3</v>
      </c>
      <c r="P630" s="9">
        <f t="shared" si="119"/>
        <v>410.4</v>
      </c>
      <c r="Q630" s="3">
        <f t="shared" si="127"/>
        <v>2.5333333333333332</v>
      </c>
      <c r="R630" s="4">
        <f t="shared" si="128"/>
        <v>152</v>
      </c>
      <c r="S630" s="3">
        <f t="shared" si="129"/>
        <v>129</v>
      </c>
      <c r="T630" s="1">
        <v>0.80120000000000002</v>
      </c>
      <c r="U630" s="6">
        <f t="shared" si="120"/>
        <v>129.7944</v>
      </c>
    </row>
    <row r="631" spans="1:21" x14ac:dyDescent="0.35">
      <c r="A631">
        <v>630</v>
      </c>
      <c r="B631" s="5">
        <v>44826</v>
      </c>
      <c r="C631" s="4">
        <f t="shared" si="121"/>
        <v>2022</v>
      </c>
      <c r="D631" s="4">
        <f t="shared" si="122"/>
        <v>9</v>
      </c>
      <c r="E631" s="14">
        <v>44826</v>
      </c>
      <c r="F631" s="4">
        <f t="shared" si="123"/>
        <v>22</v>
      </c>
      <c r="G631">
        <v>137</v>
      </c>
      <c r="H631">
        <v>133</v>
      </c>
      <c r="I631" s="13">
        <f t="shared" si="124"/>
        <v>0.97</v>
      </c>
      <c r="J631">
        <f t="shared" si="117"/>
        <v>4</v>
      </c>
      <c r="K631" s="2">
        <v>3.3564814814814812E-4</v>
      </c>
      <c r="L631" s="11">
        <f t="shared" si="118"/>
        <v>64.283333333333331</v>
      </c>
      <c r="M631" s="3">
        <f t="shared" si="125"/>
        <v>0.48333333333333334</v>
      </c>
      <c r="N631" s="4">
        <f t="shared" si="126"/>
        <v>29</v>
      </c>
      <c r="O631" s="2">
        <v>1.8171296296296297E-3</v>
      </c>
      <c r="P631" s="9">
        <f t="shared" si="119"/>
        <v>348.01666666666665</v>
      </c>
      <c r="Q631" s="3">
        <f t="shared" si="127"/>
        <v>2.6166666666666667</v>
      </c>
      <c r="R631" s="4">
        <f t="shared" si="128"/>
        <v>157</v>
      </c>
      <c r="S631" s="3">
        <f t="shared" si="129"/>
        <v>82</v>
      </c>
      <c r="T631" s="1">
        <v>0.62039999999999995</v>
      </c>
      <c r="U631" s="6">
        <f t="shared" si="120"/>
        <v>82.513199999999998</v>
      </c>
    </row>
    <row r="632" spans="1:21" x14ac:dyDescent="0.35">
      <c r="A632">
        <v>631</v>
      </c>
      <c r="B632" s="5">
        <v>44827</v>
      </c>
      <c r="C632" s="4">
        <f t="shared" si="121"/>
        <v>2022</v>
      </c>
      <c r="D632" s="4">
        <f t="shared" si="122"/>
        <v>9</v>
      </c>
      <c r="E632" s="14">
        <v>44827</v>
      </c>
      <c r="F632" s="4">
        <f t="shared" si="123"/>
        <v>23</v>
      </c>
      <c r="G632">
        <v>133</v>
      </c>
      <c r="H632">
        <v>127</v>
      </c>
      <c r="I632" s="13">
        <f t="shared" si="124"/>
        <v>0.95</v>
      </c>
      <c r="J632">
        <f t="shared" si="117"/>
        <v>6</v>
      </c>
      <c r="K632" s="2">
        <v>2.0833333333333335E-4</v>
      </c>
      <c r="L632" s="11">
        <f t="shared" si="118"/>
        <v>38.1</v>
      </c>
      <c r="M632" s="3">
        <f t="shared" si="125"/>
        <v>0.3</v>
      </c>
      <c r="N632" s="4">
        <f t="shared" si="126"/>
        <v>18</v>
      </c>
      <c r="O632" s="2">
        <v>1.8402777777777777E-3</v>
      </c>
      <c r="P632" s="9">
        <f t="shared" si="119"/>
        <v>336.55</v>
      </c>
      <c r="Q632" s="3">
        <f t="shared" si="127"/>
        <v>2.65</v>
      </c>
      <c r="R632" s="4">
        <f t="shared" si="128"/>
        <v>159</v>
      </c>
      <c r="S632" s="3">
        <f t="shared" si="129"/>
        <v>104</v>
      </c>
      <c r="T632" s="1">
        <v>0.81950000000000001</v>
      </c>
      <c r="U632" s="6">
        <f t="shared" si="120"/>
        <v>104.0765</v>
      </c>
    </row>
    <row r="633" spans="1:21" x14ac:dyDescent="0.35">
      <c r="A633">
        <v>632</v>
      </c>
      <c r="B633" s="5">
        <v>44828</v>
      </c>
      <c r="C633" s="4">
        <f t="shared" si="121"/>
        <v>2022</v>
      </c>
      <c r="D633" s="4">
        <f t="shared" si="122"/>
        <v>9</v>
      </c>
      <c r="E633" s="14">
        <v>44828</v>
      </c>
      <c r="F633" s="4">
        <f t="shared" si="123"/>
        <v>24</v>
      </c>
      <c r="G633">
        <v>184</v>
      </c>
      <c r="H633">
        <v>179</v>
      </c>
      <c r="I633" s="13">
        <f t="shared" si="124"/>
        <v>0.97</v>
      </c>
      <c r="J633">
        <f t="shared" si="117"/>
        <v>5</v>
      </c>
      <c r="K633" s="2">
        <v>1.1574074074074075E-4</v>
      </c>
      <c r="L633" s="11">
        <f t="shared" si="118"/>
        <v>29.833333333333332</v>
      </c>
      <c r="M633" s="3">
        <f t="shared" si="125"/>
        <v>0.16666666666666666</v>
      </c>
      <c r="N633" s="4">
        <f t="shared" si="126"/>
        <v>10</v>
      </c>
      <c r="O633" s="2">
        <v>1.4236111111111112E-3</v>
      </c>
      <c r="P633" s="9">
        <f t="shared" si="119"/>
        <v>366.95</v>
      </c>
      <c r="Q633" s="3">
        <f t="shared" si="127"/>
        <v>2.0499999999999998</v>
      </c>
      <c r="R633" s="4">
        <f t="shared" si="128"/>
        <v>122.99999999999999</v>
      </c>
      <c r="S633" s="3">
        <f t="shared" si="129"/>
        <v>162</v>
      </c>
      <c r="T633" s="1">
        <v>0.90559999999999996</v>
      </c>
      <c r="U633" s="6">
        <f t="shared" si="120"/>
        <v>162.10239999999999</v>
      </c>
    </row>
    <row r="634" spans="1:21" x14ac:dyDescent="0.35">
      <c r="A634">
        <v>633</v>
      </c>
      <c r="B634" s="5">
        <v>44829</v>
      </c>
      <c r="C634" s="4">
        <f t="shared" si="121"/>
        <v>2022</v>
      </c>
      <c r="D634" s="4">
        <f t="shared" si="122"/>
        <v>9</v>
      </c>
      <c r="E634" s="14">
        <v>44829</v>
      </c>
      <c r="F634" s="4">
        <f t="shared" si="123"/>
        <v>25</v>
      </c>
      <c r="G634">
        <v>145</v>
      </c>
      <c r="H634">
        <v>135</v>
      </c>
      <c r="I634" s="13">
        <f t="shared" si="124"/>
        <v>0.93</v>
      </c>
      <c r="J634">
        <f t="shared" si="117"/>
        <v>10</v>
      </c>
      <c r="K634" s="2">
        <v>2.4305555555555555E-4</v>
      </c>
      <c r="L634" s="11">
        <f t="shared" si="118"/>
        <v>47.25</v>
      </c>
      <c r="M634" s="3">
        <f t="shared" si="125"/>
        <v>0.35</v>
      </c>
      <c r="N634" s="4">
        <f t="shared" si="126"/>
        <v>21</v>
      </c>
      <c r="O634" s="2">
        <v>1.7939814814814815E-3</v>
      </c>
      <c r="P634" s="9">
        <f t="shared" si="119"/>
        <v>348.75</v>
      </c>
      <c r="Q634" s="3">
        <f t="shared" si="127"/>
        <v>2.5833333333333335</v>
      </c>
      <c r="R634" s="4">
        <f t="shared" si="128"/>
        <v>155</v>
      </c>
      <c r="S634" s="3">
        <f t="shared" si="129"/>
        <v>100</v>
      </c>
      <c r="T634" s="1">
        <v>0.74129999999999996</v>
      </c>
      <c r="U634" s="6">
        <f t="shared" si="120"/>
        <v>100.07549999999999</v>
      </c>
    </row>
    <row r="635" spans="1:21" x14ac:dyDescent="0.35">
      <c r="A635">
        <v>634</v>
      </c>
      <c r="B635" s="5">
        <v>44830</v>
      </c>
      <c r="C635" s="4">
        <f t="shared" si="121"/>
        <v>2022</v>
      </c>
      <c r="D635" s="4">
        <f t="shared" si="122"/>
        <v>9</v>
      </c>
      <c r="E635" s="14">
        <v>44830</v>
      </c>
      <c r="F635" s="4">
        <f t="shared" si="123"/>
        <v>26</v>
      </c>
      <c r="G635">
        <v>114</v>
      </c>
      <c r="H635">
        <v>108</v>
      </c>
      <c r="I635" s="13">
        <f t="shared" si="124"/>
        <v>0.94</v>
      </c>
      <c r="J635">
        <f t="shared" si="117"/>
        <v>6</v>
      </c>
      <c r="K635" s="2">
        <v>1.6203703703703703E-4</v>
      </c>
      <c r="L635" s="11">
        <f t="shared" si="118"/>
        <v>25.2</v>
      </c>
      <c r="M635" s="3">
        <f t="shared" si="125"/>
        <v>0.23333333333333334</v>
      </c>
      <c r="N635" s="4">
        <f t="shared" si="126"/>
        <v>14</v>
      </c>
      <c r="O635" s="2">
        <v>1.7476851851851852E-3</v>
      </c>
      <c r="P635" s="9">
        <f t="shared" si="119"/>
        <v>271.8</v>
      </c>
      <c r="Q635" s="3">
        <f t="shared" si="127"/>
        <v>2.5166666666666666</v>
      </c>
      <c r="R635" s="4">
        <f t="shared" si="128"/>
        <v>151</v>
      </c>
      <c r="S635" s="3">
        <f t="shared" si="129"/>
        <v>89</v>
      </c>
      <c r="T635" s="1">
        <v>0.82879999999999998</v>
      </c>
      <c r="U635" s="6">
        <f t="shared" si="120"/>
        <v>89.510400000000004</v>
      </c>
    </row>
    <row r="636" spans="1:21" x14ac:dyDescent="0.35">
      <c r="A636">
        <v>635</v>
      </c>
      <c r="B636" s="5">
        <v>44831</v>
      </c>
      <c r="C636" s="4">
        <f t="shared" si="121"/>
        <v>2022</v>
      </c>
      <c r="D636" s="4">
        <f t="shared" si="122"/>
        <v>9</v>
      </c>
      <c r="E636" s="14">
        <v>44831</v>
      </c>
      <c r="F636" s="4">
        <f t="shared" si="123"/>
        <v>27</v>
      </c>
      <c r="G636">
        <v>24</v>
      </c>
      <c r="H636">
        <v>23</v>
      </c>
      <c r="I636" s="13">
        <f t="shared" si="124"/>
        <v>0.95</v>
      </c>
      <c r="J636">
        <f t="shared" si="117"/>
        <v>1</v>
      </c>
      <c r="K636" s="2">
        <v>5.7870370370370373E-5</v>
      </c>
      <c r="L636" s="11">
        <f t="shared" si="118"/>
        <v>1.9166666666666665</v>
      </c>
      <c r="M636" s="3">
        <f t="shared" si="125"/>
        <v>8.3333333333333329E-2</v>
      </c>
      <c r="N636" s="4">
        <f t="shared" si="126"/>
        <v>5</v>
      </c>
      <c r="O636" s="2">
        <v>1.5277777777777779E-3</v>
      </c>
      <c r="P636" s="9">
        <f t="shared" si="119"/>
        <v>50.6</v>
      </c>
      <c r="Q636" s="3">
        <f t="shared" si="127"/>
        <v>2.2000000000000002</v>
      </c>
      <c r="R636" s="4">
        <f t="shared" si="128"/>
        <v>132</v>
      </c>
      <c r="S636" s="3">
        <f t="shared" si="129"/>
        <v>22</v>
      </c>
      <c r="T636" s="1">
        <v>0.95830000000000004</v>
      </c>
      <c r="U636" s="6">
        <f t="shared" si="120"/>
        <v>22.040900000000001</v>
      </c>
    </row>
    <row r="637" spans="1:21" x14ac:dyDescent="0.35">
      <c r="A637">
        <v>636</v>
      </c>
      <c r="B637" s="5">
        <v>44832</v>
      </c>
      <c r="C637" s="4">
        <f t="shared" si="121"/>
        <v>2022</v>
      </c>
      <c r="D637" s="4">
        <f t="shared" si="122"/>
        <v>9</v>
      </c>
      <c r="E637" s="14">
        <v>44832</v>
      </c>
      <c r="F637" s="4">
        <f t="shared" si="123"/>
        <v>28</v>
      </c>
      <c r="G637">
        <v>143</v>
      </c>
      <c r="H637">
        <v>136</v>
      </c>
      <c r="I637" s="13">
        <f t="shared" si="124"/>
        <v>0.95</v>
      </c>
      <c r="J637">
        <f t="shared" si="117"/>
        <v>7</v>
      </c>
      <c r="K637" s="2">
        <v>1.0416666666666667E-4</v>
      </c>
      <c r="L637" s="11">
        <f t="shared" si="118"/>
        <v>20.399999999999999</v>
      </c>
      <c r="M637" s="3">
        <f t="shared" si="125"/>
        <v>0.15</v>
      </c>
      <c r="N637" s="4">
        <f t="shared" si="126"/>
        <v>9</v>
      </c>
      <c r="O637" s="2">
        <v>1.7592592592592592E-3</v>
      </c>
      <c r="P637" s="9">
        <f t="shared" si="119"/>
        <v>344.5333333333333</v>
      </c>
      <c r="Q637" s="3">
        <f t="shared" si="127"/>
        <v>2.5333333333333332</v>
      </c>
      <c r="R637" s="4">
        <f t="shared" si="128"/>
        <v>152</v>
      </c>
      <c r="S637" s="3">
        <f t="shared" si="129"/>
        <v>114</v>
      </c>
      <c r="T637" s="1">
        <v>0.84509999999999996</v>
      </c>
      <c r="U637" s="6">
        <f t="shared" si="120"/>
        <v>114.9336</v>
      </c>
    </row>
    <row r="638" spans="1:21" x14ac:dyDescent="0.35">
      <c r="A638">
        <v>637</v>
      </c>
      <c r="B638" s="5">
        <v>44833</v>
      </c>
      <c r="C638" s="4">
        <f t="shared" si="121"/>
        <v>2022</v>
      </c>
      <c r="D638" s="4">
        <f t="shared" si="122"/>
        <v>9</v>
      </c>
      <c r="E638" s="14">
        <v>44833</v>
      </c>
      <c r="F638" s="4">
        <f t="shared" si="123"/>
        <v>29</v>
      </c>
      <c r="G638">
        <v>119</v>
      </c>
      <c r="H638">
        <v>114</v>
      </c>
      <c r="I638" s="13">
        <f t="shared" si="124"/>
        <v>0.95</v>
      </c>
      <c r="J638">
        <f t="shared" si="117"/>
        <v>5</v>
      </c>
      <c r="K638" s="2">
        <v>9.2592592592592588E-5</v>
      </c>
      <c r="L638" s="11">
        <f t="shared" si="118"/>
        <v>15.2</v>
      </c>
      <c r="M638" s="3">
        <f t="shared" si="125"/>
        <v>0.13333333333333333</v>
      </c>
      <c r="N638" s="4">
        <f t="shared" si="126"/>
        <v>8</v>
      </c>
      <c r="O638" s="2">
        <v>1.6435185185185185E-3</v>
      </c>
      <c r="P638" s="9">
        <f t="shared" si="119"/>
        <v>269.8</v>
      </c>
      <c r="Q638" s="3">
        <f t="shared" si="127"/>
        <v>2.3666666666666667</v>
      </c>
      <c r="R638" s="4">
        <f t="shared" si="128"/>
        <v>142</v>
      </c>
      <c r="S638" s="3">
        <f t="shared" si="129"/>
        <v>103</v>
      </c>
      <c r="T638" s="1">
        <v>0.90600000000000003</v>
      </c>
      <c r="U638" s="6">
        <f t="shared" si="120"/>
        <v>103.28400000000001</v>
      </c>
    </row>
    <row r="639" spans="1:21" x14ac:dyDescent="0.35">
      <c r="A639">
        <v>638</v>
      </c>
      <c r="B639" s="5">
        <v>44834</v>
      </c>
      <c r="C639" s="4">
        <f t="shared" si="121"/>
        <v>2022</v>
      </c>
      <c r="D639" s="4">
        <f t="shared" si="122"/>
        <v>9</v>
      </c>
      <c r="E639" s="14">
        <v>44834</v>
      </c>
      <c r="F639" s="4">
        <f t="shared" si="123"/>
        <v>30</v>
      </c>
      <c r="G639">
        <v>123</v>
      </c>
      <c r="H639">
        <v>118</v>
      </c>
      <c r="I639" s="13">
        <f t="shared" si="124"/>
        <v>0.95</v>
      </c>
      <c r="J639">
        <f t="shared" si="117"/>
        <v>5</v>
      </c>
      <c r="K639" s="2">
        <v>2.4305555555555555E-4</v>
      </c>
      <c r="L639" s="11">
        <f t="shared" si="118"/>
        <v>41.3</v>
      </c>
      <c r="M639" s="3">
        <f t="shared" si="125"/>
        <v>0.35</v>
      </c>
      <c r="N639" s="4">
        <f t="shared" si="126"/>
        <v>21</v>
      </c>
      <c r="O639" s="2">
        <v>1.9212962962962964E-3</v>
      </c>
      <c r="P639" s="9">
        <f t="shared" si="119"/>
        <v>326.46666666666664</v>
      </c>
      <c r="Q639" s="3">
        <f t="shared" si="127"/>
        <v>2.7666666666666666</v>
      </c>
      <c r="R639" s="4">
        <f t="shared" si="128"/>
        <v>166</v>
      </c>
      <c r="S639" s="3">
        <f t="shared" si="129"/>
        <v>83</v>
      </c>
      <c r="T639" s="1">
        <v>0.70730000000000004</v>
      </c>
      <c r="U639" s="6">
        <f t="shared" si="120"/>
        <v>83.461399999999998</v>
      </c>
    </row>
    <row r="640" spans="1:21" x14ac:dyDescent="0.35">
      <c r="A640">
        <v>639</v>
      </c>
      <c r="B640" s="5">
        <v>44835</v>
      </c>
      <c r="C640" s="4">
        <f t="shared" si="121"/>
        <v>2022</v>
      </c>
      <c r="D640" s="4">
        <f t="shared" si="122"/>
        <v>10</v>
      </c>
      <c r="E640" s="14">
        <v>44835</v>
      </c>
      <c r="F640" s="4">
        <f t="shared" si="123"/>
        <v>1</v>
      </c>
      <c r="G640">
        <v>145</v>
      </c>
      <c r="H640">
        <v>141</v>
      </c>
      <c r="I640" s="13">
        <f t="shared" si="124"/>
        <v>0.97</v>
      </c>
      <c r="J640">
        <f t="shared" si="117"/>
        <v>4</v>
      </c>
      <c r="K640" s="2">
        <v>1.6203703703703703E-4</v>
      </c>
      <c r="L640" s="11">
        <f t="shared" si="118"/>
        <v>32.9</v>
      </c>
      <c r="M640" s="3">
        <f t="shared" si="125"/>
        <v>0.23333333333333334</v>
      </c>
      <c r="N640" s="4">
        <f t="shared" si="126"/>
        <v>14</v>
      </c>
      <c r="O640" s="2">
        <v>1.8055555555555555E-3</v>
      </c>
      <c r="P640" s="9">
        <f t="shared" si="119"/>
        <v>366.6</v>
      </c>
      <c r="Q640" s="3">
        <f t="shared" si="127"/>
        <v>2.6</v>
      </c>
      <c r="R640" s="4">
        <f t="shared" si="128"/>
        <v>156</v>
      </c>
      <c r="S640" s="3">
        <f t="shared" si="129"/>
        <v>117</v>
      </c>
      <c r="T640" s="1">
        <v>0.83330000000000004</v>
      </c>
      <c r="U640" s="6">
        <f t="shared" si="120"/>
        <v>117.4953</v>
      </c>
    </row>
    <row r="641" spans="1:21" x14ac:dyDescent="0.35">
      <c r="A641">
        <v>640</v>
      </c>
      <c r="B641" s="5">
        <v>44836</v>
      </c>
      <c r="C641" s="4">
        <f t="shared" si="121"/>
        <v>2022</v>
      </c>
      <c r="D641" s="4">
        <f t="shared" si="122"/>
        <v>10</v>
      </c>
      <c r="E641" s="14">
        <v>44836</v>
      </c>
      <c r="F641" s="4">
        <f t="shared" si="123"/>
        <v>2</v>
      </c>
      <c r="G641">
        <v>108</v>
      </c>
      <c r="H641">
        <v>106</v>
      </c>
      <c r="I641" s="13">
        <f t="shared" si="124"/>
        <v>0.98</v>
      </c>
      <c r="J641">
        <f t="shared" si="117"/>
        <v>2</v>
      </c>
      <c r="K641" s="2">
        <v>3.0092592592592595E-4</v>
      </c>
      <c r="L641" s="11">
        <f t="shared" si="118"/>
        <v>45.933333333333337</v>
      </c>
      <c r="M641" s="3">
        <f t="shared" si="125"/>
        <v>0.43333333333333335</v>
      </c>
      <c r="N641" s="4">
        <f t="shared" si="126"/>
        <v>26</v>
      </c>
      <c r="O641" s="2">
        <v>1.9675925925925924E-3</v>
      </c>
      <c r="P641" s="9">
        <f t="shared" si="119"/>
        <v>300.33333333333337</v>
      </c>
      <c r="Q641" s="3">
        <f t="shared" si="127"/>
        <v>2.8333333333333335</v>
      </c>
      <c r="R641" s="4">
        <f t="shared" si="128"/>
        <v>170</v>
      </c>
      <c r="S641" s="3">
        <f t="shared" si="129"/>
        <v>72</v>
      </c>
      <c r="T641" s="1">
        <v>0.68220000000000003</v>
      </c>
      <c r="U641" s="6">
        <f t="shared" si="120"/>
        <v>72.313200000000009</v>
      </c>
    </row>
    <row r="642" spans="1:21" x14ac:dyDescent="0.35">
      <c r="A642">
        <v>641</v>
      </c>
      <c r="B642" s="5">
        <v>44837</v>
      </c>
      <c r="C642" s="4">
        <f t="shared" si="121"/>
        <v>2022</v>
      </c>
      <c r="D642" s="4">
        <f t="shared" si="122"/>
        <v>10</v>
      </c>
      <c r="E642" s="14">
        <v>44837</v>
      </c>
      <c r="F642" s="4">
        <f t="shared" si="123"/>
        <v>3</v>
      </c>
      <c r="G642">
        <v>128</v>
      </c>
      <c r="H642">
        <v>125</v>
      </c>
      <c r="I642" s="13">
        <f t="shared" si="124"/>
        <v>0.97</v>
      </c>
      <c r="J642">
        <f t="shared" ref="J642:J705" si="130">G642-H642</f>
        <v>3</v>
      </c>
      <c r="K642" s="2">
        <v>1.5046296296296297E-4</v>
      </c>
      <c r="L642" s="11">
        <f t="shared" ref="L642:L705" si="131">H642*M642</f>
        <v>27.083333333333336</v>
      </c>
      <c r="M642" s="3">
        <f t="shared" si="125"/>
        <v>0.21666666666666667</v>
      </c>
      <c r="N642" s="4">
        <f t="shared" si="126"/>
        <v>13</v>
      </c>
      <c r="O642" s="2">
        <v>1.9097222222222222E-3</v>
      </c>
      <c r="P642" s="9">
        <f t="shared" ref="P642:P705" si="132">Q642*H642</f>
        <v>343.75</v>
      </c>
      <c r="Q642" s="3">
        <f t="shared" si="127"/>
        <v>2.75</v>
      </c>
      <c r="R642" s="4">
        <f t="shared" si="128"/>
        <v>165</v>
      </c>
      <c r="S642" s="3">
        <f t="shared" si="129"/>
        <v>103</v>
      </c>
      <c r="T642" s="1">
        <v>0.82679999999999998</v>
      </c>
      <c r="U642" s="6">
        <f t="shared" ref="U642:U705" si="133">T642*H642</f>
        <v>103.35</v>
      </c>
    </row>
    <row r="643" spans="1:21" x14ac:dyDescent="0.35">
      <c r="A643">
        <v>642</v>
      </c>
      <c r="B643" s="5">
        <v>44838</v>
      </c>
      <c r="C643" s="4">
        <f t="shared" ref="C643:C706" si="134">YEAR(B643)</f>
        <v>2022</v>
      </c>
      <c r="D643" s="4">
        <f t="shared" ref="D643:D706" si="135">MONTH(B643)</f>
        <v>10</v>
      </c>
      <c r="E643" s="14">
        <v>44838</v>
      </c>
      <c r="F643" s="4">
        <f t="shared" ref="F643:F706" si="136">DAY(B643)</f>
        <v>4</v>
      </c>
      <c r="G643">
        <v>27</v>
      </c>
      <c r="H643">
        <v>26</v>
      </c>
      <c r="I643" s="13">
        <f t="shared" ref="I643:I706" si="137">TRUNC(H643/G643,2)</f>
        <v>0.96</v>
      </c>
      <c r="J643">
        <f t="shared" si="130"/>
        <v>1</v>
      </c>
      <c r="K643" s="2">
        <v>2.3148148148148149E-4</v>
      </c>
      <c r="L643" s="11">
        <f t="shared" si="131"/>
        <v>8.6666666666666661</v>
      </c>
      <c r="M643" s="3">
        <f t="shared" ref="M643:M706" si="138">MINUTE(K643)+SECOND(K643)/60</f>
        <v>0.33333333333333331</v>
      </c>
      <c r="N643" s="4">
        <f t="shared" ref="N643:N706" si="139">M643*60</f>
        <v>20</v>
      </c>
      <c r="O643" s="2">
        <v>1.9791666666666668E-3</v>
      </c>
      <c r="P643" s="9">
        <f t="shared" si="132"/>
        <v>74.100000000000009</v>
      </c>
      <c r="Q643" s="3">
        <f t="shared" ref="Q643:Q706" si="140">MINUTE(O643)+SECOND(O643)/60</f>
        <v>2.85</v>
      </c>
      <c r="R643" s="4">
        <f t="shared" ref="R643:R706" si="141">Q643*60</f>
        <v>171</v>
      </c>
      <c r="S643" s="3">
        <f t="shared" ref="S643:S706" si="142">TRUNC(U643,0)</f>
        <v>22</v>
      </c>
      <c r="T643" s="1">
        <v>0.84619999999999995</v>
      </c>
      <c r="U643" s="6">
        <f t="shared" si="133"/>
        <v>22.001199999999997</v>
      </c>
    </row>
    <row r="644" spans="1:21" x14ac:dyDescent="0.35">
      <c r="A644">
        <v>643</v>
      </c>
      <c r="B644" s="5">
        <v>44839</v>
      </c>
      <c r="C644" s="4">
        <f t="shared" si="134"/>
        <v>2022</v>
      </c>
      <c r="D644" s="4">
        <f t="shared" si="135"/>
        <v>10</v>
      </c>
      <c r="E644" s="14">
        <v>44839</v>
      </c>
      <c r="F644" s="4">
        <f t="shared" si="136"/>
        <v>5</v>
      </c>
      <c r="G644">
        <v>155</v>
      </c>
      <c r="H644">
        <v>151</v>
      </c>
      <c r="I644" s="13">
        <f t="shared" si="137"/>
        <v>0.97</v>
      </c>
      <c r="J644">
        <f t="shared" si="130"/>
        <v>4</v>
      </c>
      <c r="K644" s="2">
        <v>1.273148148148148E-4</v>
      </c>
      <c r="L644" s="11">
        <f t="shared" si="131"/>
        <v>27.68333333333333</v>
      </c>
      <c r="M644" s="3">
        <f t="shared" si="138"/>
        <v>0.18333333333333332</v>
      </c>
      <c r="N644" s="4">
        <f t="shared" si="139"/>
        <v>11</v>
      </c>
      <c r="O644" s="2">
        <v>1.7592592592592592E-3</v>
      </c>
      <c r="P644" s="9">
        <f t="shared" si="132"/>
        <v>382.5333333333333</v>
      </c>
      <c r="Q644" s="3">
        <f t="shared" si="140"/>
        <v>2.5333333333333332</v>
      </c>
      <c r="R644" s="4">
        <f t="shared" si="141"/>
        <v>152</v>
      </c>
      <c r="S644" s="3">
        <f t="shared" si="142"/>
        <v>135</v>
      </c>
      <c r="T644" s="1">
        <v>0.89610000000000001</v>
      </c>
      <c r="U644" s="6">
        <f t="shared" si="133"/>
        <v>135.31110000000001</v>
      </c>
    </row>
    <row r="645" spans="1:21" x14ac:dyDescent="0.35">
      <c r="A645">
        <v>644</v>
      </c>
      <c r="B645" s="5">
        <v>44840</v>
      </c>
      <c r="C645" s="4">
        <f t="shared" si="134"/>
        <v>2022</v>
      </c>
      <c r="D645" s="4">
        <f t="shared" si="135"/>
        <v>10</v>
      </c>
      <c r="E645" s="14">
        <v>44840</v>
      </c>
      <c r="F645" s="4">
        <f t="shared" si="136"/>
        <v>6</v>
      </c>
      <c r="G645">
        <v>116</v>
      </c>
      <c r="H645">
        <v>110</v>
      </c>
      <c r="I645" s="13">
        <f t="shared" si="137"/>
        <v>0.94</v>
      </c>
      <c r="J645">
        <f t="shared" si="130"/>
        <v>6</v>
      </c>
      <c r="K645" s="2">
        <v>2.0833333333333335E-4</v>
      </c>
      <c r="L645" s="11">
        <f t="shared" si="131"/>
        <v>33</v>
      </c>
      <c r="M645" s="3">
        <f t="shared" si="138"/>
        <v>0.3</v>
      </c>
      <c r="N645" s="4">
        <f t="shared" si="139"/>
        <v>18</v>
      </c>
      <c r="O645" s="2">
        <v>1.6550925925925926E-3</v>
      </c>
      <c r="P645" s="9">
        <f t="shared" si="132"/>
        <v>262.16666666666669</v>
      </c>
      <c r="Q645" s="3">
        <f t="shared" si="140"/>
        <v>2.3833333333333333</v>
      </c>
      <c r="R645" s="4">
        <f t="shared" si="141"/>
        <v>143</v>
      </c>
      <c r="S645" s="3">
        <f t="shared" si="142"/>
        <v>82</v>
      </c>
      <c r="T645" s="1">
        <v>0.75</v>
      </c>
      <c r="U645" s="6">
        <f t="shared" si="133"/>
        <v>82.5</v>
      </c>
    </row>
    <row r="646" spans="1:21" x14ac:dyDescent="0.35">
      <c r="A646">
        <v>645</v>
      </c>
      <c r="B646" s="5">
        <v>44841</v>
      </c>
      <c r="C646" s="4">
        <f t="shared" si="134"/>
        <v>2022</v>
      </c>
      <c r="D646" s="4">
        <f t="shared" si="135"/>
        <v>10</v>
      </c>
      <c r="E646" s="14">
        <v>44841</v>
      </c>
      <c r="F646" s="4">
        <f t="shared" si="136"/>
        <v>7</v>
      </c>
      <c r="G646">
        <v>117</v>
      </c>
      <c r="H646">
        <v>111</v>
      </c>
      <c r="I646" s="13">
        <f t="shared" si="137"/>
        <v>0.94</v>
      </c>
      <c r="J646">
        <f t="shared" si="130"/>
        <v>6</v>
      </c>
      <c r="K646" s="2">
        <v>2.0833333333333335E-4</v>
      </c>
      <c r="L646" s="11">
        <f t="shared" si="131"/>
        <v>33.299999999999997</v>
      </c>
      <c r="M646" s="3">
        <f t="shared" si="138"/>
        <v>0.3</v>
      </c>
      <c r="N646" s="4">
        <f t="shared" si="139"/>
        <v>18</v>
      </c>
      <c r="O646" s="2">
        <v>1.8865740740740742E-3</v>
      </c>
      <c r="P646" s="9">
        <f t="shared" si="132"/>
        <v>301.55</v>
      </c>
      <c r="Q646" s="3">
        <f t="shared" si="140"/>
        <v>2.7166666666666668</v>
      </c>
      <c r="R646" s="4">
        <f t="shared" si="141"/>
        <v>163</v>
      </c>
      <c r="S646" s="3">
        <f t="shared" si="142"/>
        <v>84</v>
      </c>
      <c r="T646" s="1">
        <v>0.76519999999999999</v>
      </c>
      <c r="U646" s="6">
        <f t="shared" si="133"/>
        <v>84.937200000000004</v>
      </c>
    </row>
    <row r="647" spans="1:21" x14ac:dyDescent="0.35">
      <c r="A647">
        <v>646</v>
      </c>
      <c r="B647" s="5">
        <v>44842</v>
      </c>
      <c r="C647" s="4">
        <f t="shared" si="134"/>
        <v>2022</v>
      </c>
      <c r="D647" s="4">
        <f t="shared" si="135"/>
        <v>10</v>
      </c>
      <c r="E647" s="14">
        <v>44842</v>
      </c>
      <c r="F647" s="4">
        <f t="shared" si="136"/>
        <v>8</v>
      </c>
      <c r="G647">
        <v>113</v>
      </c>
      <c r="H647">
        <v>105</v>
      </c>
      <c r="I647" s="13">
        <f t="shared" si="137"/>
        <v>0.92</v>
      </c>
      <c r="J647">
        <f t="shared" si="130"/>
        <v>8</v>
      </c>
      <c r="K647" s="2">
        <v>3.5879629629629629E-4</v>
      </c>
      <c r="L647" s="11">
        <f t="shared" si="131"/>
        <v>54.250000000000007</v>
      </c>
      <c r="M647" s="3">
        <f t="shared" si="138"/>
        <v>0.51666666666666672</v>
      </c>
      <c r="N647" s="4">
        <f t="shared" si="139"/>
        <v>31.000000000000004</v>
      </c>
      <c r="O647" s="2">
        <v>1.8171296296296297E-3</v>
      </c>
      <c r="P647" s="9">
        <f t="shared" si="132"/>
        <v>274.75</v>
      </c>
      <c r="Q647" s="3">
        <f t="shared" si="140"/>
        <v>2.6166666666666667</v>
      </c>
      <c r="R647" s="4">
        <f t="shared" si="141"/>
        <v>157</v>
      </c>
      <c r="S647" s="3">
        <f t="shared" si="142"/>
        <v>56</v>
      </c>
      <c r="T647" s="1">
        <v>0.53979999999999995</v>
      </c>
      <c r="U647" s="6">
        <f t="shared" si="133"/>
        <v>56.678999999999995</v>
      </c>
    </row>
    <row r="648" spans="1:21" x14ac:dyDescent="0.35">
      <c r="A648">
        <v>647</v>
      </c>
      <c r="B648" s="5">
        <v>44843</v>
      </c>
      <c r="C648" s="4">
        <f t="shared" si="134"/>
        <v>2022</v>
      </c>
      <c r="D648" s="4">
        <f t="shared" si="135"/>
        <v>10</v>
      </c>
      <c r="E648" s="14">
        <v>44843</v>
      </c>
      <c r="F648" s="4">
        <f t="shared" si="136"/>
        <v>9</v>
      </c>
      <c r="G648">
        <v>107</v>
      </c>
      <c r="H648">
        <v>101</v>
      </c>
      <c r="I648" s="13">
        <f t="shared" si="137"/>
        <v>0.94</v>
      </c>
      <c r="J648">
        <f t="shared" si="130"/>
        <v>6</v>
      </c>
      <c r="K648" s="2">
        <v>2.6620370370370372E-4</v>
      </c>
      <c r="L648" s="11">
        <f t="shared" si="131"/>
        <v>38.716666666666669</v>
      </c>
      <c r="M648" s="3">
        <f t="shared" si="138"/>
        <v>0.38333333333333336</v>
      </c>
      <c r="N648" s="4">
        <f t="shared" si="139"/>
        <v>23</v>
      </c>
      <c r="O648" s="2">
        <v>1.8981481481481482E-3</v>
      </c>
      <c r="P648" s="9">
        <f t="shared" si="132"/>
        <v>276.06666666666666</v>
      </c>
      <c r="Q648" s="3">
        <f t="shared" si="140"/>
        <v>2.7333333333333334</v>
      </c>
      <c r="R648" s="4">
        <f t="shared" si="141"/>
        <v>164</v>
      </c>
      <c r="S648" s="3">
        <f t="shared" si="142"/>
        <v>74</v>
      </c>
      <c r="T648" s="1">
        <v>0.73580000000000001</v>
      </c>
      <c r="U648" s="6">
        <f t="shared" si="133"/>
        <v>74.315799999999996</v>
      </c>
    </row>
    <row r="649" spans="1:21" x14ac:dyDescent="0.35">
      <c r="A649">
        <v>648</v>
      </c>
      <c r="B649" s="5">
        <v>44844</v>
      </c>
      <c r="C649" s="4">
        <f t="shared" si="134"/>
        <v>2022</v>
      </c>
      <c r="D649" s="4">
        <f t="shared" si="135"/>
        <v>10</v>
      </c>
      <c r="E649" s="14">
        <v>44844</v>
      </c>
      <c r="F649" s="4">
        <f t="shared" si="136"/>
        <v>10</v>
      </c>
      <c r="G649">
        <v>146</v>
      </c>
      <c r="H649">
        <v>141</v>
      </c>
      <c r="I649" s="13">
        <f t="shared" si="137"/>
        <v>0.96</v>
      </c>
      <c r="J649">
        <f t="shared" si="130"/>
        <v>5</v>
      </c>
      <c r="K649" s="2">
        <v>2.8935185185185184E-4</v>
      </c>
      <c r="L649" s="11">
        <f t="shared" si="131"/>
        <v>58.75</v>
      </c>
      <c r="M649" s="3">
        <f t="shared" si="138"/>
        <v>0.41666666666666669</v>
      </c>
      <c r="N649" s="4">
        <f t="shared" si="139"/>
        <v>25</v>
      </c>
      <c r="O649" s="2">
        <v>1.6435185185185185E-3</v>
      </c>
      <c r="P649" s="9">
        <f t="shared" si="132"/>
        <v>333.7</v>
      </c>
      <c r="Q649" s="3">
        <f t="shared" si="140"/>
        <v>2.3666666666666667</v>
      </c>
      <c r="R649" s="4">
        <f t="shared" si="141"/>
        <v>142</v>
      </c>
      <c r="S649" s="3">
        <f t="shared" si="142"/>
        <v>92</v>
      </c>
      <c r="T649" s="1">
        <v>0.65749999999999997</v>
      </c>
      <c r="U649" s="6">
        <f t="shared" si="133"/>
        <v>92.707499999999996</v>
      </c>
    </row>
    <row r="650" spans="1:21" x14ac:dyDescent="0.35">
      <c r="A650">
        <v>649</v>
      </c>
      <c r="B650" s="5">
        <v>44845</v>
      </c>
      <c r="C650" s="4">
        <f t="shared" si="134"/>
        <v>2022</v>
      </c>
      <c r="D650" s="4">
        <f t="shared" si="135"/>
        <v>10</v>
      </c>
      <c r="E650" s="14">
        <v>44845</v>
      </c>
      <c r="F650" s="4">
        <f t="shared" si="136"/>
        <v>11</v>
      </c>
      <c r="G650">
        <v>29</v>
      </c>
      <c r="H650">
        <v>26</v>
      </c>
      <c r="I650" s="13">
        <f t="shared" si="137"/>
        <v>0.89</v>
      </c>
      <c r="J650">
        <f t="shared" si="130"/>
        <v>3</v>
      </c>
      <c r="K650" s="2">
        <v>1.0416666666666667E-4</v>
      </c>
      <c r="L650" s="11">
        <f t="shared" si="131"/>
        <v>3.9</v>
      </c>
      <c r="M650" s="3">
        <f t="shared" si="138"/>
        <v>0.15</v>
      </c>
      <c r="N650" s="4">
        <f t="shared" si="139"/>
        <v>9</v>
      </c>
      <c r="O650" s="2">
        <v>1.8171296296296297E-3</v>
      </c>
      <c r="P650" s="9">
        <f t="shared" si="132"/>
        <v>68.033333333333331</v>
      </c>
      <c r="Q650" s="3">
        <f t="shared" si="140"/>
        <v>2.6166666666666667</v>
      </c>
      <c r="R650" s="4">
        <f t="shared" si="141"/>
        <v>157</v>
      </c>
      <c r="S650" s="3">
        <f t="shared" si="142"/>
        <v>22</v>
      </c>
      <c r="T650" s="1">
        <v>0.85709999999999997</v>
      </c>
      <c r="U650" s="6">
        <f t="shared" si="133"/>
        <v>22.284599999999998</v>
      </c>
    </row>
    <row r="651" spans="1:21" x14ac:dyDescent="0.35">
      <c r="A651">
        <v>650</v>
      </c>
      <c r="B651" s="5">
        <v>44846</v>
      </c>
      <c r="C651" s="4">
        <f t="shared" si="134"/>
        <v>2022</v>
      </c>
      <c r="D651" s="4">
        <f t="shared" si="135"/>
        <v>10</v>
      </c>
      <c r="E651" s="14">
        <v>44846</v>
      </c>
      <c r="F651" s="4">
        <f t="shared" si="136"/>
        <v>12</v>
      </c>
      <c r="G651">
        <v>231</v>
      </c>
      <c r="H651">
        <v>228</v>
      </c>
      <c r="I651" s="13">
        <f t="shared" si="137"/>
        <v>0.98</v>
      </c>
      <c r="J651">
        <f t="shared" si="130"/>
        <v>3</v>
      </c>
      <c r="K651" s="2">
        <v>1.7361111111111112E-4</v>
      </c>
      <c r="L651" s="11">
        <f t="shared" si="131"/>
        <v>57</v>
      </c>
      <c r="M651" s="3">
        <f t="shared" si="138"/>
        <v>0.25</v>
      </c>
      <c r="N651" s="4">
        <f t="shared" si="139"/>
        <v>15</v>
      </c>
      <c r="O651" s="2">
        <v>1.4930555555555556E-3</v>
      </c>
      <c r="P651" s="9">
        <f t="shared" si="132"/>
        <v>490.2</v>
      </c>
      <c r="Q651" s="3">
        <f t="shared" si="140"/>
        <v>2.15</v>
      </c>
      <c r="R651" s="4">
        <f t="shared" si="141"/>
        <v>129</v>
      </c>
      <c r="S651" s="3">
        <f t="shared" si="142"/>
        <v>185</v>
      </c>
      <c r="T651" s="1">
        <v>0.81389999999999996</v>
      </c>
      <c r="U651" s="6">
        <f t="shared" si="133"/>
        <v>185.5692</v>
      </c>
    </row>
    <row r="652" spans="1:21" x14ac:dyDescent="0.35">
      <c r="A652">
        <v>651</v>
      </c>
      <c r="B652" s="5">
        <v>44847</v>
      </c>
      <c r="C652" s="4">
        <f t="shared" si="134"/>
        <v>2022</v>
      </c>
      <c r="D652" s="4">
        <f t="shared" si="135"/>
        <v>10</v>
      </c>
      <c r="E652" s="14">
        <v>44847</v>
      </c>
      <c r="F652" s="4">
        <f t="shared" si="136"/>
        <v>13</v>
      </c>
      <c r="G652">
        <v>239</v>
      </c>
      <c r="H652">
        <v>215</v>
      </c>
      <c r="I652" s="13">
        <f t="shared" si="137"/>
        <v>0.89</v>
      </c>
      <c r="J652">
        <f t="shared" si="130"/>
        <v>24</v>
      </c>
      <c r="K652" s="2">
        <v>2.6620370370370372E-4</v>
      </c>
      <c r="L652" s="11">
        <f t="shared" si="131"/>
        <v>82.416666666666671</v>
      </c>
      <c r="M652" s="3">
        <f t="shared" si="138"/>
        <v>0.38333333333333336</v>
      </c>
      <c r="N652" s="4">
        <f t="shared" si="139"/>
        <v>23</v>
      </c>
      <c r="O652" s="2">
        <v>1.8055555555555555E-3</v>
      </c>
      <c r="P652" s="9">
        <f t="shared" si="132"/>
        <v>559</v>
      </c>
      <c r="Q652" s="3">
        <f t="shared" si="140"/>
        <v>2.6</v>
      </c>
      <c r="R652" s="4">
        <f t="shared" si="141"/>
        <v>156</v>
      </c>
      <c r="S652" s="3">
        <f t="shared" si="142"/>
        <v>143</v>
      </c>
      <c r="T652" s="1">
        <v>0.66669999999999996</v>
      </c>
      <c r="U652" s="6">
        <f t="shared" si="133"/>
        <v>143.34049999999999</v>
      </c>
    </row>
    <row r="653" spans="1:21" x14ac:dyDescent="0.35">
      <c r="A653">
        <v>652</v>
      </c>
      <c r="B653" s="5">
        <v>44848</v>
      </c>
      <c r="C653" s="4">
        <f t="shared" si="134"/>
        <v>2022</v>
      </c>
      <c r="D653" s="4">
        <f t="shared" si="135"/>
        <v>10</v>
      </c>
      <c r="E653" s="14">
        <v>44848</v>
      </c>
      <c r="F653" s="4">
        <f t="shared" si="136"/>
        <v>14</v>
      </c>
      <c r="G653">
        <v>174</v>
      </c>
      <c r="H653">
        <v>154</v>
      </c>
      <c r="I653" s="13">
        <f t="shared" si="137"/>
        <v>0.88</v>
      </c>
      <c r="J653">
        <f t="shared" si="130"/>
        <v>20</v>
      </c>
      <c r="K653" s="2">
        <v>3.3564814814814812E-4</v>
      </c>
      <c r="L653" s="11">
        <f t="shared" si="131"/>
        <v>74.433333333333337</v>
      </c>
      <c r="M653" s="3">
        <f t="shared" si="138"/>
        <v>0.48333333333333334</v>
      </c>
      <c r="N653" s="4">
        <f t="shared" si="139"/>
        <v>29</v>
      </c>
      <c r="O653" s="2">
        <v>1.8518518518518519E-3</v>
      </c>
      <c r="P653" s="9">
        <f t="shared" si="132"/>
        <v>410.66666666666663</v>
      </c>
      <c r="Q653" s="3">
        <f t="shared" si="140"/>
        <v>2.6666666666666665</v>
      </c>
      <c r="R653" s="4">
        <f t="shared" si="141"/>
        <v>160</v>
      </c>
      <c r="S653" s="3">
        <f t="shared" si="142"/>
        <v>94</v>
      </c>
      <c r="T653" s="1">
        <v>0.61309999999999998</v>
      </c>
      <c r="U653" s="6">
        <f t="shared" si="133"/>
        <v>94.417400000000001</v>
      </c>
    </row>
    <row r="654" spans="1:21" x14ac:dyDescent="0.35">
      <c r="A654">
        <v>653</v>
      </c>
      <c r="B654" s="5">
        <v>44849</v>
      </c>
      <c r="C654" s="4">
        <f t="shared" si="134"/>
        <v>2022</v>
      </c>
      <c r="D654" s="4">
        <f t="shared" si="135"/>
        <v>10</v>
      </c>
      <c r="E654" s="14">
        <v>44849</v>
      </c>
      <c r="F654" s="4">
        <f t="shared" si="136"/>
        <v>15</v>
      </c>
      <c r="G654">
        <v>168</v>
      </c>
      <c r="H654">
        <v>163</v>
      </c>
      <c r="I654" s="13">
        <f t="shared" si="137"/>
        <v>0.97</v>
      </c>
      <c r="J654">
        <f t="shared" si="130"/>
        <v>5</v>
      </c>
      <c r="K654" s="2">
        <v>2.4305555555555555E-4</v>
      </c>
      <c r="L654" s="11">
        <f t="shared" si="131"/>
        <v>57.05</v>
      </c>
      <c r="M654" s="3">
        <f t="shared" si="138"/>
        <v>0.35</v>
      </c>
      <c r="N654" s="4">
        <f t="shared" si="139"/>
        <v>21</v>
      </c>
      <c r="O654" s="2">
        <v>1.9560185185185184E-3</v>
      </c>
      <c r="P654" s="9">
        <f t="shared" si="132"/>
        <v>459.11666666666662</v>
      </c>
      <c r="Q654" s="3">
        <f t="shared" si="140"/>
        <v>2.8166666666666664</v>
      </c>
      <c r="R654" s="4">
        <f t="shared" si="141"/>
        <v>169</v>
      </c>
      <c r="S654" s="3">
        <f t="shared" si="142"/>
        <v>115</v>
      </c>
      <c r="T654" s="1">
        <v>0.70660000000000001</v>
      </c>
      <c r="U654" s="6">
        <f t="shared" si="133"/>
        <v>115.1758</v>
      </c>
    </row>
    <row r="655" spans="1:21" x14ac:dyDescent="0.35">
      <c r="A655">
        <v>654</v>
      </c>
      <c r="B655" s="5">
        <v>44850</v>
      </c>
      <c r="C655" s="4">
        <f t="shared" si="134"/>
        <v>2022</v>
      </c>
      <c r="D655" s="4">
        <f t="shared" si="135"/>
        <v>10</v>
      </c>
      <c r="E655" s="14">
        <v>44850</v>
      </c>
      <c r="F655" s="4">
        <f t="shared" si="136"/>
        <v>16</v>
      </c>
      <c r="G655">
        <v>135</v>
      </c>
      <c r="H655">
        <v>128</v>
      </c>
      <c r="I655" s="13">
        <f t="shared" si="137"/>
        <v>0.94</v>
      </c>
      <c r="J655">
        <f t="shared" si="130"/>
        <v>7</v>
      </c>
      <c r="K655" s="2">
        <v>2.0833333333333335E-4</v>
      </c>
      <c r="L655" s="11">
        <f t="shared" si="131"/>
        <v>38.4</v>
      </c>
      <c r="M655" s="3">
        <f t="shared" si="138"/>
        <v>0.3</v>
      </c>
      <c r="N655" s="4">
        <f t="shared" si="139"/>
        <v>18</v>
      </c>
      <c r="O655" s="2">
        <v>1.8055555555555555E-3</v>
      </c>
      <c r="P655" s="9">
        <f t="shared" si="132"/>
        <v>332.8</v>
      </c>
      <c r="Q655" s="3">
        <f t="shared" si="140"/>
        <v>2.6</v>
      </c>
      <c r="R655" s="4">
        <f t="shared" si="141"/>
        <v>156</v>
      </c>
      <c r="S655" s="3">
        <f t="shared" si="142"/>
        <v>92</v>
      </c>
      <c r="T655" s="1">
        <v>0.72589999999999999</v>
      </c>
      <c r="U655" s="6">
        <f t="shared" si="133"/>
        <v>92.915199999999999</v>
      </c>
    </row>
    <row r="656" spans="1:21" x14ac:dyDescent="0.35">
      <c r="A656">
        <v>655</v>
      </c>
      <c r="B656" s="5">
        <v>44851</v>
      </c>
      <c r="C656" s="4">
        <f t="shared" si="134"/>
        <v>2022</v>
      </c>
      <c r="D656" s="4">
        <f t="shared" si="135"/>
        <v>10</v>
      </c>
      <c r="E656" s="14">
        <v>44851</v>
      </c>
      <c r="F656" s="4">
        <f t="shared" si="136"/>
        <v>17</v>
      </c>
      <c r="G656">
        <v>122</v>
      </c>
      <c r="H656">
        <v>113</v>
      </c>
      <c r="I656" s="13">
        <f t="shared" si="137"/>
        <v>0.92</v>
      </c>
      <c r="J656">
        <f t="shared" si="130"/>
        <v>9</v>
      </c>
      <c r="K656" s="2">
        <v>3.4722222222222224E-4</v>
      </c>
      <c r="L656" s="11">
        <f t="shared" si="131"/>
        <v>56.5</v>
      </c>
      <c r="M656" s="3">
        <f t="shared" si="138"/>
        <v>0.5</v>
      </c>
      <c r="N656" s="4">
        <f t="shared" si="139"/>
        <v>30</v>
      </c>
      <c r="O656" s="2">
        <v>1.9560185185185184E-3</v>
      </c>
      <c r="P656" s="9">
        <f t="shared" si="132"/>
        <v>318.2833333333333</v>
      </c>
      <c r="Q656" s="3">
        <f t="shared" si="140"/>
        <v>2.8166666666666664</v>
      </c>
      <c r="R656" s="4">
        <f t="shared" si="141"/>
        <v>169</v>
      </c>
      <c r="S656" s="3">
        <f t="shared" si="142"/>
        <v>69</v>
      </c>
      <c r="T656" s="1">
        <v>0.61160000000000003</v>
      </c>
      <c r="U656" s="6">
        <f t="shared" si="133"/>
        <v>69.110799999999998</v>
      </c>
    </row>
    <row r="657" spans="1:21" x14ac:dyDescent="0.35">
      <c r="A657">
        <v>656</v>
      </c>
      <c r="B657" s="5">
        <v>44852</v>
      </c>
      <c r="C657" s="4">
        <f t="shared" si="134"/>
        <v>2022</v>
      </c>
      <c r="D657" s="4">
        <f t="shared" si="135"/>
        <v>10</v>
      </c>
      <c r="E657" s="14">
        <v>44852</v>
      </c>
      <c r="F657" s="4">
        <f t="shared" si="136"/>
        <v>18</v>
      </c>
      <c r="G657">
        <v>13</v>
      </c>
      <c r="H657">
        <v>12</v>
      </c>
      <c r="I657" s="13">
        <f t="shared" si="137"/>
        <v>0.92</v>
      </c>
      <c r="J657">
        <f t="shared" si="130"/>
        <v>1</v>
      </c>
      <c r="K657" s="2">
        <v>2.7777777777777778E-4</v>
      </c>
      <c r="L657" s="11">
        <f t="shared" si="131"/>
        <v>4.8000000000000007</v>
      </c>
      <c r="M657" s="3">
        <f t="shared" si="138"/>
        <v>0.4</v>
      </c>
      <c r="N657" s="4">
        <f t="shared" si="139"/>
        <v>24</v>
      </c>
      <c r="O657" s="2">
        <v>1.9097222222222222E-3</v>
      </c>
      <c r="P657" s="9">
        <f t="shared" si="132"/>
        <v>33</v>
      </c>
      <c r="Q657" s="3">
        <f t="shared" si="140"/>
        <v>2.75</v>
      </c>
      <c r="R657" s="4">
        <f t="shared" si="141"/>
        <v>165</v>
      </c>
      <c r="S657" s="3">
        <f t="shared" si="142"/>
        <v>8</v>
      </c>
      <c r="T657" s="1">
        <v>0.66669999999999996</v>
      </c>
      <c r="U657" s="6">
        <f t="shared" si="133"/>
        <v>8.0003999999999991</v>
      </c>
    </row>
    <row r="658" spans="1:21" x14ac:dyDescent="0.35">
      <c r="A658">
        <v>657</v>
      </c>
      <c r="B658" s="5">
        <v>44853</v>
      </c>
      <c r="C658" s="4">
        <f t="shared" si="134"/>
        <v>2022</v>
      </c>
      <c r="D658" s="4">
        <f t="shared" si="135"/>
        <v>10</v>
      </c>
      <c r="E658" s="14">
        <v>44853</v>
      </c>
      <c r="F658" s="4">
        <f t="shared" si="136"/>
        <v>19</v>
      </c>
      <c r="G658">
        <v>20</v>
      </c>
      <c r="H658">
        <v>18</v>
      </c>
      <c r="I658" s="13">
        <f t="shared" si="137"/>
        <v>0.9</v>
      </c>
      <c r="J658">
        <f t="shared" si="130"/>
        <v>2</v>
      </c>
      <c r="K658" s="2">
        <v>2.6620370370370372E-4</v>
      </c>
      <c r="L658" s="11">
        <f t="shared" si="131"/>
        <v>6.9</v>
      </c>
      <c r="M658" s="3">
        <f t="shared" si="138"/>
        <v>0.38333333333333336</v>
      </c>
      <c r="N658" s="4">
        <f t="shared" si="139"/>
        <v>23</v>
      </c>
      <c r="O658" s="2">
        <v>1.8865740740740742E-3</v>
      </c>
      <c r="P658" s="9">
        <f t="shared" si="132"/>
        <v>48.900000000000006</v>
      </c>
      <c r="Q658" s="3">
        <f t="shared" si="140"/>
        <v>2.7166666666666668</v>
      </c>
      <c r="R658" s="4">
        <f t="shared" si="141"/>
        <v>163</v>
      </c>
      <c r="S658" s="3">
        <f t="shared" si="142"/>
        <v>13</v>
      </c>
      <c r="T658" s="1">
        <v>0.73680000000000001</v>
      </c>
      <c r="U658" s="6">
        <f t="shared" si="133"/>
        <v>13.2624</v>
      </c>
    </row>
    <row r="659" spans="1:21" x14ac:dyDescent="0.35">
      <c r="A659">
        <v>658</v>
      </c>
      <c r="B659" s="5">
        <v>44854</v>
      </c>
      <c r="C659" s="4">
        <f t="shared" si="134"/>
        <v>2022</v>
      </c>
      <c r="D659" s="4">
        <f t="shared" si="135"/>
        <v>10</v>
      </c>
      <c r="E659" s="14">
        <v>44854</v>
      </c>
      <c r="F659" s="4">
        <f t="shared" si="136"/>
        <v>20</v>
      </c>
      <c r="G659">
        <v>152</v>
      </c>
      <c r="H659">
        <v>141</v>
      </c>
      <c r="I659" s="13">
        <f t="shared" si="137"/>
        <v>0.92</v>
      </c>
      <c r="J659">
        <f t="shared" si="130"/>
        <v>11</v>
      </c>
      <c r="K659" s="2">
        <v>2.5462962962962961E-4</v>
      </c>
      <c r="L659" s="11">
        <f t="shared" si="131"/>
        <v>51.699999999999996</v>
      </c>
      <c r="M659" s="3">
        <f t="shared" si="138"/>
        <v>0.36666666666666664</v>
      </c>
      <c r="N659" s="4">
        <f t="shared" si="139"/>
        <v>22</v>
      </c>
      <c r="O659" s="2">
        <v>1.8634259259259259E-3</v>
      </c>
      <c r="P659" s="9">
        <f t="shared" si="132"/>
        <v>378.35</v>
      </c>
      <c r="Q659" s="3">
        <f t="shared" si="140"/>
        <v>2.6833333333333336</v>
      </c>
      <c r="R659" s="4">
        <f t="shared" si="141"/>
        <v>161</v>
      </c>
      <c r="S659" s="3">
        <f t="shared" si="142"/>
        <v>98</v>
      </c>
      <c r="T659" s="1">
        <v>0.7</v>
      </c>
      <c r="U659" s="6">
        <f t="shared" si="133"/>
        <v>98.699999999999989</v>
      </c>
    </row>
    <row r="660" spans="1:21" x14ac:dyDescent="0.35">
      <c r="A660">
        <v>659</v>
      </c>
      <c r="B660" s="5">
        <v>44855</v>
      </c>
      <c r="C660" s="4">
        <f t="shared" si="134"/>
        <v>2022</v>
      </c>
      <c r="D660" s="4">
        <f t="shared" si="135"/>
        <v>10</v>
      </c>
      <c r="E660" s="14">
        <v>44855</v>
      </c>
      <c r="F660" s="4">
        <f t="shared" si="136"/>
        <v>21</v>
      </c>
      <c r="G660">
        <v>132</v>
      </c>
      <c r="H660">
        <v>131</v>
      </c>
      <c r="I660" s="13">
        <f t="shared" si="137"/>
        <v>0.99</v>
      </c>
      <c r="J660">
        <f t="shared" si="130"/>
        <v>1</v>
      </c>
      <c r="K660" s="2">
        <v>1.3888888888888889E-4</v>
      </c>
      <c r="L660" s="11">
        <f t="shared" si="131"/>
        <v>26.200000000000003</v>
      </c>
      <c r="M660" s="3">
        <f t="shared" si="138"/>
        <v>0.2</v>
      </c>
      <c r="N660" s="4">
        <f t="shared" si="139"/>
        <v>12</v>
      </c>
      <c r="O660" s="2">
        <v>1.8402777777777777E-3</v>
      </c>
      <c r="P660" s="9">
        <f t="shared" si="132"/>
        <v>347.15</v>
      </c>
      <c r="Q660" s="3">
        <f t="shared" si="140"/>
        <v>2.65</v>
      </c>
      <c r="R660" s="4">
        <f t="shared" si="141"/>
        <v>159</v>
      </c>
      <c r="S660" s="3">
        <f t="shared" si="142"/>
        <v>113</v>
      </c>
      <c r="T660" s="1">
        <v>0.87019999999999997</v>
      </c>
      <c r="U660" s="6">
        <f t="shared" si="133"/>
        <v>113.9962</v>
      </c>
    </row>
    <row r="661" spans="1:21" x14ac:dyDescent="0.35">
      <c r="A661">
        <v>660</v>
      </c>
      <c r="B661" s="5">
        <v>44856</v>
      </c>
      <c r="C661" s="4">
        <f t="shared" si="134"/>
        <v>2022</v>
      </c>
      <c r="D661" s="4">
        <f t="shared" si="135"/>
        <v>10</v>
      </c>
      <c r="E661" s="14">
        <v>44856</v>
      </c>
      <c r="F661" s="4">
        <f t="shared" si="136"/>
        <v>22</v>
      </c>
      <c r="G661">
        <v>180</v>
      </c>
      <c r="H661">
        <v>171</v>
      </c>
      <c r="I661" s="13">
        <f t="shared" si="137"/>
        <v>0.95</v>
      </c>
      <c r="J661">
        <f t="shared" si="130"/>
        <v>9</v>
      </c>
      <c r="K661" s="2">
        <v>2.4305555555555555E-4</v>
      </c>
      <c r="L661" s="11">
        <f t="shared" si="131"/>
        <v>59.849999999999994</v>
      </c>
      <c r="M661" s="3">
        <f t="shared" si="138"/>
        <v>0.35</v>
      </c>
      <c r="N661" s="4">
        <f t="shared" si="139"/>
        <v>21</v>
      </c>
      <c r="O661" s="2">
        <v>1.9791666666666668E-3</v>
      </c>
      <c r="P661" s="9">
        <f t="shared" si="132"/>
        <v>487.35</v>
      </c>
      <c r="Q661" s="3">
        <f t="shared" si="140"/>
        <v>2.85</v>
      </c>
      <c r="R661" s="4">
        <f t="shared" si="141"/>
        <v>171</v>
      </c>
      <c r="S661" s="3">
        <f t="shared" si="142"/>
        <v>122</v>
      </c>
      <c r="T661" s="1">
        <v>0.71909999999999996</v>
      </c>
      <c r="U661" s="6">
        <f t="shared" si="133"/>
        <v>122.9661</v>
      </c>
    </row>
    <row r="662" spans="1:21" x14ac:dyDescent="0.35">
      <c r="A662">
        <v>661</v>
      </c>
      <c r="B662" s="5">
        <v>44857</v>
      </c>
      <c r="C662" s="4">
        <f t="shared" si="134"/>
        <v>2022</v>
      </c>
      <c r="D662" s="4">
        <f t="shared" si="135"/>
        <v>10</v>
      </c>
      <c r="E662" s="14">
        <v>44857</v>
      </c>
      <c r="F662" s="4">
        <f t="shared" si="136"/>
        <v>23</v>
      </c>
      <c r="G662">
        <v>193</v>
      </c>
      <c r="H662">
        <v>189</v>
      </c>
      <c r="I662" s="13">
        <f t="shared" si="137"/>
        <v>0.97</v>
      </c>
      <c r="J662">
        <f t="shared" si="130"/>
        <v>4</v>
      </c>
      <c r="K662" s="2">
        <v>1.5046296296296297E-4</v>
      </c>
      <c r="L662" s="11">
        <f t="shared" si="131"/>
        <v>40.950000000000003</v>
      </c>
      <c r="M662" s="3">
        <f t="shared" si="138"/>
        <v>0.21666666666666667</v>
      </c>
      <c r="N662" s="4">
        <f t="shared" si="139"/>
        <v>13</v>
      </c>
      <c r="O662" s="2">
        <v>1.7939814814814815E-3</v>
      </c>
      <c r="P662" s="9">
        <f t="shared" si="132"/>
        <v>488.25</v>
      </c>
      <c r="Q662" s="3">
        <f t="shared" si="140"/>
        <v>2.5833333333333335</v>
      </c>
      <c r="R662" s="4">
        <f t="shared" si="141"/>
        <v>155</v>
      </c>
      <c r="S662" s="3">
        <f t="shared" si="142"/>
        <v>156</v>
      </c>
      <c r="T662" s="1">
        <v>0.82899999999999996</v>
      </c>
      <c r="U662" s="6">
        <f t="shared" si="133"/>
        <v>156.68099999999998</v>
      </c>
    </row>
    <row r="663" spans="1:21" x14ac:dyDescent="0.35">
      <c r="A663">
        <v>662</v>
      </c>
      <c r="B663" s="5">
        <v>44858</v>
      </c>
      <c r="C663" s="4">
        <f t="shared" si="134"/>
        <v>2022</v>
      </c>
      <c r="D663" s="4">
        <f t="shared" si="135"/>
        <v>10</v>
      </c>
      <c r="E663" s="14">
        <v>44858</v>
      </c>
      <c r="F663" s="4">
        <f t="shared" si="136"/>
        <v>24</v>
      </c>
      <c r="G663">
        <v>245</v>
      </c>
      <c r="H663">
        <v>236</v>
      </c>
      <c r="I663" s="13">
        <f t="shared" si="137"/>
        <v>0.96</v>
      </c>
      <c r="J663">
        <f t="shared" si="130"/>
        <v>9</v>
      </c>
      <c r="K663" s="2">
        <v>1.5046296296296297E-4</v>
      </c>
      <c r="L663" s="11">
        <f t="shared" si="131"/>
        <v>51.133333333333333</v>
      </c>
      <c r="M663" s="3">
        <f t="shared" si="138"/>
        <v>0.21666666666666667</v>
      </c>
      <c r="N663" s="4">
        <f t="shared" si="139"/>
        <v>13</v>
      </c>
      <c r="O663" s="2">
        <v>1.8981481481481482E-3</v>
      </c>
      <c r="P663" s="9">
        <f t="shared" si="132"/>
        <v>645.06666666666672</v>
      </c>
      <c r="Q663" s="3">
        <f t="shared" si="140"/>
        <v>2.7333333333333334</v>
      </c>
      <c r="R663" s="4">
        <f t="shared" si="141"/>
        <v>164</v>
      </c>
      <c r="S663" s="3">
        <f t="shared" si="142"/>
        <v>195</v>
      </c>
      <c r="T663" s="1">
        <v>0.82789999999999997</v>
      </c>
      <c r="U663" s="6">
        <f t="shared" si="133"/>
        <v>195.3844</v>
      </c>
    </row>
    <row r="664" spans="1:21" x14ac:dyDescent="0.35">
      <c r="A664">
        <v>663</v>
      </c>
      <c r="B664" s="5">
        <v>44859</v>
      </c>
      <c r="C664" s="4">
        <f t="shared" si="134"/>
        <v>2022</v>
      </c>
      <c r="D664" s="4">
        <f t="shared" si="135"/>
        <v>10</v>
      </c>
      <c r="E664" s="14">
        <v>44859</v>
      </c>
      <c r="F664" s="4">
        <f t="shared" si="136"/>
        <v>25</v>
      </c>
      <c r="G664">
        <v>35</v>
      </c>
      <c r="H664">
        <v>34</v>
      </c>
      <c r="I664" s="13">
        <f t="shared" si="137"/>
        <v>0.97</v>
      </c>
      <c r="J664">
        <f t="shared" si="130"/>
        <v>1</v>
      </c>
      <c r="K664" s="2">
        <v>1.273148148148148E-4</v>
      </c>
      <c r="L664" s="11">
        <f t="shared" si="131"/>
        <v>6.2333333333333325</v>
      </c>
      <c r="M664" s="3">
        <f t="shared" si="138"/>
        <v>0.18333333333333332</v>
      </c>
      <c r="N664" s="4">
        <f t="shared" si="139"/>
        <v>11</v>
      </c>
      <c r="O664" s="2">
        <v>1.5162037037037036E-3</v>
      </c>
      <c r="P664" s="9">
        <f t="shared" si="132"/>
        <v>74.23333333333332</v>
      </c>
      <c r="Q664" s="3">
        <f t="shared" si="140"/>
        <v>2.1833333333333331</v>
      </c>
      <c r="R664" s="4">
        <f t="shared" si="141"/>
        <v>131</v>
      </c>
      <c r="S664" s="3">
        <f t="shared" si="142"/>
        <v>30</v>
      </c>
      <c r="T664" s="1">
        <v>0.88239999999999996</v>
      </c>
      <c r="U664" s="6">
        <f t="shared" si="133"/>
        <v>30.0016</v>
      </c>
    </row>
    <row r="665" spans="1:21" x14ac:dyDescent="0.35">
      <c r="A665">
        <v>664</v>
      </c>
      <c r="B665" s="5">
        <v>44860</v>
      </c>
      <c r="C665" s="4">
        <f t="shared" si="134"/>
        <v>2022</v>
      </c>
      <c r="D665" s="4">
        <f t="shared" si="135"/>
        <v>10</v>
      </c>
      <c r="E665" s="14">
        <v>44860</v>
      </c>
      <c r="F665" s="4">
        <f t="shared" si="136"/>
        <v>26</v>
      </c>
      <c r="G665">
        <v>198</v>
      </c>
      <c r="H665">
        <v>190</v>
      </c>
      <c r="I665" s="13">
        <f t="shared" si="137"/>
        <v>0.95</v>
      </c>
      <c r="J665">
        <f t="shared" si="130"/>
        <v>8</v>
      </c>
      <c r="K665" s="2">
        <v>1.3888888888888889E-4</v>
      </c>
      <c r="L665" s="11">
        <f t="shared" si="131"/>
        <v>38</v>
      </c>
      <c r="M665" s="3">
        <f t="shared" si="138"/>
        <v>0.2</v>
      </c>
      <c r="N665" s="4">
        <f t="shared" si="139"/>
        <v>12</v>
      </c>
      <c r="O665" s="2">
        <v>1.8287037037037037E-3</v>
      </c>
      <c r="P665" s="9">
        <f t="shared" si="132"/>
        <v>500.33333333333331</v>
      </c>
      <c r="Q665" s="3">
        <f t="shared" si="140"/>
        <v>2.6333333333333333</v>
      </c>
      <c r="R665" s="4">
        <f t="shared" si="141"/>
        <v>158</v>
      </c>
      <c r="S665" s="3">
        <f t="shared" si="142"/>
        <v>160</v>
      </c>
      <c r="T665" s="1">
        <v>0.84689999999999999</v>
      </c>
      <c r="U665" s="6">
        <f t="shared" si="133"/>
        <v>160.911</v>
      </c>
    </row>
    <row r="666" spans="1:21" x14ac:dyDescent="0.35">
      <c r="A666">
        <v>665</v>
      </c>
      <c r="B666" s="5">
        <v>44861</v>
      </c>
      <c r="C666" s="4">
        <f t="shared" si="134"/>
        <v>2022</v>
      </c>
      <c r="D666" s="4">
        <f t="shared" si="135"/>
        <v>10</v>
      </c>
      <c r="E666" s="14">
        <v>44861</v>
      </c>
      <c r="F666" s="4">
        <f t="shared" si="136"/>
        <v>27</v>
      </c>
      <c r="G666">
        <v>47</v>
      </c>
      <c r="H666">
        <v>47</v>
      </c>
      <c r="I666" s="13">
        <f t="shared" si="137"/>
        <v>1</v>
      </c>
      <c r="J666">
        <f t="shared" si="130"/>
        <v>0</v>
      </c>
      <c r="K666" s="2">
        <v>6.9444444444444444E-5</v>
      </c>
      <c r="L666" s="11">
        <f t="shared" si="131"/>
        <v>4.7</v>
      </c>
      <c r="M666" s="3">
        <f t="shared" si="138"/>
        <v>0.1</v>
      </c>
      <c r="N666" s="4">
        <f t="shared" si="139"/>
        <v>6</v>
      </c>
      <c r="O666" s="2">
        <v>1.4930555555555556E-3</v>
      </c>
      <c r="P666" s="9">
        <f t="shared" si="132"/>
        <v>101.05</v>
      </c>
      <c r="Q666" s="3">
        <f t="shared" si="140"/>
        <v>2.15</v>
      </c>
      <c r="R666" s="4">
        <f t="shared" si="141"/>
        <v>129</v>
      </c>
      <c r="S666" s="3">
        <f t="shared" si="142"/>
        <v>44</v>
      </c>
      <c r="T666" s="1">
        <v>0.93620000000000003</v>
      </c>
      <c r="U666" s="6">
        <f t="shared" si="133"/>
        <v>44.001400000000004</v>
      </c>
    </row>
    <row r="667" spans="1:21" x14ac:dyDescent="0.35">
      <c r="A667">
        <v>666</v>
      </c>
      <c r="B667" s="5">
        <v>44862</v>
      </c>
      <c r="C667" s="4">
        <f t="shared" si="134"/>
        <v>2022</v>
      </c>
      <c r="D667" s="4">
        <f t="shared" si="135"/>
        <v>10</v>
      </c>
      <c r="E667" s="14">
        <v>44862</v>
      </c>
      <c r="F667" s="4">
        <f t="shared" si="136"/>
        <v>28</v>
      </c>
      <c r="G667">
        <v>187</v>
      </c>
      <c r="H667">
        <v>186</v>
      </c>
      <c r="I667" s="13">
        <f t="shared" si="137"/>
        <v>0.99</v>
      </c>
      <c r="J667">
        <f t="shared" si="130"/>
        <v>1</v>
      </c>
      <c r="K667" s="2">
        <v>8.1018518518518516E-5</v>
      </c>
      <c r="L667" s="11">
        <f t="shared" si="131"/>
        <v>21.7</v>
      </c>
      <c r="M667" s="3">
        <f t="shared" si="138"/>
        <v>0.11666666666666667</v>
      </c>
      <c r="N667" s="4">
        <f t="shared" si="139"/>
        <v>7</v>
      </c>
      <c r="O667" s="2">
        <v>1.736111111111111E-3</v>
      </c>
      <c r="P667" s="9">
        <f t="shared" si="132"/>
        <v>465</v>
      </c>
      <c r="Q667" s="3">
        <f t="shared" si="140"/>
        <v>2.5</v>
      </c>
      <c r="R667" s="4">
        <f t="shared" si="141"/>
        <v>150</v>
      </c>
      <c r="S667" s="3">
        <f t="shared" si="142"/>
        <v>174</v>
      </c>
      <c r="T667" s="1">
        <v>0.93579999999999997</v>
      </c>
      <c r="U667" s="6">
        <f t="shared" si="133"/>
        <v>174.05879999999999</v>
      </c>
    </row>
    <row r="668" spans="1:21" x14ac:dyDescent="0.35">
      <c r="A668">
        <v>667</v>
      </c>
      <c r="B668" s="5">
        <v>44863</v>
      </c>
      <c r="C668" s="4">
        <f t="shared" si="134"/>
        <v>2022</v>
      </c>
      <c r="D668" s="4">
        <f t="shared" si="135"/>
        <v>10</v>
      </c>
      <c r="E668" s="14">
        <v>44863</v>
      </c>
      <c r="F668" s="4">
        <f t="shared" si="136"/>
        <v>29</v>
      </c>
      <c r="G668">
        <v>57</v>
      </c>
      <c r="H668">
        <v>54</v>
      </c>
      <c r="I668" s="13">
        <f t="shared" si="137"/>
        <v>0.94</v>
      </c>
      <c r="J668">
        <f t="shared" si="130"/>
        <v>3</v>
      </c>
      <c r="K668" s="2">
        <v>8.1018518518518516E-5</v>
      </c>
      <c r="L668" s="11">
        <f t="shared" si="131"/>
        <v>6.3</v>
      </c>
      <c r="M668" s="3">
        <f t="shared" si="138"/>
        <v>0.11666666666666667</v>
      </c>
      <c r="N668" s="4">
        <f t="shared" si="139"/>
        <v>7</v>
      </c>
      <c r="O668" s="2">
        <v>1.8171296296296297E-3</v>
      </c>
      <c r="P668" s="9">
        <f t="shared" si="132"/>
        <v>141.30000000000001</v>
      </c>
      <c r="Q668" s="3">
        <f t="shared" si="140"/>
        <v>2.6166666666666667</v>
      </c>
      <c r="R668" s="4">
        <f t="shared" si="141"/>
        <v>157</v>
      </c>
      <c r="S668" s="3">
        <f t="shared" si="142"/>
        <v>49</v>
      </c>
      <c r="T668" s="1">
        <v>0.91069999999999995</v>
      </c>
      <c r="U668" s="6">
        <f t="shared" si="133"/>
        <v>49.177799999999998</v>
      </c>
    </row>
    <row r="669" spans="1:21" x14ac:dyDescent="0.35">
      <c r="A669">
        <v>668</v>
      </c>
      <c r="B669" s="5">
        <v>44864</v>
      </c>
      <c r="C669" s="4">
        <f t="shared" si="134"/>
        <v>2022</v>
      </c>
      <c r="D669" s="4">
        <f t="shared" si="135"/>
        <v>10</v>
      </c>
      <c r="E669" s="14">
        <v>44864</v>
      </c>
      <c r="F669" s="4">
        <f t="shared" si="136"/>
        <v>30</v>
      </c>
      <c r="G669">
        <v>169</v>
      </c>
      <c r="H669">
        <v>162</v>
      </c>
      <c r="I669" s="13">
        <f t="shared" si="137"/>
        <v>0.95</v>
      </c>
      <c r="J669">
        <f t="shared" si="130"/>
        <v>7</v>
      </c>
      <c r="K669" s="2">
        <v>1.0416666666666667E-4</v>
      </c>
      <c r="L669" s="11">
        <f t="shared" si="131"/>
        <v>24.3</v>
      </c>
      <c r="M669" s="3">
        <f t="shared" si="138"/>
        <v>0.15</v>
      </c>
      <c r="N669" s="4">
        <f t="shared" si="139"/>
        <v>9</v>
      </c>
      <c r="O669" s="2">
        <v>1.8402777777777777E-3</v>
      </c>
      <c r="P669" s="9">
        <f t="shared" si="132"/>
        <v>429.3</v>
      </c>
      <c r="Q669" s="3">
        <f t="shared" si="140"/>
        <v>2.65</v>
      </c>
      <c r="R669" s="4">
        <f t="shared" si="141"/>
        <v>159</v>
      </c>
      <c r="S669" s="3">
        <f t="shared" si="142"/>
        <v>142</v>
      </c>
      <c r="T669" s="1">
        <v>0.88170000000000004</v>
      </c>
      <c r="U669" s="6">
        <f t="shared" si="133"/>
        <v>142.83539999999999</v>
      </c>
    </row>
    <row r="670" spans="1:21" x14ac:dyDescent="0.35">
      <c r="A670">
        <v>669</v>
      </c>
      <c r="B670" s="5">
        <v>44865</v>
      </c>
      <c r="C670" s="4">
        <f t="shared" si="134"/>
        <v>2022</v>
      </c>
      <c r="D670" s="4">
        <f t="shared" si="135"/>
        <v>10</v>
      </c>
      <c r="E670" s="14">
        <v>44865</v>
      </c>
      <c r="F670" s="4">
        <f t="shared" si="136"/>
        <v>31</v>
      </c>
      <c r="G670">
        <v>337</v>
      </c>
      <c r="H670">
        <v>316</v>
      </c>
      <c r="I670" s="13">
        <f t="shared" si="137"/>
        <v>0.93</v>
      </c>
      <c r="J670">
        <f t="shared" si="130"/>
        <v>21</v>
      </c>
      <c r="K670" s="2">
        <v>2.6620370370370372E-4</v>
      </c>
      <c r="L670" s="11">
        <f t="shared" si="131"/>
        <v>121.13333333333334</v>
      </c>
      <c r="M670" s="3">
        <f t="shared" si="138"/>
        <v>0.38333333333333336</v>
      </c>
      <c r="N670" s="4">
        <f t="shared" si="139"/>
        <v>23</v>
      </c>
      <c r="O670" s="2">
        <v>1.5393518518518519E-3</v>
      </c>
      <c r="P670" s="9">
        <f t="shared" si="132"/>
        <v>700.4666666666667</v>
      </c>
      <c r="Q670" s="3">
        <f t="shared" si="140"/>
        <v>2.2166666666666668</v>
      </c>
      <c r="R670" s="4">
        <f t="shared" si="141"/>
        <v>133</v>
      </c>
      <c r="S670" s="3">
        <f t="shared" si="142"/>
        <v>230</v>
      </c>
      <c r="T670" s="1">
        <v>0.72919999999999996</v>
      </c>
      <c r="U670" s="6">
        <f t="shared" si="133"/>
        <v>230.4272</v>
      </c>
    </row>
    <row r="671" spans="1:21" x14ac:dyDescent="0.35">
      <c r="A671">
        <v>670</v>
      </c>
      <c r="B671" s="5">
        <v>44866</v>
      </c>
      <c r="C671" s="4">
        <f t="shared" si="134"/>
        <v>2022</v>
      </c>
      <c r="D671" s="4">
        <f t="shared" si="135"/>
        <v>11</v>
      </c>
      <c r="E671" s="14">
        <v>44866</v>
      </c>
      <c r="F671" s="4">
        <f t="shared" si="136"/>
        <v>1</v>
      </c>
      <c r="G671">
        <v>44</v>
      </c>
      <c r="H671">
        <v>43</v>
      </c>
      <c r="I671" s="13">
        <f t="shared" si="137"/>
        <v>0.97</v>
      </c>
      <c r="J671">
        <f t="shared" si="130"/>
        <v>1</v>
      </c>
      <c r="K671" s="2">
        <v>1.0416666666666667E-4</v>
      </c>
      <c r="L671" s="11">
        <f t="shared" si="131"/>
        <v>6.45</v>
      </c>
      <c r="M671" s="3">
        <f t="shared" si="138"/>
        <v>0.15</v>
      </c>
      <c r="N671" s="4">
        <f t="shared" si="139"/>
        <v>9</v>
      </c>
      <c r="O671" s="2">
        <v>1.7939814814814815E-3</v>
      </c>
      <c r="P671" s="9">
        <f t="shared" si="132"/>
        <v>111.08333333333334</v>
      </c>
      <c r="Q671" s="3">
        <f t="shared" si="140"/>
        <v>2.5833333333333335</v>
      </c>
      <c r="R671" s="4">
        <f t="shared" si="141"/>
        <v>155</v>
      </c>
      <c r="S671" s="3">
        <f t="shared" si="142"/>
        <v>36</v>
      </c>
      <c r="T671" s="1">
        <v>0.84089999999999998</v>
      </c>
      <c r="U671" s="6">
        <f t="shared" si="133"/>
        <v>36.158699999999996</v>
      </c>
    </row>
    <row r="672" spans="1:21" x14ac:dyDescent="0.35">
      <c r="A672">
        <v>671</v>
      </c>
      <c r="B672" s="5">
        <v>44867</v>
      </c>
      <c r="C672" s="4">
        <f t="shared" si="134"/>
        <v>2022</v>
      </c>
      <c r="D672" s="4">
        <f t="shared" si="135"/>
        <v>11</v>
      </c>
      <c r="E672" s="14">
        <v>44867</v>
      </c>
      <c r="F672" s="4">
        <f t="shared" si="136"/>
        <v>2</v>
      </c>
      <c r="G672">
        <v>210</v>
      </c>
      <c r="H672">
        <v>206</v>
      </c>
      <c r="I672" s="13">
        <f t="shared" si="137"/>
        <v>0.98</v>
      </c>
      <c r="J672">
        <f t="shared" si="130"/>
        <v>4</v>
      </c>
      <c r="K672" s="2">
        <v>1.3888888888888889E-4</v>
      </c>
      <c r="L672" s="11">
        <f t="shared" si="131"/>
        <v>41.2</v>
      </c>
      <c r="M672" s="3">
        <f t="shared" si="138"/>
        <v>0.2</v>
      </c>
      <c r="N672" s="4">
        <f t="shared" si="139"/>
        <v>12</v>
      </c>
      <c r="O672" s="2">
        <v>1.8402777777777777E-3</v>
      </c>
      <c r="P672" s="9">
        <f t="shared" si="132"/>
        <v>545.9</v>
      </c>
      <c r="Q672" s="3">
        <f t="shared" si="140"/>
        <v>2.65</v>
      </c>
      <c r="R672" s="4">
        <f t="shared" si="141"/>
        <v>159</v>
      </c>
      <c r="S672" s="3">
        <f t="shared" si="142"/>
        <v>179</v>
      </c>
      <c r="T672" s="1">
        <v>0.87080000000000002</v>
      </c>
      <c r="U672" s="6">
        <f t="shared" si="133"/>
        <v>179.38480000000001</v>
      </c>
    </row>
    <row r="673" spans="1:21" x14ac:dyDescent="0.35">
      <c r="A673">
        <v>672</v>
      </c>
      <c r="B673" s="5">
        <v>44868</v>
      </c>
      <c r="C673" s="4">
        <f t="shared" si="134"/>
        <v>2022</v>
      </c>
      <c r="D673" s="4">
        <f t="shared" si="135"/>
        <v>11</v>
      </c>
      <c r="E673" s="14">
        <v>44868</v>
      </c>
      <c r="F673" s="4">
        <f t="shared" si="136"/>
        <v>3</v>
      </c>
      <c r="G673">
        <v>190</v>
      </c>
      <c r="H673">
        <v>186</v>
      </c>
      <c r="I673" s="13">
        <f t="shared" si="137"/>
        <v>0.97</v>
      </c>
      <c r="J673">
        <f t="shared" si="130"/>
        <v>4</v>
      </c>
      <c r="K673" s="2">
        <v>1.9675925925925926E-4</v>
      </c>
      <c r="L673" s="11">
        <f t="shared" si="131"/>
        <v>52.699999999999996</v>
      </c>
      <c r="M673" s="3">
        <f t="shared" si="138"/>
        <v>0.28333333333333333</v>
      </c>
      <c r="N673" s="4">
        <f t="shared" si="139"/>
        <v>17</v>
      </c>
      <c r="O673" s="2">
        <v>1.6435185185185185E-3</v>
      </c>
      <c r="P673" s="9">
        <f t="shared" si="132"/>
        <v>440.2</v>
      </c>
      <c r="Q673" s="3">
        <f t="shared" si="140"/>
        <v>2.3666666666666667</v>
      </c>
      <c r="R673" s="4">
        <f t="shared" si="141"/>
        <v>142</v>
      </c>
      <c r="S673" s="3">
        <f t="shared" si="142"/>
        <v>156</v>
      </c>
      <c r="T673" s="1">
        <v>0.84130000000000005</v>
      </c>
      <c r="U673" s="6">
        <f t="shared" si="133"/>
        <v>156.48180000000002</v>
      </c>
    </row>
    <row r="674" spans="1:21" x14ac:dyDescent="0.35">
      <c r="A674">
        <v>673</v>
      </c>
      <c r="B674" s="5">
        <v>44869</v>
      </c>
      <c r="C674" s="4">
        <f t="shared" si="134"/>
        <v>2022</v>
      </c>
      <c r="D674" s="4">
        <f t="shared" si="135"/>
        <v>11</v>
      </c>
      <c r="E674" s="14">
        <v>44869</v>
      </c>
      <c r="F674" s="4">
        <f t="shared" si="136"/>
        <v>4</v>
      </c>
      <c r="G674">
        <v>190</v>
      </c>
      <c r="H674">
        <v>182</v>
      </c>
      <c r="I674" s="13">
        <f t="shared" si="137"/>
        <v>0.95</v>
      </c>
      <c r="J674">
        <f t="shared" si="130"/>
        <v>8</v>
      </c>
      <c r="K674" s="2">
        <v>1.1574074074074075E-4</v>
      </c>
      <c r="L674" s="11">
        <f t="shared" si="131"/>
        <v>30.333333333333332</v>
      </c>
      <c r="M674" s="3">
        <f t="shared" si="138"/>
        <v>0.16666666666666666</v>
      </c>
      <c r="N674" s="4">
        <f t="shared" si="139"/>
        <v>10</v>
      </c>
      <c r="O674" s="2">
        <v>1.8518518518518519E-3</v>
      </c>
      <c r="P674" s="9">
        <f t="shared" si="132"/>
        <v>485.33333333333331</v>
      </c>
      <c r="Q674" s="3">
        <f t="shared" si="140"/>
        <v>2.6666666666666665</v>
      </c>
      <c r="R674" s="4">
        <f t="shared" si="141"/>
        <v>160</v>
      </c>
      <c r="S674" s="3">
        <f t="shared" si="142"/>
        <v>158</v>
      </c>
      <c r="T674" s="1">
        <v>0.87029999999999996</v>
      </c>
      <c r="U674" s="6">
        <f t="shared" si="133"/>
        <v>158.3946</v>
      </c>
    </row>
    <row r="675" spans="1:21" x14ac:dyDescent="0.35">
      <c r="A675">
        <v>674</v>
      </c>
      <c r="B675" s="5">
        <v>44870</v>
      </c>
      <c r="C675" s="4">
        <f t="shared" si="134"/>
        <v>2022</v>
      </c>
      <c r="D675" s="4">
        <f t="shared" si="135"/>
        <v>11</v>
      </c>
      <c r="E675" s="14">
        <v>44870</v>
      </c>
      <c r="F675" s="4">
        <f t="shared" si="136"/>
        <v>5</v>
      </c>
      <c r="G675">
        <v>169</v>
      </c>
      <c r="H675">
        <v>168</v>
      </c>
      <c r="I675" s="13">
        <f t="shared" si="137"/>
        <v>0.99</v>
      </c>
      <c r="J675">
        <f t="shared" si="130"/>
        <v>1</v>
      </c>
      <c r="K675" s="2">
        <v>1.273148148148148E-4</v>
      </c>
      <c r="L675" s="11">
        <f t="shared" si="131"/>
        <v>30.799999999999997</v>
      </c>
      <c r="M675" s="3">
        <f t="shared" si="138"/>
        <v>0.18333333333333332</v>
      </c>
      <c r="N675" s="4">
        <f t="shared" si="139"/>
        <v>11</v>
      </c>
      <c r="O675" s="2">
        <v>1.6782407407407408E-3</v>
      </c>
      <c r="P675" s="9">
        <f t="shared" si="132"/>
        <v>406</v>
      </c>
      <c r="Q675" s="3">
        <f t="shared" si="140"/>
        <v>2.4166666666666665</v>
      </c>
      <c r="R675" s="4">
        <f t="shared" si="141"/>
        <v>145</v>
      </c>
      <c r="S675" s="3">
        <f t="shared" si="142"/>
        <v>148</v>
      </c>
      <c r="T675" s="1">
        <v>0.88170000000000004</v>
      </c>
      <c r="U675" s="6">
        <f t="shared" si="133"/>
        <v>148.12560000000002</v>
      </c>
    </row>
    <row r="676" spans="1:21" x14ac:dyDescent="0.35">
      <c r="A676">
        <v>675</v>
      </c>
      <c r="B676" s="5">
        <v>44871</v>
      </c>
      <c r="C676" s="4">
        <f t="shared" si="134"/>
        <v>2022</v>
      </c>
      <c r="D676" s="4">
        <f t="shared" si="135"/>
        <v>11</v>
      </c>
      <c r="E676" s="14">
        <v>44871</v>
      </c>
      <c r="F676" s="4">
        <f t="shared" si="136"/>
        <v>6</v>
      </c>
      <c r="G676">
        <v>52</v>
      </c>
      <c r="H676">
        <v>50</v>
      </c>
      <c r="I676" s="13">
        <f t="shared" si="137"/>
        <v>0.96</v>
      </c>
      <c r="J676">
        <f t="shared" si="130"/>
        <v>2</v>
      </c>
      <c r="K676" s="2">
        <v>6.9444444444444444E-5</v>
      </c>
      <c r="L676" s="11">
        <f t="shared" si="131"/>
        <v>5</v>
      </c>
      <c r="M676" s="3">
        <f t="shared" si="138"/>
        <v>0.1</v>
      </c>
      <c r="N676" s="4">
        <f t="shared" si="139"/>
        <v>6</v>
      </c>
      <c r="O676" s="2">
        <v>1.7824074074074075E-3</v>
      </c>
      <c r="P676" s="9">
        <f t="shared" si="132"/>
        <v>128.33333333333331</v>
      </c>
      <c r="Q676" s="3">
        <f t="shared" si="140"/>
        <v>2.5666666666666664</v>
      </c>
      <c r="R676" s="4">
        <f t="shared" si="141"/>
        <v>154</v>
      </c>
      <c r="S676" s="3">
        <f t="shared" si="142"/>
        <v>46</v>
      </c>
      <c r="T676" s="1">
        <v>0.92159999999999997</v>
      </c>
      <c r="U676" s="6">
        <f t="shared" si="133"/>
        <v>46.08</v>
      </c>
    </row>
    <row r="677" spans="1:21" x14ac:dyDescent="0.35">
      <c r="A677">
        <v>676</v>
      </c>
      <c r="B677" s="5">
        <v>44872</v>
      </c>
      <c r="C677" s="4">
        <f t="shared" si="134"/>
        <v>2022</v>
      </c>
      <c r="D677" s="4">
        <f t="shared" si="135"/>
        <v>11</v>
      </c>
      <c r="E677" s="14">
        <v>44872</v>
      </c>
      <c r="F677" s="4">
        <f t="shared" si="136"/>
        <v>7</v>
      </c>
      <c r="G677">
        <v>144</v>
      </c>
      <c r="H677">
        <v>137</v>
      </c>
      <c r="I677" s="13">
        <f t="shared" si="137"/>
        <v>0.95</v>
      </c>
      <c r="J677">
        <f t="shared" si="130"/>
        <v>7</v>
      </c>
      <c r="K677" s="2">
        <v>1.6203703703703703E-4</v>
      </c>
      <c r="L677" s="11">
        <f t="shared" si="131"/>
        <v>31.966666666666669</v>
      </c>
      <c r="M677" s="3">
        <f t="shared" si="138"/>
        <v>0.23333333333333334</v>
      </c>
      <c r="N677" s="4">
        <f t="shared" si="139"/>
        <v>14</v>
      </c>
      <c r="O677" s="2">
        <v>1.8055555555555555E-3</v>
      </c>
      <c r="P677" s="9">
        <f t="shared" si="132"/>
        <v>356.2</v>
      </c>
      <c r="Q677" s="3">
        <f t="shared" si="140"/>
        <v>2.6</v>
      </c>
      <c r="R677" s="4">
        <f t="shared" si="141"/>
        <v>156</v>
      </c>
      <c r="S677" s="3">
        <f t="shared" si="142"/>
        <v>105</v>
      </c>
      <c r="T677" s="1">
        <v>0.77080000000000004</v>
      </c>
      <c r="U677" s="6">
        <f t="shared" si="133"/>
        <v>105.59960000000001</v>
      </c>
    </row>
    <row r="678" spans="1:21" x14ac:dyDescent="0.35">
      <c r="A678">
        <v>677</v>
      </c>
      <c r="B678" s="5">
        <v>44873</v>
      </c>
      <c r="C678" s="4">
        <f t="shared" si="134"/>
        <v>2022</v>
      </c>
      <c r="D678" s="4">
        <f t="shared" si="135"/>
        <v>11</v>
      </c>
      <c r="E678" s="14">
        <v>44873</v>
      </c>
      <c r="F678" s="4">
        <f t="shared" si="136"/>
        <v>8</v>
      </c>
      <c r="G678">
        <v>36</v>
      </c>
      <c r="H678">
        <v>36</v>
      </c>
      <c r="I678" s="13">
        <f t="shared" si="137"/>
        <v>1</v>
      </c>
      <c r="J678">
        <f t="shared" si="130"/>
        <v>0</v>
      </c>
      <c r="K678" s="2">
        <v>1.7361111111111112E-4</v>
      </c>
      <c r="L678" s="11">
        <f t="shared" si="131"/>
        <v>9</v>
      </c>
      <c r="M678" s="3">
        <f t="shared" si="138"/>
        <v>0.25</v>
      </c>
      <c r="N678" s="4">
        <f t="shared" si="139"/>
        <v>15</v>
      </c>
      <c r="O678" s="2">
        <v>2.0023148148148148E-3</v>
      </c>
      <c r="P678" s="9">
        <f t="shared" si="132"/>
        <v>103.8</v>
      </c>
      <c r="Q678" s="3">
        <f t="shared" si="140"/>
        <v>2.8833333333333333</v>
      </c>
      <c r="R678" s="4">
        <f t="shared" si="141"/>
        <v>173</v>
      </c>
      <c r="S678" s="3">
        <f t="shared" si="142"/>
        <v>29</v>
      </c>
      <c r="T678" s="1">
        <v>0.80559999999999998</v>
      </c>
      <c r="U678" s="6">
        <f t="shared" si="133"/>
        <v>29.0016</v>
      </c>
    </row>
    <row r="679" spans="1:21" x14ac:dyDescent="0.35">
      <c r="A679">
        <v>678</v>
      </c>
      <c r="B679" s="5">
        <v>44874</v>
      </c>
      <c r="C679" s="4">
        <f t="shared" si="134"/>
        <v>2022</v>
      </c>
      <c r="D679" s="4">
        <f t="shared" si="135"/>
        <v>11</v>
      </c>
      <c r="E679" s="14">
        <v>44874</v>
      </c>
      <c r="F679" s="4">
        <f t="shared" si="136"/>
        <v>9</v>
      </c>
      <c r="G679">
        <v>155</v>
      </c>
      <c r="H679">
        <v>148</v>
      </c>
      <c r="I679" s="13">
        <f t="shared" si="137"/>
        <v>0.95</v>
      </c>
      <c r="J679">
        <f t="shared" si="130"/>
        <v>7</v>
      </c>
      <c r="K679" s="2">
        <v>1.6203703703703703E-4</v>
      </c>
      <c r="L679" s="11">
        <f t="shared" si="131"/>
        <v>34.533333333333331</v>
      </c>
      <c r="M679" s="3">
        <f t="shared" si="138"/>
        <v>0.23333333333333334</v>
      </c>
      <c r="N679" s="4">
        <f t="shared" si="139"/>
        <v>14</v>
      </c>
      <c r="O679" s="2">
        <v>1.6898148148148148E-3</v>
      </c>
      <c r="P679" s="9">
        <f t="shared" si="132"/>
        <v>360.13333333333338</v>
      </c>
      <c r="Q679" s="3">
        <f t="shared" si="140"/>
        <v>2.4333333333333336</v>
      </c>
      <c r="R679" s="4">
        <f t="shared" si="141"/>
        <v>146</v>
      </c>
      <c r="S679" s="3">
        <f t="shared" si="142"/>
        <v>120</v>
      </c>
      <c r="T679" s="1">
        <v>0.81289999999999996</v>
      </c>
      <c r="U679" s="6">
        <f t="shared" si="133"/>
        <v>120.30919999999999</v>
      </c>
    </row>
    <row r="680" spans="1:21" x14ac:dyDescent="0.35">
      <c r="A680">
        <v>679</v>
      </c>
      <c r="B680" s="5">
        <v>44875</v>
      </c>
      <c r="C680" s="4">
        <f t="shared" si="134"/>
        <v>2022</v>
      </c>
      <c r="D680" s="4">
        <f t="shared" si="135"/>
        <v>11</v>
      </c>
      <c r="E680" s="14">
        <v>44875</v>
      </c>
      <c r="F680" s="4">
        <f t="shared" si="136"/>
        <v>10</v>
      </c>
      <c r="G680">
        <v>159</v>
      </c>
      <c r="H680">
        <v>154</v>
      </c>
      <c r="I680" s="13">
        <f t="shared" si="137"/>
        <v>0.96</v>
      </c>
      <c r="J680">
        <f t="shared" si="130"/>
        <v>5</v>
      </c>
      <c r="K680" s="2">
        <v>1.8518518518518518E-4</v>
      </c>
      <c r="L680" s="11">
        <f t="shared" si="131"/>
        <v>41.066666666666663</v>
      </c>
      <c r="M680" s="3">
        <f t="shared" si="138"/>
        <v>0.26666666666666666</v>
      </c>
      <c r="N680" s="4">
        <f t="shared" si="139"/>
        <v>16</v>
      </c>
      <c r="O680" s="2">
        <v>1.8634259259259259E-3</v>
      </c>
      <c r="P680" s="9">
        <f t="shared" si="132"/>
        <v>413.23333333333335</v>
      </c>
      <c r="Q680" s="3">
        <f t="shared" si="140"/>
        <v>2.6833333333333336</v>
      </c>
      <c r="R680" s="4">
        <f t="shared" si="141"/>
        <v>161</v>
      </c>
      <c r="S680" s="3">
        <f t="shared" si="142"/>
        <v>121</v>
      </c>
      <c r="T680" s="1">
        <v>0.78620000000000001</v>
      </c>
      <c r="U680" s="6">
        <f t="shared" si="133"/>
        <v>121.0748</v>
      </c>
    </row>
    <row r="681" spans="1:21" x14ac:dyDescent="0.35">
      <c r="A681">
        <v>680</v>
      </c>
      <c r="B681" s="5">
        <v>44876</v>
      </c>
      <c r="C681" s="4">
        <f t="shared" si="134"/>
        <v>2022</v>
      </c>
      <c r="D681" s="4">
        <f t="shared" si="135"/>
        <v>11</v>
      </c>
      <c r="E681" s="14">
        <v>44876</v>
      </c>
      <c r="F681" s="4">
        <f t="shared" si="136"/>
        <v>11</v>
      </c>
      <c r="G681">
        <v>115</v>
      </c>
      <c r="H681">
        <v>110</v>
      </c>
      <c r="I681" s="13">
        <f t="shared" si="137"/>
        <v>0.95</v>
      </c>
      <c r="J681">
        <f t="shared" si="130"/>
        <v>5</v>
      </c>
      <c r="K681" s="2">
        <v>1.6203703703703703E-4</v>
      </c>
      <c r="L681" s="11">
        <f t="shared" si="131"/>
        <v>25.666666666666668</v>
      </c>
      <c r="M681" s="3">
        <f t="shared" si="138"/>
        <v>0.23333333333333334</v>
      </c>
      <c r="N681" s="4">
        <f t="shared" si="139"/>
        <v>14</v>
      </c>
      <c r="O681" s="2">
        <v>1.712962962962963E-3</v>
      </c>
      <c r="P681" s="9">
        <f t="shared" si="132"/>
        <v>271.33333333333337</v>
      </c>
      <c r="Q681" s="3">
        <f t="shared" si="140"/>
        <v>2.4666666666666668</v>
      </c>
      <c r="R681" s="4">
        <f t="shared" si="141"/>
        <v>148</v>
      </c>
      <c r="S681" s="3">
        <f t="shared" si="142"/>
        <v>91</v>
      </c>
      <c r="T681" s="1">
        <v>0.83189999999999997</v>
      </c>
      <c r="U681" s="6">
        <f t="shared" si="133"/>
        <v>91.509</v>
      </c>
    </row>
    <row r="682" spans="1:21" x14ac:dyDescent="0.35">
      <c r="A682">
        <v>681</v>
      </c>
      <c r="B682" s="5">
        <v>44877</v>
      </c>
      <c r="C682" s="4">
        <f t="shared" si="134"/>
        <v>2022</v>
      </c>
      <c r="D682" s="4">
        <f t="shared" si="135"/>
        <v>11</v>
      </c>
      <c r="E682" s="14">
        <v>44877</v>
      </c>
      <c r="F682" s="4">
        <f t="shared" si="136"/>
        <v>12</v>
      </c>
      <c r="G682">
        <v>186</v>
      </c>
      <c r="H682">
        <v>173</v>
      </c>
      <c r="I682" s="13">
        <f t="shared" si="137"/>
        <v>0.93</v>
      </c>
      <c r="J682">
        <f t="shared" si="130"/>
        <v>13</v>
      </c>
      <c r="K682" s="2">
        <v>2.199074074074074E-4</v>
      </c>
      <c r="L682" s="11">
        <f t="shared" si="131"/>
        <v>54.783333333333331</v>
      </c>
      <c r="M682" s="3">
        <f t="shared" si="138"/>
        <v>0.31666666666666665</v>
      </c>
      <c r="N682" s="4">
        <f t="shared" si="139"/>
        <v>19</v>
      </c>
      <c r="O682" s="2">
        <v>1.8402777777777777E-3</v>
      </c>
      <c r="P682" s="9">
        <f t="shared" si="132"/>
        <v>458.45</v>
      </c>
      <c r="Q682" s="3">
        <f t="shared" si="140"/>
        <v>2.65</v>
      </c>
      <c r="R682" s="4">
        <f t="shared" si="141"/>
        <v>159</v>
      </c>
      <c r="S682" s="3">
        <f t="shared" si="142"/>
        <v>127</v>
      </c>
      <c r="T682" s="1">
        <v>0.73509999999999998</v>
      </c>
      <c r="U682" s="6">
        <f t="shared" si="133"/>
        <v>127.17229999999999</v>
      </c>
    </row>
    <row r="683" spans="1:21" x14ac:dyDescent="0.35">
      <c r="A683">
        <v>682</v>
      </c>
      <c r="B683" s="5">
        <v>44878</v>
      </c>
      <c r="C683" s="4">
        <f t="shared" si="134"/>
        <v>2022</v>
      </c>
      <c r="D683" s="4">
        <f t="shared" si="135"/>
        <v>11</v>
      </c>
      <c r="E683" s="14">
        <v>44878</v>
      </c>
      <c r="F683" s="4">
        <f t="shared" si="136"/>
        <v>13</v>
      </c>
      <c r="G683">
        <v>167</v>
      </c>
      <c r="H683">
        <v>157</v>
      </c>
      <c r="I683" s="13">
        <f t="shared" si="137"/>
        <v>0.94</v>
      </c>
      <c r="J683">
        <f t="shared" si="130"/>
        <v>10</v>
      </c>
      <c r="K683" s="2">
        <v>2.6620370370370372E-4</v>
      </c>
      <c r="L683" s="11">
        <f t="shared" si="131"/>
        <v>60.183333333333337</v>
      </c>
      <c r="M683" s="3">
        <f t="shared" si="138"/>
        <v>0.38333333333333336</v>
      </c>
      <c r="N683" s="4">
        <f t="shared" si="139"/>
        <v>23</v>
      </c>
      <c r="O683" s="2">
        <v>1.7592592592592592E-3</v>
      </c>
      <c r="P683" s="9">
        <f t="shared" si="132"/>
        <v>397.73333333333329</v>
      </c>
      <c r="Q683" s="3">
        <f t="shared" si="140"/>
        <v>2.5333333333333332</v>
      </c>
      <c r="R683" s="4">
        <f t="shared" si="141"/>
        <v>152</v>
      </c>
      <c r="S683" s="3">
        <f t="shared" si="142"/>
        <v>106</v>
      </c>
      <c r="T683" s="1">
        <v>0.67679999999999996</v>
      </c>
      <c r="U683" s="6">
        <f t="shared" si="133"/>
        <v>106.2576</v>
      </c>
    </row>
    <row r="684" spans="1:21" x14ac:dyDescent="0.35">
      <c r="A684">
        <v>683</v>
      </c>
      <c r="B684" s="5">
        <v>44879</v>
      </c>
      <c r="C684" s="4">
        <f t="shared" si="134"/>
        <v>2022</v>
      </c>
      <c r="D684" s="4">
        <f t="shared" si="135"/>
        <v>11</v>
      </c>
      <c r="E684" s="14">
        <v>44879</v>
      </c>
      <c r="F684" s="4">
        <f t="shared" si="136"/>
        <v>14</v>
      </c>
      <c r="G684">
        <v>146</v>
      </c>
      <c r="H684">
        <v>142</v>
      </c>
      <c r="I684" s="13">
        <f t="shared" si="137"/>
        <v>0.97</v>
      </c>
      <c r="J684">
        <f t="shared" si="130"/>
        <v>4</v>
      </c>
      <c r="K684" s="2">
        <v>2.5462962962962961E-4</v>
      </c>
      <c r="L684" s="11">
        <f t="shared" si="131"/>
        <v>52.066666666666663</v>
      </c>
      <c r="M684" s="3">
        <f t="shared" si="138"/>
        <v>0.36666666666666664</v>
      </c>
      <c r="N684" s="4">
        <f t="shared" si="139"/>
        <v>22</v>
      </c>
      <c r="O684" s="2">
        <v>1.8749999999999999E-3</v>
      </c>
      <c r="P684" s="9">
        <f t="shared" si="132"/>
        <v>383.40000000000003</v>
      </c>
      <c r="Q684" s="3">
        <f t="shared" si="140"/>
        <v>2.7</v>
      </c>
      <c r="R684" s="4">
        <f t="shared" si="141"/>
        <v>162</v>
      </c>
      <c r="S684" s="3">
        <f t="shared" si="142"/>
        <v>94</v>
      </c>
      <c r="T684" s="1">
        <v>0.66900000000000004</v>
      </c>
      <c r="U684" s="6">
        <f t="shared" si="133"/>
        <v>94.998000000000005</v>
      </c>
    </row>
    <row r="685" spans="1:21" x14ac:dyDescent="0.35">
      <c r="A685">
        <v>684</v>
      </c>
      <c r="B685" s="5">
        <v>44880</v>
      </c>
      <c r="C685" s="4">
        <f t="shared" si="134"/>
        <v>2022</v>
      </c>
      <c r="D685" s="4">
        <f t="shared" si="135"/>
        <v>11</v>
      </c>
      <c r="E685" s="14">
        <v>44880</v>
      </c>
      <c r="F685" s="4">
        <f t="shared" si="136"/>
        <v>15</v>
      </c>
      <c r="G685">
        <v>41</v>
      </c>
      <c r="H685">
        <v>31</v>
      </c>
      <c r="I685" s="13">
        <f t="shared" si="137"/>
        <v>0.75</v>
      </c>
      <c r="J685">
        <f t="shared" si="130"/>
        <v>10</v>
      </c>
      <c r="K685" s="2">
        <v>4.5138888888888887E-4</v>
      </c>
      <c r="L685" s="11">
        <f t="shared" si="131"/>
        <v>20.150000000000002</v>
      </c>
      <c r="M685" s="3">
        <f t="shared" si="138"/>
        <v>0.65</v>
      </c>
      <c r="N685" s="4">
        <f t="shared" si="139"/>
        <v>39</v>
      </c>
      <c r="O685" s="2">
        <v>2.5810185185185185E-3</v>
      </c>
      <c r="P685" s="9">
        <f t="shared" si="132"/>
        <v>115.21666666666667</v>
      </c>
      <c r="Q685" s="3">
        <f t="shared" si="140"/>
        <v>3.7166666666666668</v>
      </c>
      <c r="R685" s="4">
        <f t="shared" si="141"/>
        <v>223</v>
      </c>
      <c r="S685" s="3">
        <f t="shared" si="142"/>
        <v>15</v>
      </c>
      <c r="T685" s="1">
        <v>0.48780000000000001</v>
      </c>
      <c r="U685" s="6">
        <f t="shared" si="133"/>
        <v>15.1218</v>
      </c>
    </row>
    <row r="686" spans="1:21" x14ac:dyDescent="0.35">
      <c r="A686">
        <v>685</v>
      </c>
      <c r="B686" s="5">
        <v>44881</v>
      </c>
      <c r="C686" s="4">
        <f t="shared" si="134"/>
        <v>2022</v>
      </c>
      <c r="D686" s="4">
        <f t="shared" si="135"/>
        <v>11</v>
      </c>
      <c r="E686" s="14">
        <v>44881</v>
      </c>
      <c r="F686" s="4">
        <f t="shared" si="136"/>
        <v>16</v>
      </c>
      <c r="G686">
        <v>185</v>
      </c>
      <c r="H686">
        <v>85</v>
      </c>
      <c r="I686" s="13">
        <f t="shared" si="137"/>
        <v>0.45</v>
      </c>
      <c r="J686">
        <f t="shared" si="130"/>
        <v>100</v>
      </c>
      <c r="K686" s="2">
        <v>1.261574074074074E-3</v>
      </c>
      <c r="L686" s="11">
        <f t="shared" si="131"/>
        <v>154.41666666666666</v>
      </c>
      <c r="M686" s="3">
        <f t="shared" si="138"/>
        <v>1.8166666666666667</v>
      </c>
      <c r="N686" s="4">
        <f t="shared" si="139"/>
        <v>109</v>
      </c>
      <c r="O686" s="2">
        <v>1.9212962962962964E-3</v>
      </c>
      <c r="P686" s="9">
        <f t="shared" si="132"/>
        <v>235.16666666666666</v>
      </c>
      <c r="Q686" s="3">
        <f t="shared" si="140"/>
        <v>2.7666666666666666</v>
      </c>
      <c r="R686" s="4">
        <f t="shared" si="141"/>
        <v>166</v>
      </c>
      <c r="S686" s="3">
        <f t="shared" si="142"/>
        <v>3</v>
      </c>
      <c r="T686" s="1">
        <v>3.7999999999999999E-2</v>
      </c>
      <c r="U686" s="6">
        <f t="shared" si="133"/>
        <v>3.23</v>
      </c>
    </row>
    <row r="687" spans="1:21" x14ac:dyDescent="0.35">
      <c r="A687">
        <v>686</v>
      </c>
      <c r="B687" s="5">
        <v>44882</v>
      </c>
      <c r="C687" s="4">
        <f t="shared" si="134"/>
        <v>2022</v>
      </c>
      <c r="D687" s="4">
        <f t="shared" si="135"/>
        <v>11</v>
      </c>
      <c r="E687" s="14">
        <v>44882</v>
      </c>
      <c r="F687" s="4">
        <f t="shared" si="136"/>
        <v>17</v>
      </c>
      <c r="G687">
        <v>149</v>
      </c>
      <c r="H687">
        <v>83</v>
      </c>
      <c r="I687" s="13">
        <f t="shared" si="137"/>
        <v>0.55000000000000004</v>
      </c>
      <c r="J687">
        <f t="shared" si="130"/>
        <v>66</v>
      </c>
      <c r="K687" s="2">
        <v>1.1342592592592593E-3</v>
      </c>
      <c r="L687" s="11">
        <f t="shared" si="131"/>
        <v>135.56666666666666</v>
      </c>
      <c r="M687" s="3">
        <f t="shared" si="138"/>
        <v>1.6333333333333333</v>
      </c>
      <c r="N687" s="4">
        <f t="shared" si="139"/>
        <v>98</v>
      </c>
      <c r="O687" s="2">
        <v>1.5972222222222223E-3</v>
      </c>
      <c r="P687" s="9">
        <f t="shared" si="132"/>
        <v>190.89999999999998</v>
      </c>
      <c r="Q687" s="3">
        <f t="shared" si="140"/>
        <v>2.2999999999999998</v>
      </c>
      <c r="R687" s="4">
        <f t="shared" si="141"/>
        <v>138</v>
      </c>
      <c r="S687" s="3">
        <f t="shared" si="142"/>
        <v>4</v>
      </c>
      <c r="T687" s="1">
        <v>4.8300000000000003E-2</v>
      </c>
      <c r="U687" s="6">
        <f t="shared" si="133"/>
        <v>4.0089000000000006</v>
      </c>
    </row>
    <row r="688" spans="1:21" x14ac:dyDescent="0.35">
      <c r="A688">
        <v>687</v>
      </c>
      <c r="B688" s="5">
        <v>44883</v>
      </c>
      <c r="C688" s="4">
        <f t="shared" si="134"/>
        <v>2022</v>
      </c>
      <c r="D688" s="4">
        <f t="shared" si="135"/>
        <v>11</v>
      </c>
      <c r="E688" s="14">
        <v>44883</v>
      </c>
      <c r="F688" s="4">
        <f t="shared" si="136"/>
        <v>18</v>
      </c>
      <c r="G688">
        <v>180</v>
      </c>
      <c r="H688">
        <v>115</v>
      </c>
      <c r="I688" s="13">
        <f t="shared" si="137"/>
        <v>0.63</v>
      </c>
      <c r="J688">
        <f t="shared" si="130"/>
        <v>65</v>
      </c>
      <c r="K688" s="2">
        <v>7.407407407407407E-4</v>
      </c>
      <c r="L688" s="11">
        <f t="shared" si="131"/>
        <v>122.66666666666667</v>
      </c>
      <c r="M688" s="3">
        <f t="shared" si="138"/>
        <v>1.0666666666666667</v>
      </c>
      <c r="N688" s="4">
        <f t="shared" si="139"/>
        <v>64</v>
      </c>
      <c r="O688" s="2">
        <v>1.7708333333333332E-3</v>
      </c>
      <c r="P688" s="9">
        <f t="shared" si="132"/>
        <v>293.25</v>
      </c>
      <c r="Q688" s="3">
        <f t="shared" si="140"/>
        <v>2.5499999999999998</v>
      </c>
      <c r="R688" s="4">
        <f t="shared" si="141"/>
        <v>153</v>
      </c>
      <c r="S688" s="3">
        <f t="shared" si="142"/>
        <v>27</v>
      </c>
      <c r="T688" s="1">
        <v>0.23860000000000001</v>
      </c>
      <c r="U688" s="6">
        <f t="shared" si="133"/>
        <v>27.439</v>
      </c>
    </row>
    <row r="689" spans="1:21" x14ac:dyDescent="0.35">
      <c r="A689">
        <v>688</v>
      </c>
      <c r="B689" s="5">
        <v>44884</v>
      </c>
      <c r="C689" s="4">
        <f t="shared" si="134"/>
        <v>2022</v>
      </c>
      <c r="D689" s="4">
        <f t="shared" si="135"/>
        <v>11</v>
      </c>
      <c r="E689" s="14">
        <v>44884</v>
      </c>
      <c r="F689" s="4">
        <f t="shared" si="136"/>
        <v>19</v>
      </c>
      <c r="G689">
        <v>173</v>
      </c>
      <c r="H689">
        <v>144</v>
      </c>
      <c r="I689" s="13">
        <f t="shared" si="137"/>
        <v>0.83</v>
      </c>
      <c r="J689">
        <f t="shared" si="130"/>
        <v>29</v>
      </c>
      <c r="K689" s="2">
        <v>4.3981481481481481E-4</v>
      </c>
      <c r="L689" s="11">
        <f t="shared" si="131"/>
        <v>91.199999999999989</v>
      </c>
      <c r="M689" s="3">
        <f t="shared" si="138"/>
        <v>0.6333333333333333</v>
      </c>
      <c r="N689" s="4">
        <f t="shared" si="139"/>
        <v>38</v>
      </c>
      <c r="O689" s="2">
        <v>2.0833333333333333E-3</v>
      </c>
      <c r="P689" s="9">
        <f t="shared" si="132"/>
        <v>432</v>
      </c>
      <c r="Q689" s="3">
        <f t="shared" si="140"/>
        <v>3</v>
      </c>
      <c r="R689" s="4">
        <f t="shared" si="141"/>
        <v>180</v>
      </c>
      <c r="S689" s="3">
        <f t="shared" si="142"/>
        <v>66</v>
      </c>
      <c r="T689" s="1">
        <v>0.4647</v>
      </c>
      <c r="U689" s="6">
        <f t="shared" si="133"/>
        <v>66.916799999999995</v>
      </c>
    </row>
    <row r="690" spans="1:21" x14ac:dyDescent="0.35">
      <c r="A690">
        <v>689</v>
      </c>
      <c r="B690" s="5">
        <v>44885</v>
      </c>
      <c r="C690" s="4">
        <f t="shared" si="134"/>
        <v>2022</v>
      </c>
      <c r="D690" s="4">
        <f t="shared" si="135"/>
        <v>11</v>
      </c>
      <c r="E690" s="14">
        <v>44885</v>
      </c>
      <c r="F690" s="4">
        <f t="shared" si="136"/>
        <v>20</v>
      </c>
      <c r="G690">
        <v>176</v>
      </c>
      <c r="H690">
        <v>158</v>
      </c>
      <c r="I690" s="13">
        <f t="shared" si="137"/>
        <v>0.89</v>
      </c>
      <c r="J690">
        <f t="shared" si="130"/>
        <v>18</v>
      </c>
      <c r="K690" s="2">
        <v>2.3148148148148149E-4</v>
      </c>
      <c r="L690" s="11">
        <f t="shared" si="131"/>
        <v>52.666666666666664</v>
      </c>
      <c r="M690" s="3">
        <f t="shared" si="138"/>
        <v>0.33333333333333331</v>
      </c>
      <c r="N690" s="4">
        <f t="shared" si="139"/>
        <v>20</v>
      </c>
      <c r="O690" s="2">
        <v>1.7708333333333332E-3</v>
      </c>
      <c r="P690" s="9">
        <f t="shared" si="132"/>
        <v>402.9</v>
      </c>
      <c r="Q690" s="3">
        <f t="shared" si="140"/>
        <v>2.5499999999999998</v>
      </c>
      <c r="R690" s="4">
        <f t="shared" si="141"/>
        <v>153</v>
      </c>
      <c r="S690" s="3">
        <f t="shared" si="142"/>
        <v>111</v>
      </c>
      <c r="T690" s="1">
        <v>0.70350000000000001</v>
      </c>
      <c r="U690" s="6">
        <f t="shared" si="133"/>
        <v>111.15300000000001</v>
      </c>
    </row>
    <row r="691" spans="1:21" x14ac:dyDescent="0.35">
      <c r="A691">
        <v>690</v>
      </c>
      <c r="B691" s="5">
        <v>44886</v>
      </c>
      <c r="C691" s="4">
        <f t="shared" si="134"/>
        <v>2022</v>
      </c>
      <c r="D691" s="4">
        <f t="shared" si="135"/>
        <v>11</v>
      </c>
      <c r="E691" s="14">
        <v>44886</v>
      </c>
      <c r="F691" s="4">
        <f t="shared" si="136"/>
        <v>21</v>
      </c>
      <c r="G691">
        <v>147</v>
      </c>
      <c r="H691">
        <v>120</v>
      </c>
      <c r="I691" s="13">
        <f t="shared" si="137"/>
        <v>0.81</v>
      </c>
      <c r="J691">
        <f t="shared" si="130"/>
        <v>27</v>
      </c>
      <c r="K691" s="2">
        <v>5.3240740740740744E-4</v>
      </c>
      <c r="L691" s="11">
        <f t="shared" si="131"/>
        <v>92</v>
      </c>
      <c r="M691" s="3">
        <f t="shared" si="138"/>
        <v>0.76666666666666672</v>
      </c>
      <c r="N691" s="4">
        <f t="shared" si="139"/>
        <v>46</v>
      </c>
      <c r="O691" s="2">
        <v>1.8402777777777777E-3</v>
      </c>
      <c r="P691" s="9">
        <f t="shared" si="132"/>
        <v>318</v>
      </c>
      <c r="Q691" s="3">
        <f t="shared" si="140"/>
        <v>2.65</v>
      </c>
      <c r="R691" s="4">
        <f t="shared" si="141"/>
        <v>159</v>
      </c>
      <c r="S691" s="3">
        <f t="shared" si="142"/>
        <v>47</v>
      </c>
      <c r="T691" s="1">
        <v>0.39729999999999999</v>
      </c>
      <c r="U691" s="6">
        <f t="shared" si="133"/>
        <v>47.676000000000002</v>
      </c>
    </row>
    <row r="692" spans="1:21" x14ac:dyDescent="0.35">
      <c r="A692">
        <v>691</v>
      </c>
      <c r="B692" s="5">
        <v>44887</v>
      </c>
      <c r="C692" s="4">
        <f t="shared" si="134"/>
        <v>2022</v>
      </c>
      <c r="D692" s="4">
        <f t="shared" si="135"/>
        <v>11</v>
      </c>
      <c r="E692" s="14">
        <v>44887</v>
      </c>
      <c r="F692" s="4">
        <f t="shared" si="136"/>
        <v>22</v>
      </c>
      <c r="G692">
        <v>84</v>
      </c>
      <c r="H692">
        <v>77</v>
      </c>
      <c r="I692" s="13">
        <f t="shared" si="137"/>
        <v>0.91</v>
      </c>
      <c r="J692">
        <f t="shared" si="130"/>
        <v>7</v>
      </c>
      <c r="K692" s="2">
        <v>1.9675925925925926E-4</v>
      </c>
      <c r="L692" s="11">
        <f t="shared" si="131"/>
        <v>21.816666666666666</v>
      </c>
      <c r="M692" s="3">
        <f t="shared" si="138"/>
        <v>0.28333333333333333</v>
      </c>
      <c r="N692" s="4">
        <f t="shared" si="139"/>
        <v>17</v>
      </c>
      <c r="O692" s="2">
        <v>1.4699074074074074E-3</v>
      </c>
      <c r="P692" s="9">
        <f t="shared" si="132"/>
        <v>162.98333333333335</v>
      </c>
      <c r="Q692" s="3">
        <f t="shared" si="140"/>
        <v>2.1166666666666667</v>
      </c>
      <c r="R692" s="4">
        <f t="shared" si="141"/>
        <v>127</v>
      </c>
      <c r="S692" s="3">
        <f t="shared" si="142"/>
        <v>56</v>
      </c>
      <c r="T692" s="1">
        <v>0.7349</v>
      </c>
      <c r="U692" s="6">
        <f t="shared" si="133"/>
        <v>56.587299999999999</v>
      </c>
    </row>
    <row r="693" spans="1:21" x14ac:dyDescent="0.35">
      <c r="A693">
        <v>692</v>
      </c>
      <c r="B693" s="5">
        <v>44888</v>
      </c>
      <c r="C693" s="4">
        <f t="shared" si="134"/>
        <v>2022</v>
      </c>
      <c r="D693" s="4">
        <f t="shared" si="135"/>
        <v>11</v>
      </c>
      <c r="E693" s="14">
        <v>44888</v>
      </c>
      <c r="F693" s="4">
        <f t="shared" si="136"/>
        <v>23</v>
      </c>
      <c r="G693">
        <v>325</v>
      </c>
      <c r="H693">
        <v>78</v>
      </c>
      <c r="I693" s="13">
        <f t="shared" si="137"/>
        <v>0.24</v>
      </c>
      <c r="J693">
        <f t="shared" si="130"/>
        <v>247</v>
      </c>
      <c r="K693" s="2">
        <v>2.2337962962962962E-3</v>
      </c>
      <c r="L693" s="11">
        <f t="shared" si="131"/>
        <v>250.9</v>
      </c>
      <c r="M693" s="3">
        <f t="shared" si="138"/>
        <v>3.2166666666666668</v>
      </c>
      <c r="N693" s="4">
        <f t="shared" si="139"/>
        <v>193</v>
      </c>
      <c r="O693" s="2">
        <v>2.0949074074074073E-3</v>
      </c>
      <c r="P693" s="9">
        <f t="shared" si="132"/>
        <v>235.29999999999998</v>
      </c>
      <c r="Q693" s="3">
        <f t="shared" si="140"/>
        <v>3.0166666666666666</v>
      </c>
      <c r="R693" s="4">
        <f t="shared" si="141"/>
        <v>181</v>
      </c>
      <c r="S693" s="3">
        <f t="shared" si="142"/>
        <v>0</v>
      </c>
      <c r="T693" s="1">
        <v>0</v>
      </c>
      <c r="U693" s="6">
        <f t="shared" si="133"/>
        <v>0</v>
      </c>
    </row>
    <row r="694" spans="1:21" x14ac:dyDescent="0.35">
      <c r="A694">
        <v>693</v>
      </c>
      <c r="B694" s="5">
        <v>44889</v>
      </c>
      <c r="C694" s="4">
        <f t="shared" si="134"/>
        <v>2022</v>
      </c>
      <c r="D694" s="4">
        <f t="shared" si="135"/>
        <v>11</v>
      </c>
      <c r="E694" s="14">
        <v>44889</v>
      </c>
      <c r="F694" s="4">
        <f t="shared" si="136"/>
        <v>24</v>
      </c>
      <c r="G694">
        <v>441</v>
      </c>
      <c r="H694">
        <v>103</v>
      </c>
      <c r="I694" s="13">
        <f t="shared" si="137"/>
        <v>0.23</v>
      </c>
      <c r="J694">
        <f t="shared" si="130"/>
        <v>338</v>
      </c>
      <c r="K694" s="2">
        <v>2.8240740740740739E-3</v>
      </c>
      <c r="L694" s="11">
        <f t="shared" si="131"/>
        <v>418.86666666666662</v>
      </c>
      <c r="M694" s="3">
        <f t="shared" si="138"/>
        <v>4.0666666666666664</v>
      </c>
      <c r="N694" s="4">
        <f t="shared" si="139"/>
        <v>244</v>
      </c>
      <c r="O694" s="2">
        <v>1.8865740740740742E-3</v>
      </c>
      <c r="P694" s="9">
        <f t="shared" si="132"/>
        <v>279.81666666666666</v>
      </c>
      <c r="Q694" s="3">
        <f t="shared" si="140"/>
        <v>2.7166666666666668</v>
      </c>
      <c r="R694" s="4">
        <f t="shared" si="141"/>
        <v>163</v>
      </c>
      <c r="S694" s="3">
        <f t="shared" si="142"/>
        <v>0</v>
      </c>
      <c r="T694" s="1">
        <v>2.3E-3</v>
      </c>
      <c r="U694" s="6">
        <f t="shared" si="133"/>
        <v>0.2369</v>
      </c>
    </row>
    <row r="695" spans="1:21" x14ac:dyDescent="0.35">
      <c r="A695">
        <v>694</v>
      </c>
      <c r="B695" s="5">
        <v>44890</v>
      </c>
      <c r="C695" s="4">
        <f t="shared" si="134"/>
        <v>2022</v>
      </c>
      <c r="D695" s="4">
        <f t="shared" si="135"/>
        <v>11</v>
      </c>
      <c r="E695" s="14">
        <v>44890</v>
      </c>
      <c r="F695" s="4">
        <f t="shared" si="136"/>
        <v>25</v>
      </c>
      <c r="G695">
        <v>525</v>
      </c>
      <c r="H695">
        <v>116</v>
      </c>
      <c r="I695" s="13">
        <f t="shared" si="137"/>
        <v>0.22</v>
      </c>
      <c r="J695">
        <f t="shared" si="130"/>
        <v>409</v>
      </c>
      <c r="K695" s="2">
        <v>3.5648148148148149E-3</v>
      </c>
      <c r="L695" s="11">
        <f t="shared" si="131"/>
        <v>595.4666666666667</v>
      </c>
      <c r="M695" s="3">
        <f t="shared" si="138"/>
        <v>5.1333333333333337</v>
      </c>
      <c r="N695" s="4">
        <f t="shared" si="139"/>
        <v>308</v>
      </c>
      <c r="O695" s="2">
        <v>2.1759259259259258E-3</v>
      </c>
      <c r="P695" s="9">
        <f t="shared" si="132"/>
        <v>363.46666666666664</v>
      </c>
      <c r="Q695" s="3">
        <f t="shared" si="140"/>
        <v>3.1333333333333333</v>
      </c>
      <c r="R695" s="4">
        <f t="shared" si="141"/>
        <v>188</v>
      </c>
      <c r="S695" s="3">
        <f t="shared" si="142"/>
        <v>0</v>
      </c>
      <c r="T695" s="1">
        <v>0</v>
      </c>
      <c r="U695" s="6">
        <f t="shared" si="133"/>
        <v>0</v>
      </c>
    </row>
    <row r="696" spans="1:21" x14ac:dyDescent="0.35">
      <c r="A696">
        <v>695</v>
      </c>
      <c r="B696" s="5">
        <v>44891</v>
      </c>
      <c r="C696" s="4">
        <f t="shared" si="134"/>
        <v>2022</v>
      </c>
      <c r="D696" s="4">
        <f t="shared" si="135"/>
        <v>11</v>
      </c>
      <c r="E696" s="14">
        <v>44891</v>
      </c>
      <c r="F696" s="4">
        <f t="shared" si="136"/>
        <v>26</v>
      </c>
      <c r="G696">
        <v>610</v>
      </c>
      <c r="H696">
        <v>201</v>
      </c>
      <c r="I696" s="13">
        <f t="shared" si="137"/>
        <v>0.32</v>
      </c>
      <c r="J696">
        <f t="shared" si="130"/>
        <v>409</v>
      </c>
      <c r="K696" s="2">
        <v>2.2337962962962962E-3</v>
      </c>
      <c r="L696" s="11">
        <f t="shared" si="131"/>
        <v>646.55000000000007</v>
      </c>
      <c r="M696" s="3">
        <f t="shared" si="138"/>
        <v>3.2166666666666668</v>
      </c>
      <c r="N696" s="4">
        <f t="shared" si="139"/>
        <v>193</v>
      </c>
      <c r="O696" s="2">
        <v>1.9907407407407408E-3</v>
      </c>
      <c r="P696" s="9">
        <f t="shared" si="132"/>
        <v>576.20000000000005</v>
      </c>
      <c r="Q696" s="3">
        <f t="shared" si="140"/>
        <v>2.8666666666666667</v>
      </c>
      <c r="R696" s="4">
        <f t="shared" si="141"/>
        <v>172</v>
      </c>
      <c r="S696" s="3">
        <f t="shared" si="142"/>
        <v>7</v>
      </c>
      <c r="T696" s="1">
        <v>3.5200000000000002E-2</v>
      </c>
      <c r="U696" s="6">
        <f t="shared" si="133"/>
        <v>7.0752000000000006</v>
      </c>
    </row>
    <row r="697" spans="1:21" x14ac:dyDescent="0.35">
      <c r="A697">
        <v>696</v>
      </c>
      <c r="B697" s="5">
        <v>44892</v>
      </c>
      <c r="C697" s="4">
        <f t="shared" si="134"/>
        <v>2022</v>
      </c>
      <c r="D697" s="4">
        <f t="shared" si="135"/>
        <v>11</v>
      </c>
      <c r="E697" s="14">
        <v>44892</v>
      </c>
      <c r="F697" s="4">
        <f t="shared" si="136"/>
        <v>27</v>
      </c>
      <c r="G697">
        <v>427</v>
      </c>
      <c r="H697">
        <v>282</v>
      </c>
      <c r="I697" s="13">
        <f t="shared" si="137"/>
        <v>0.66</v>
      </c>
      <c r="J697">
        <f t="shared" si="130"/>
        <v>145</v>
      </c>
      <c r="K697" s="2">
        <v>7.1759259259259259E-4</v>
      </c>
      <c r="L697" s="11">
        <f t="shared" si="131"/>
        <v>291.40000000000003</v>
      </c>
      <c r="M697" s="3">
        <f t="shared" si="138"/>
        <v>1.0333333333333334</v>
      </c>
      <c r="N697" s="4">
        <f t="shared" si="139"/>
        <v>62.000000000000007</v>
      </c>
      <c r="O697" s="2">
        <v>1.9560185185185184E-3</v>
      </c>
      <c r="P697" s="9">
        <f t="shared" si="132"/>
        <v>794.3</v>
      </c>
      <c r="Q697" s="3">
        <f t="shared" si="140"/>
        <v>2.8166666666666664</v>
      </c>
      <c r="R697" s="4">
        <f t="shared" si="141"/>
        <v>169</v>
      </c>
      <c r="S697" s="3">
        <f t="shared" si="142"/>
        <v>70</v>
      </c>
      <c r="T697" s="1">
        <v>0.24879999999999999</v>
      </c>
      <c r="U697" s="6">
        <f t="shared" si="133"/>
        <v>70.161599999999993</v>
      </c>
    </row>
    <row r="698" spans="1:21" x14ac:dyDescent="0.35">
      <c r="A698">
        <v>697</v>
      </c>
      <c r="B698" s="5">
        <v>44893</v>
      </c>
      <c r="C698" s="4">
        <f t="shared" si="134"/>
        <v>2022</v>
      </c>
      <c r="D698" s="4">
        <f t="shared" si="135"/>
        <v>11</v>
      </c>
      <c r="E698" s="14">
        <v>44893</v>
      </c>
      <c r="F698" s="4">
        <f t="shared" si="136"/>
        <v>28</v>
      </c>
      <c r="G698">
        <v>378</v>
      </c>
      <c r="H698">
        <v>331</v>
      </c>
      <c r="I698" s="13">
        <f t="shared" si="137"/>
        <v>0.87</v>
      </c>
      <c r="J698">
        <f t="shared" si="130"/>
        <v>47</v>
      </c>
      <c r="K698" s="2">
        <v>4.9768518518518521E-4</v>
      </c>
      <c r="L698" s="11">
        <f t="shared" si="131"/>
        <v>237.21666666666667</v>
      </c>
      <c r="M698" s="3">
        <f t="shared" si="138"/>
        <v>0.71666666666666667</v>
      </c>
      <c r="N698" s="4">
        <f t="shared" si="139"/>
        <v>43</v>
      </c>
      <c r="O698" s="2">
        <v>1.8171296296296297E-3</v>
      </c>
      <c r="P698" s="9">
        <f t="shared" si="132"/>
        <v>866.11666666666667</v>
      </c>
      <c r="Q698" s="3">
        <f t="shared" si="140"/>
        <v>2.6166666666666667</v>
      </c>
      <c r="R698" s="4">
        <f t="shared" si="141"/>
        <v>157</v>
      </c>
      <c r="S698" s="3">
        <f t="shared" si="142"/>
        <v>133</v>
      </c>
      <c r="T698" s="1">
        <v>0.40329999999999999</v>
      </c>
      <c r="U698" s="6">
        <f t="shared" si="133"/>
        <v>133.4923</v>
      </c>
    </row>
    <row r="699" spans="1:21" x14ac:dyDescent="0.35">
      <c r="A699">
        <v>698</v>
      </c>
      <c r="B699" s="5">
        <v>44894</v>
      </c>
      <c r="C699" s="4">
        <f t="shared" si="134"/>
        <v>2022</v>
      </c>
      <c r="D699" s="4">
        <f t="shared" si="135"/>
        <v>11</v>
      </c>
      <c r="E699" s="14">
        <v>44894</v>
      </c>
      <c r="F699" s="4">
        <f t="shared" si="136"/>
        <v>29</v>
      </c>
      <c r="G699">
        <v>80</v>
      </c>
      <c r="H699">
        <v>67</v>
      </c>
      <c r="I699" s="13">
        <f t="shared" si="137"/>
        <v>0.83</v>
      </c>
      <c r="J699">
        <f t="shared" si="130"/>
        <v>13</v>
      </c>
      <c r="K699" s="2">
        <v>4.3981481481481481E-4</v>
      </c>
      <c r="L699" s="11">
        <f t="shared" si="131"/>
        <v>42.43333333333333</v>
      </c>
      <c r="M699" s="3">
        <f t="shared" si="138"/>
        <v>0.6333333333333333</v>
      </c>
      <c r="N699" s="4">
        <f t="shared" si="139"/>
        <v>38</v>
      </c>
      <c r="O699" s="2">
        <v>2.2222222222222222E-3</v>
      </c>
      <c r="P699" s="9">
        <f t="shared" si="132"/>
        <v>214.4</v>
      </c>
      <c r="Q699" s="3">
        <f t="shared" si="140"/>
        <v>3.2</v>
      </c>
      <c r="R699" s="4">
        <f t="shared" si="141"/>
        <v>192</v>
      </c>
      <c r="S699" s="3">
        <f t="shared" si="142"/>
        <v>30</v>
      </c>
      <c r="T699" s="1">
        <v>0.46250000000000002</v>
      </c>
      <c r="U699" s="6">
        <f t="shared" si="133"/>
        <v>30.987500000000001</v>
      </c>
    </row>
    <row r="700" spans="1:21" x14ac:dyDescent="0.35">
      <c r="A700">
        <v>699</v>
      </c>
      <c r="B700" s="5">
        <v>44895</v>
      </c>
      <c r="C700" s="4">
        <f t="shared" si="134"/>
        <v>2022</v>
      </c>
      <c r="D700" s="4">
        <f t="shared" si="135"/>
        <v>11</v>
      </c>
      <c r="E700" s="14">
        <v>44895</v>
      </c>
      <c r="F700" s="4">
        <f t="shared" si="136"/>
        <v>30</v>
      </c>
      <c r="G700">
        <v>356</v>
      </c>
      <c r="H700">
        <v>320</v>
      </c>
      <c r="I700" s="13">
        <f t="shared" si="137"/>
        <v>0.89</v>
      </c>
      <c r="J700">
        <f t="shared" si="130"/>
        <v>36</v>
      </c>
      <c r="K700" s="2">
        <v>3.9351851851851852E-4</v>
      </c>
      <c r="L700" s="11">
        <f t="shared" si="131"/>
        <v>181.33333333333331</v>
      </c>
      <c r="M700" s="3">
        <f t="shared" si="138"/>
        <v>0.56666666666666665</v>
      </c>
      <c r="N700" s="4">
        <f t="shared" si="139"/>
        <v>34</v>
      </c>
      <c r="O700" s="2">
        <v>1.9907407407407408E-3</v>
      </c>
      <c r="P700" s="9">
        <f t="shared" si="132"/>
        <v>917.33333333333337</v>
      </c>
      <c r="Q700" s="3">
        <f t="shared" si="140"/>
        <v>2.8666666666666667</v>
      </c>
      <c r="R700" s="4">
        <f t="shared" si="141"/>
        <v>172</v>
      </c>
      <c r="S700" s="3">
        <f t="shared" si="142"/>
        <v>168</v>
      </c>
      <c r="T700" s="1">
        <v>0.52559999999999996</v>
      </c>
      <c r="U700" s="6">
        <f t="shared" si="133"/>
        <v>168.19199999999998</v>
      </c>
    </row>
    <row r="701" spans="1:21" x14ac:dyDescent="0.35">
      <c r="A701">
        <v>700</v>
      </c>
      <c r="B701" s="5">
        <v>44896</v>
      </c>
      <c r="C701" s="4">
        <f t="shared" si="134"/>
        <v>2022</v>
      </c>
      <c r="D701" s="4">
        <f t="shared" si="135"/>
        <v>12</v>
      </c>
      <c r="E701" s="14">
        <v>44896</v>
      </c>
      <c r="F701" s="4">
        <f t="shared" si="136"/>
        <v>1</v>
      </c>
      <c r="G701">
        <v>409</v>
      </c>
      <c r="H701">
        <v>355</v>
      </c>
      <c r="I701" s="13">
        <f t="shared" si="137"/>
        <v>0.86</v>
      </c>
      <c r="J701">
        <f t="shared" si="130"/>
        <v>54</v>
      </c>
      <c r="K701" s="2">
        <v>5.0925925925925921E-4</v>
      </c>
      <c r="L701" s="11">
        <f t="shared" si="131"/>
        <v>260.33333333333331</v>
      </c>
      <c r="M701" s="3">
        <f t="shared" si="138"/>
        <v>0.73333333333333328</v>
      </c>
      <c r="N701" s="4">
        <f t="shared" si="139"/>
        <v>44</v>
      </c>
      <c r="O701" s="2">
        <v>2.0254629629629629E-3</v>
      </c>
      <c r="P701" s="9">
        <f t="shared" si="132"/>
        <v>1035.4166666666665</v>
      </c>
      <c r="Q701" s="3">
        <f t="shared" si="140"/>
        <v>2.9166666666666665</v>
      </c>
      <c r="R701" s="4">
        <f t="shared" si="141"/>
        <v>175</v>
      </c>
      <c r="S701" s="3">
        <f t="shared" si="142"/>
        <v>140</v>
      </c>
      <c r="T701" s="1">
        <v>0.39700000000000002</v>
      </c>
      <c r="U701" s="6">
        <f t="shared" si="133"/>
        <v>140.935</v>
      </c>
    </row>
    <row r="702" spans="1:21" x14ac:dyDescent="0.35">
      <c r="A702">
        <v>701</v>
      </c>
      <c r="B702" s="5">
        <v>44897</v>
      </c>
      <c r="C702" s="4">
        <f t="shared" si="134"/>
        <v>2022</v>
      </c>
      <c r="D702" s="4">
        <f t="shared" si="135"/>
        <v>12</v>
      </c>
      <c r="E702" s="14">
        <v>44897</v>
      </c>
      <c r="F702" s="4">
        <f t="shared" si="136"/>
        <v>2</v>
      </c>
      <c r="G702">
        <v>352</v>
      </c>
      <c r="H702">
        <v>302</v>
      </c>
      <c r="I702" s="13">
        <f t="shared" si="137"/>
        <v>0.85</v>
      </c>
      <c r="J702">
        <f t="shared" si="130"/>
        <v>50</v>
      </c>
      <c r="K702" s="2">
        <v>4.7453703703703704E-4</v>
      </c>
      <c r="L702" s="11">
        <f t="shared" si="131"/>
        <v>206.36666666666667</v>
      </c>
      <c r="M702" s="3">
        <f t="shared" si="138"/>
        <v>0.68333333333333335</v>
      </c>
      <c r="N702" s="4">
        <f t="shared" si="139"/>
        <v>41</v>
      </c>
      <c r="O702" s="2">
        <v>2.1180555555555558E-3</v>
      </c>
      <c r="P702" s="9">
        <f t="shared" si="132"/>
        <v>921.09999999999991</v>
      </c>
      <c r="Q702" s="3">
        <f t="shared" si="140"/>
        <v>3.05</v>
      </c>
      <c r="R702" s="4">
        <f t="shared" si="141"/>
        <v>183</v>
      </c>
      <c r="S702" s="3">
        <f t="shared" si="142"/>
        <v>143</v>
      </c>
      <c r="T702" s="1">
        <v>0.47399999999999998</v>
      </c>
      <c r="U702" s="6">
        <f t="shared" si="133"/>
        <v>143.148</v>
      </c>
    </row>
    <row r="703" spans="1:21" x14ac:dyDescent="0.35">
      <c r="A703">
        <v>702</v>
      </c>
      <c r="B703" s="5">
        <v>44898</v>
      </c>
      <c r="C703" s="4">
        <f t="shared" si="134"/>
        <v>2022</v>
      </c>
      <c r="D703" s="4">
        <f t="shared" si="135"/>
        <v>12</v>
      </c>
      <c r="E703" s="14">
        <v>44898</v>
      </c>
      <c r="F703" s="4">
        <f t="shared" si="136"/>
        <v>3</v>
      </c>
      <c r="G703">
        <v>282</v>
      </c>
      <c r="H703">
        <v>239</v>
      </c>
      <c r="I703" s="13">
        <f t="shared" si="137"/>
        <v>0.84</v>
      </c>
      <c r="J703">
        <f t="shared" si="130"/>
        <v>43</v>
      </c>
      <c r="K703" s="2">
        <v>4.5138888888888887E-4</v>
      </c>
      <c r="L703" s="11">
        <f t="shared" si="131"/>
        <v>155.35</v>
      </c>
      <c r="M703" s="3">
        <f t="shared" si="138"/>
        <v>0.65</v>
      </c>
      <c r="N703" s="4">
        <f t="shared" si="139"/>
        <v>39</v>
      </c>
      <c r="O703" s="2">
        <v>2.1527777777777778E-3</v>
      </c>
      <c r="P703" s="9">
        <f t="shared" si="132"/>
        <v>740.9</v>
      </c>
      <c r="Q703" s="3">
        <f t="shared" si="140"/>
        <v>3.1</v>
      </c>
      <c r="R703" s="4">
        <f t="shared" si="141"/>
        <v>186</v>
      </c>
      <c r="S703" s="3">
        <f t="shared" si="142"/>
        <v>122</v>
      </c>
      <c r="T703" s="1">
        <v>0.51070000000000004</v>
      </c>
      <c r="U703" s="6">
        <f t="shared" si="133"/>
        <v>122.05730000000001</v>
      </c>
    </row>
    <row r="704" spans="1:21" x14ac:dyDescent="0.35">
      <c r="A704">
        <v>703</v>
      </c>
      <c r="B704" s="5">
        <v>44899</v>
      </c>
      <c r="C704" s="4">
        <f t="shared" si="134"/>
        <v>2022</v>
      </c>
      <c r="D704" s="4">
        <f t="shared" si="135"/>
        <v>12</v>
      </c>
      <c r="E704" s="14">
        <v>44899</v>
      </c>
      <c r="F704" s="4">
        <f t="shared" si="136"/>
        <v>4</v>
      </c>
      <c r="G704">
        <v>429</v>
      </c>
      <c r="H704">
        <v>390</v>
      </c>
      <c r="I704" s="13">
        <f t="shared" si="137"/>
        <v>0.9</v>
      </c>
      <c r="J704">
        <f t="shared" si="130"/>
        <v>39</v>
      </c>
      <c r="K704" s="2">
        <v>4.3981481481481481E-4</v>
      </c>
      <c r="L704" s="11">
        <f t="shared" si="131"/>
        <v>247</v>
      </c>
      <c r="M704" s="3">
        <f t="shared" si="138"/>
        <v>0.6333333333333333</v>
      </c>
      <c r="N704" s="4">
        <f t="shared" si="139"/>
        <v>38</v>
      </c>
      <c r="O704" s="2">
        <v>1.8634259259259259E-3</v>
      </c>
      <c r="P704" s="9">
        <f t="shared" si="132"/>
        <v>1046.5</v>
      </c>
      <c r="Q704" s="3">
        <f t="shared" si="140"/>
        <v>2.6833333333333336</v>
      </c>
      <c r="R704" s="4">
        <f t="shared" si="141"/>
        <v>161</v>
      </c>
      <c r="S704" s="3">
        <f t="shared" si="142"/>
        <v>174</v>
      </c>
      <c r="T704" s="1">
        <v>0.4466</v>
      </c>
      <c r="U704" s="6">
        <f t="shared" si="133"/>
        <v>174.17400000000001</v>
      </c>
    </row>
    <row r="705" spans="1:21" x14ac:dyDescent="0.35">
      <c r="A705">
        <v>704</v>
      </c>
      <c r="B705" s="5">
        <v>44900</v>
      </c>
      <c r="C705" s="4">
        <f t="shared" si="134"/>
        <v>2022</v>
      </c>
      <c r="D705" s="4">
        <f t="shared" si="135"/>
        <v>12</v>
      </c>
      <c r="E705" s="14">
        <v>44900</v>
      </c>
      <c r="F705" s="4">
        <f t="shared" si="136"/>
        <v>5</v>
      </c>
      <c r="G705">
        <v>310</v>
      </c>
      <c r="H705">
        <v>285</v>
      </c>
      <c r="I705" s="13">
        <f t="shared" si="137"/>
        <v>0.91</v>
      </c>
      <c r="J705">
        <f t="shared" si="130"/>
        <v>25</v>
      </c>
      <c r="K705" s="2">
        <v>3.8194444444444446E-4</v>
      </c>
      <c r="L705" s="11">
        <f t="shared" si="131"/>
        <v>156.75</v>
      </c>
      <c r="M705" s="3">
        <f t="shared" si="138"/>
        <v>0.55000000000000004</v>
      </c>
      <c r="N705" s="4">
        <f t="shared" si="139"/>
        <v>33</v>
      </c>
      <c r="O705" s="2">
        <v>1.9097222222222222E-3</v>
      </c>
      <c r="P705" s="9">
        <f t="shared" si="132"/>
        <v>783.75</v>
      </c>
      <c r="Q705" s="3">
        <f t="shared" si="140"/>
        <v>2.75</v>
      </c>
      <c r="R705" s="4">
        <f t="shared" si="141"/>
        <v>165</v>
      </c>
      <c r="S705" s="3">
        <f t="shared" si="142"/>
        <v>159</v>
      </c>
      <c r="T705" s="1">
        <v>0.56110000000000004</v>
      </c>
      <c r="U705" s="6">
        <f t="shared" si="133"/>
        <v>159.9135</v>
      </c>
    </row>
    <row r="706" spans="1:21" x14ac:dyDescent="0.35">
      <c r="A706">
        <v>705</v>
      </c>
      <c r="B706" s="5">
        <v>44901</v>
      </c>
      <c r="C706" s="4">
        <f t="shared" si="134"/>
        <v>2022</v>
      </c>
      <c r="D706" s="4">
        <f t="shared" si="135"/>
        <v>12</v>
      </c>
      <c r="E706" s="14">
        <v>44901</v>
      </c>
      <c r="F706" s="4">
        <f t="shared" si="136"/>
        <v>6</v>
      </c>
      <c r="G706">
        <v>102</v>
      </c>
      <c r="H706">
        <v>94</v>
      </c>
      <c r="I706" s="13">
        <f t="shared" si="137"/>
        <v>0.92</v>
      </c>
      <c r="J706">
        <f t="shared" ref="J706:J769" si="143">G706-H706</f>
        <v>8</v>
      </c>
      <c r="K706" s="2">
        <v>3.3564814814814812E-4</v>
      </c>
      <c r="L706" s="11">
        <f t="shared" ref="L706:L769" si="144">H706*M706</f>
        <v>45.433333333333337</v>
      </c>
      <c r="M706" s="3">
        <f t="shared" si="138"/>
        <v>0.48333333333333334</v>
      </c>
      <c r="N706" s="4">
        <f t="shared" si="139"/>
        <v>29</v>
      </c>
      <c r="O706" s="2">
        <v>1.8518518518518519E-3</v>
      </c>
      <c r="P706" s="9">
        <f t="shared" ref="P706:P769" si="145">Q706*H706</f>
        <v>250.66666666666666</v>
      </c>
      <c r="Q706" s="3">
        <f t="shared" si="140"/>
        <v>2.6666666666666665</v>
      </c>
      <c r="R706" s="4">
        <f t="shared" si="141"/>
        <v>160</v>
      </c>
      <c r="S706" s="3">
        <f t="shared" si="142"/>
        <v>59</v>
      </c>
      <c r="T706" s="1">
        <v>0.63729999999999998</v>
      </c>
      <c r="U706" s="6">
        <f t="shared" ref="U706:U769" si="146">T706*H706</f>
        <v>59.906199999999998</v>
      </c>
    </row>
    <row r="707" spans="1:21" x14ac:dyDescent="0.35">
      <c r="A707">
        <v>706</v>
      </c>
      <c r="B707" s="5">
        <v>44902</v>
      </c>
      <c r="C707" s="4">
        <f t="shared" ref="C707:C770" si="147">YEAR(B707)</f>
        <v>2022</v>
      </c>
      <c r="D707" s="4">
        <f t="shared" ref="D707:D770" si="148">MONTH(B707)</f>
        <v>12</v>
      </c>
      <c r="E707" s="14">
        <v>44902</v>
      </c>
      <c r="F707" s="4">
        <f t="shared" ref="F707:F770" si="149">DAY(B707)</f>
        <v>7</v>
      </c>
      <c r="G707">
        <v>335</v>
      </c>
      <c r="H707">
        <v>297</v>
      </c>
      <c r="I707" s="13">
        <f t="shared" ref="I707:I770" si="150">TRUNC(H707/G707,2)</f>
        <v>0.88</v>
      </c>
      <c r="J707">
        <f t="shared" si="143"/>
        <v>38</v>
      </c>
      <c r="K707" s="2">
        <v>4.5138888888888887E-4</v>
      </c>
      <c r="L707" s="11">
        <f t="shared" si="144"/>
        <v>193.05</v>
      </c>
      <c r="M707" s="3">
        <f t="shared" ref="M707:M770" si="151">MINUTE(K707)+SECOND(K707)/60</f>
        <v>0.65</v>
      </c>
      <c r="N707" s="4">
        <f t="shared" ref="N707:N770" si="152">M707*60</f>
        <v>39</v>
      </c>
      <c r="O707" s="2">
        <v>1.7708333333333332E-3</v>
      </c>
      <c r="P707" s="9">
        <f t="shared" si="145"/>
        <v>757.34999999999991</v>
      </c>
      <c r="Q707" s="3">
        <f t="shared" ref="Q707:Q770" si="153">MINUTE(O707)+SECOND(O707)/60</f>
        <v>2.5499999999999998</v>
      </c>
      <c r="R707" s="4">
        <f t="shared" ref="R707:R770" si="154">Q707*60</f>
        <v>153</v>
      </c>
      <c r="S707" s="3">
        <f t="shared" ref="S707:S770" si="155">TRUNC(U707,0)</f>
        <v>129</v>
      </c>
      <c r="T707" s="1">
        <v>0.43640000000000001</v>
      </c>
      <c r="U707" s="6">
        <f t="shared" si="146"/>
        <v>129.61080000000001</v>
      </c>
    </row>
    <row r="708" spans="1:21" x14ac:dyDescent="0.35">
      <c r="A708">
        <v>707</v>
      </c>
      <c r="B708" s="5">
        <v>44903</v>
      </c>
      <c r="C708" s="4">
        <f t="shared" si="147"/>
        <v>2022</v>
      </c>
      <c r="D708" s="4">
        <f t="shared" si="148"/>
        <v>12</v>
      </c>
      <c r="E708" s="14">
        <v>44903</v>
      </c>
      <c r="F708" s="4">
        <f t="shared" si="149"/>
        <v>8</v>
      </c>
      <c r="G708">
        <v>313</v>
      </c>
      <c r="H708">
        <v>291</v>
      </c>
      <c r="I708" s="13">
        <f t="shared" si="150"/>
        <v>0.92</v>
      </c>
      <c r="J708">
        <f t="shared" si="143"/>
        <v>22</v>
      </c>
      <c r="K708" s="2">
        <v>3.0092592592592595E-4</v>
      </c>
      <c r="L708" s="11">
        <f t="shared" si="144"/>
        <v>126.10000000000001</v>
      </c>
      <c r="M708" s="3">
        <f t="shared" si="151"/>
        <v>0.43333333333333335</v>
      </c>
      <c r="N708" s="4">
        <f t="shared" si="152"/>
        <v>26</v>
      </c>
      <c r="O708" s="2">
        <v>1.6782407407407408E-3</v>
      </c>
      <c r="P708" s="9">
        <f t="shared" si="145"/>
        <v>703.25</v>
      </c>
      <c r="Q708" s="3">
        <f t="shared" si="153"/>
        <v>2.4166666666666665</v>
      </c>
      <c r="R708" s="4">
        <f t="shared" si="154"/>
        <v>145</v>
      </c>
      <c r="S708" s="3">
        <f t="shared" si="155"/>
        <v>187</v>
      </c>
      <c r="T708" s="1">
        <v>0.64290000000000003</v>
      </c>
      <c r="U708" s="6">
        <f t="shared" si="146"/>
        <v>187.0839</v>
      </c>
    </row>
    <row r="709" spans="1:21" x14ac:dyDescent="0.35">
      <c r="A709">
        <v>708</v>
      </c>
      <c r="B709" s="5">
        <v>44904</v>
      </c>
      <c r="C709" s="4">
        <f t="shared" si="147"/>
        <v>2022</v>
      </c>
      <c r="D709" s="4">
        <f t="shared" si="148"/>
        <v>12</v>
      </c>
      <c r="E709" s="14">
        <v>44904</v>
      </c>
      <c r="F709" s="4">
        <f t="shared" si="149"/>
        <v>9</v>
      </c>
      <c r="G709">
        <v>251</v>
      </c>
      <c r="H709">
        <v>240</v>
      </c>
      <c r="I709" s="13">
        <f t="shared" si="150"/>
        <v>0.95</v>
      </c>
      <c r="J709">
        <f t="shared" si="143"/>
        <v>11</v>
      </c>
      <c r="K709" s="2">
        <v>2.7777777777777778E-4</v>
      </c>
      <c r="L709" s="11">
        <f t="shared" si="144"/>
        <v>96</v>
      </c>
      <c r="M709" s="3">
        <f t="shared" si="151"/>
        <v>0.4</v>
      </c>
      <c r="N709" s="4">
        <f t="shared" si="152"/>
        <v>24</v>
      </c>
      <c r="O709" s="2">
        <v>1.8749999999999999E-3</v>
      </c>
      <c r="P709" s="9">
        <f t="shared" si="145"/>
        <v>648</v>
      </c>
      <c r="Q709" s="3">
        <f t="shared" si="153"/>
        <v>2.7</v>
      </c>
      <c r="R709" s="4">
        <f t="shared" si="154"/>
        <v>162</v>
      </c>
      <c r="S709" s="3">
        <f t="shared" si="155"/>
        <v>161</v>
      </c>
      <c r="T709" s="1">
        <v>0.67200000000000004</v>
      </c>
      <c r="U709" s="6">
        <f t="shared" si="146"/>
        <v>161.28</v>
      </c>
    </row>
    <row r="710" spans="1:21" x14ac:dyDescent="0.35">
      <c r="A710">
        <v>709</v>
      </c>
      <c r="B710" s="5">
        <v>44905</v>
      </c>
      <c r="C710" s="4">
        <f t="shared" si="147"/>
        <v>2022</v>
      </c>
      <c r="D710" s="4">
        <f t="shared" si="148"/>
        <v>12</v>
      </c>
      <c r="E710" s="14">
        <v>44905</v>
      </c>
      <c r="F710" s="4">
        <f t="shared" si="149"/>
        <v>10</v>
      </c>
      <c r="G710">
        <v>190</v>
      </c>
      <c r="H710">
        <v>176</v>
      </c>
      <c r="I710" s="13">
        <f t="shared" si="150"/>
        <v>0.92</v>
      </c>
      <c r="J710">
        <f t="shared" si="143"/>
        <v>14</v>
      </c>
      <c r="K710" s="2">
        <v>2.7777777777777778E-4</v>
      </c>
      <c r="L710" s="11">
        <f t="shared" si="144"/>
        <v>70.400000000000006</v>
      </c>
      <c r="M710" s="3">
        <f t="shared" si="151"/>
        <v>0.4</v>
      </c>
      <c r="N710" s="4">
        <f t="shared" si="152"/>
        <v>24</v>
      </c>
      <c r="O710" s="2">
        <v>1.7476851851851852E-3</v>
      </c>
      <c r="P710" s="9">
        <f t="shared" si="145"/>
        <v>442.93333333333334</v>
      </c>
      <c r="Q710" s="3">
        <f t="shared" si="153"/>
        <v>2.5166666666666666</v>
      </c>
      <c r="R710" s="4">
        <f t="shared" si="154"/>
        <v>151</v>
      </c>
      <c r="S710" s="3">
        <f t="shared" si="155"/>
        <v>119</v>
      </c>
      <c r="T710" s="1">
        <v>0.67720000000000002</v>
      </c>
      <c r="U710" s="6">
        <f t="shared" si="146"/>
        <v>119.1872</v>
      </c>
    </row>
    <row r="711" spans="1:21" x14ac:dyDescent="0.35">
      <c r="A711">
        <v>710</v>
      </c>
      <c r="B711" s="5">
        <v>44906</v>
      </c>
      <c r="C711" s="4">
        <f t="shared" si="147"/>
        <v>2022</v>
      </c>
      <c r="D711" s="4">
        <f t="shared" si="148"/>
        <v>12</v>
      </c>
      <c r="E711" s="14">
        <v>44906</v>
      </c>
      <c r="F711" s="4">
        <f t="shared" si="149"/>
        <v>11</v>
      </c>
      <c r="G711">
        <v>188</v>
      </c>
      <c r="H711">
        <v>170</v>
      </c>
      <c r="I711" s="13">
        <f t="shared" si="150"/>
        <v>0.9</v>
      </c>
      <c r="J711">
        <f t="shared" si="143"/>
        <v>18</v>
      </c>
      <c r="K711" s="2">
        <v>3.9351851851851852E-4</v>
      </c>
      <c r="L711" s="11">
        <f t="shared" si="144"/>
        <v>96.333333333333329</v>
      </c>
      <c r="M711" s="3">
        <f t="shared" si="151"/>
        <v>0.56666666666666665</v>
      </c>
      <c r="N711" s="4">
        <f t="shared" si="152"/>
        <v>34</v>
      </c>
      <c r="O711" s="2">
        <v>1.9560185185185184E-3</v>
      </c>
      <c r="P711" s="9">
        <f t="shared" si="145"/>
        <v>478.83333333333331</v>
      </c>
      <c r="Q711" s="3">
        <f t="shared" si="153"/>
        <v>2.8166666666666664</v>
      </c>
      <c r="R711" s="4">
        <f t="shared" si="154"/>
        <v>169</v>
      </c>
      <c r="S711" s="3">
        <f t="shared" si="155"/>
        <v>90</v>
      </c>
      <c r="T711" s="1">
        <v>0.5323</v>
      </c>
      <c r="U711" s="6">
        <f t="shared" si="146"/>
        <v>90.491</v>
      </c>
    </row>
    <row r="712" spans="1:21" x14ac:dyDescent="0.35">
      <c r="A712">
        <v>711</v>
      </c>
      <c r="B712" s="5">
        <v>44907</v>
      </c>
      <c r="C712" s="4">
        <f t="shared" si="147"/>
        <v>2022</v>
      </c>
      <c r="D712" s="4">
        <f t="shared" si="148"/>
        <v>12</v>
      </c>
      <c r="E712" s="14">
        <v>44907</v>
      </c>
      <c r="F712" s="4">
        <f t="shared" si="149"/>
        <v>12</v>
      </c>
      <c r="G712">
        <v>166</v>
      </c>
      <c r="H712">
        <v>160</v>
      </c>
      <c r="I712" s="13">
        <f t="shared" si="150"/>
        <v>0.96</v>
      </c>
      <c r="J712">
        <f t="shared" si="143"/>
        <v>6</v>
      </c>
      <c r="K712" s="2">
        <v>1.7361111111111112E-4</v>
      </c>
      <c r="L712" s="11">
        <f t="shared" si="144"/>
        <v>40</v>
      </c>
      <c r="M712" s="3">
        <f t="shared" si="151"/>
        <v>0.25</v>
      </c>
      <c r="N712" s="4">
        <f t="shared" si="152"/>
        <v>15</v>
      </c>
      <c r="O712" s="2">
        <v>1.8518518518518519E-3</v>
      </c>
      <c r="P712" s="9">
        <f t="shared" si="145"/>
        <v>426.66666666666663</v>
      </c>
      <c r="Q712" s="3">
        <f t="shared" si="153"/>
        <v>2.6666666666666665</v>
      </c>
      <c r="R712" s="4">
        <f t="shared" si="154"/>
        <v>160</v>
      </c>
      <c r="S712" s="3">
        <f t="shared" si="155"/>
        <v>130</v>
      </c>
      <c r="T712" s="1">
        <v>0.81820000000000004</v>
      </c>
      <c r="U712" s="6">
        <f t="shared" si="146"/>
        <v>130.91200000000001</v>
      </c>
    </row>
    <row r="713" spans="1:21" x14ac:dyDescent="0.35">
      <c r="A713">
        <v>712</v>
      </c>
      <c r="B713" s="5">
        <v>44908</v>
      </c>
      <c r="C713" s="4">
        <f t="shared" si="147"/>
        <v>2022</v>
      </c>
      <c r="D713" s="4">
        <f t="shared" si="148"/>
        <v>12</v>
      </c>
      <c r="E713" s="14">
        <v>44908</v>
      </c>
      <c r="F713" s="4">
        <f t="shared" si="149"/>
        <v>13</v>
      </c>
      <c r="G713">
        <v>73</v>
      </c>
      <c r="H713">
        <v>68</v>
      </c>
      <c r="I713" s="13">
        <f t="shared" si="150"/>
        <v>0.93</v>
      </c>
      <c r="J713">
        <f t="shared" si="143"/>
        <v>5</v>
      </c>
      <c r="K713" s="2">
        <v>1.7361111111111112E-4</v>
      </c>
      <c r="L713" s="11">
        <f t="shared" si="144"/>
        <v>17</v>
      </c>
      <c r="M713" s="3">
        <f t="shared" si="151"/>
        <v>0.25</v>
      </c>
      <c r="N713" s="4">
        <f t="shared" si="152"/>
        <v>15</v>
      </c>
      <c r="O713" s="2">
        <v>1.5393518518518519E-3</v>
      </c>
      <c r="P713" s="9">
        <f t="shared" si="145"/>
        <v>150.73333333333335</v>
      </c>
      <c r="Q713" s="3">
        <f t="shared" si="153"/>
        <v>2.2166666666666668</v>
      </c>
      <c r="R713" s="4">
        <f t="shared" si="154"/>
        <v>133</v>
      </c>
      <c r="S713" s="3">
        <f t="shared" si="155"/>
        <v>53</v>
      </c>
      <c r="T713" s="1">
        <v>0.78869999999999996</v>
      </c>
      <c r="U713" s="6">
        <f t="shared" si="146"/>
        <v>53.631599999999999</v>
      </c>
    </row>
    <row r="714" spans="1:21" x14ac:dyDescent="0.35">
      <c r="A714">
        <v>713</v>
      </c>
      <c r="B714" s="5">
        <v>44909</v>
      </c>
      <c r="C714" s="4">
        <f t="shared" si="147"/>
        <v>2022</v>
      </c>
      <c r="D714" s="4">
        <f t="shared" si="148"/>
        <v>12</v>
      </c>
      <c r="E714" s="14">
        <v>44909</v>
      </c>
      <c r="F714" s="4">
        <f t="shared" si="149"/>
        <v>14</v>
      </c>
      <c r="G714">
        <v>170</v>
      </c>
      <c r="H714">
        <v>159</v>
      </c>
      <c r="I714" s="13">
        <f t="shared" si="150"/>
        <v>0.93</v>
      </c>
      <c r="J714">
        <f t="shared" si="143"/>
        <v>11</v>
      </c>
      <c r="K714" s="2">
        <v>2.3148148148148149E-4</v>
      </c>
      <c r="L714" s="11">
        <f t="shared" si="144"/>
        <v>53</v>
      </c>
      <c r="M714" s="3">
        <f t="shared" si="151"/>
        <v>0.33333333333333331</v>
      </c>
      <c r="N714" s="4">
        <f t="shared" si="152"/>
        <v>20</v>
      </c>
      <c r="O714" s="2">
        <v>1.8518518518518519E-3</v>
      </c>
      <c r="P714" s="9">
        <f t="shared" si="145"/>
        <v>424</v>
      </c>
      <c r="Q714" s="3">
        <f t="shared" si="153"/>
        <v>2.6666666666666665</v>
      </c>
      <c r="R714" s="4">
        <f t="shared" si="154"/>
        <v>160</v>
      </c>
      <c r="S714" s="3">
        <f t="shared" si="155"/>
        <v>116</v>
      </c>
      <c r="T714" s="1">
        <v>0.73209999999999997</v>
      </c>
      <c r="U714" s="6">
        <f t="shared" si="146"/>
        <v>116.40389999999999</v>
      </c>
    </row>
    <row r="715" spans="1:21" x14ac:dyDescent="0.35">
      <c r="A715">
        <v>714</v>
      </c>
      <c r="B715" s="5">
        <v>44910</v>
      </c>
      <c r="C715" s="4">
        <f t="shared" si="147"/>
        <v>2022</v>
      </c>
      <c r="D715" s="4">
        <f t="shared" si="148"/>
        <v>12</v>
      </c>
      <c r="E715" s="14">
        <v>44910</v>
      </c>
      <c r="F715" s="4">
        <f t="shared" si="149"/>
        <v>15</v>
      </c>
      <c r="G715">
        <v>188</v>
      </c>
      <c r="H715">
        <v>181</v>
      </c>
      <c r="I715" s="13">
        <f t="shared" si="150"/>
        <v>0.96</v>
      </c>
      <c r="J715">
        <f t="shared" si="143"/>
        <v>7</v>
      </c>
      <c r="K715" s="2">
        <v>2.6620370370370372E-4</v>
      </c>
      <c r="L715" s="11">
        <f t="shared" si="144"/>
        <v>69.38333333333334</v>
      </c>
      <c r="M715" s="3">
        <f t="shared" si="151"/>
        <v>0.38333333333333336</v>
      </c>
      <c r="N715" s="4">
        <f t="shared" si="152"/>
        <v>23</v>
      </c>
      <c r="O715" s="2">
        <v>1.8402777777777777E-3</v>
      </c>
      <c r="P715" s="9">
        <f t="shared" si="145"/>
        <v>479.65</v>
      </c>
      <c r="Q715" s="3">
        <f t="shared" si="153"/>
        <v>2.65</v>
      </c>
      <c r="R715" s="4">
        <f t="shared" si="154"/>
        <v>159</v>
      </c>
      <c r="S715" s="3">
        <f t="shared" si="155"/>
        <v>123</v>
      </c>
      <c r="T715" s="1">
        <v>0.68279999999999996</v>
      </c>
      <c r="U715" s="6">
        <f t="shared" si="146"/>
        <v>123.5868</v>
      </c>
    </row>
    <row r="716" spans="1:21" x14ac:dyDescent="0.35">
      <c r="A716">
        <v>715</v>
      </c>
      <c r="B716" s="5">
        <v>44911</v>
      </c>
      <c r="C716" s="4">
        <f t="shared" si="147"/>
        <v>2022</v>
      </c>
      <c r="D716" s="4">
        <f t="shared" si="148"/>
        <v>12</v>
      </c>
      <c r="E716" s="14">
        <v>44911</v>
      </c>
      <c r="F716" s="4">
        <f t="shared" si="149"/>
        <v>16</v>
      </c>
      <c r="G716">
        <v>306</v>
      </c>
      <c r="H716">
        <v>262</v>
      </c>
      <c r="I716" s="13">
        <f t="shared" si="150"/>
        <v>0.85</v>
      </c>
      <c r="J716">
        <f t="shared" si="143"/>
        <v>44</v>
      </c>
      <c r="K716" s="2">
        <v>5.0925925925925921E-4</v>
      </c>
      <c r="L716" s="11">
        <f t="shared" si="144"/>
        <v>192.13333333333333</v>
      </c>
      <c r="M716" s="3">
        <f t="shared" si="151"/>
        <v>0.73333333333333328</v>
      </c>
      <c r="N716" s="4">
        <f t="shared" si="152"/>
        <v>44</v>
      </c>
      <c r="O716" s="2">
        <v>1.9444444444444444E-3</v>
      </c>
      <c r="P716" s="9">
        <f t="shared" si="145"/>
        <v>733.59999999999991</v>
      </c>
      <c r="Q716" s="3">
        <f t="shared" si="153"/>
        <v>2.8</v>
      </c>
      <c r="R716" s="4">
        <f t="shared" si="154"/>
        <v>168</v>
      </c>
      <c r="S716" s="3">
        <f t="shared" si="155"/>
        <v>121</v>
      </c>
      <c r="T716" s="1">
        <v>0.46329999999999999</v>
      </c>
      <c r="U716" s="6">
        <f t="shared" si="146"/>
        <v>121.38459999999999</v>
      </c>
    </row>
    <row r="717" spans="1:21" x14ac:dyDescent="0.35">
      <c r="A717">
        <v>716</v>
      </c>
      <c r="B717" s="5">
        <v>44912</v>
      </c>
      <c r="C717" s="4">
        <f t="shared" si="147"/>
        <v>2022</v>
      </c>
      <c r="D717" s="4">
        <f t="shared" si="148"/>
        <v>12</v>
      </c>
      <c r="E717" s="14">
        <v>44912</v>
      </c>
      <c r="F717" s="4">
        <f t="shared" si="149"/>
        <v>17</v>
      </c>
      <c r="G717">
        <v>201</v>
      </c>
      <c r="H717">
        <v>185</v>
      </c>
      <c r="I717" s="13">
        <f t="shared" si="150"/>
        <v>0.92</v>
      </c>
      <c r="J717">
        <f t="shared" si="143"/>
        <v>16</v>
      </c>
      <c r="K717" s="2">
        <v>2.6620370370370372E-4</v>
      </c>
      <c r="L717" s="11">
        <f t="shared" si="144"/>
        <v>70.916666666666671</v>
      </c>
      <c r="M717" s="3">
        <f t="shared" si="151"/>
        <v>0.38333333333333336</v>
      </c>
      <c r="N717" s="4">
        <f t="shared" si="152"/>
        <v>23</v>
      </c>
      <c r="O717" s="2">
        <v>1.8287037037037037E-3</v>
      </c>
      <c r="P717" s="9">
        <f t="shared" si="145"/>
        <v>487.16666666666669</v>
      </c>
      <c r="Q717" s="3">
        <f t="shared" si="153"/>
        <v>2.6333333333333333</v>
      </c>
      <c r="R717" s="4">
        <f t="shared" si="154"/>
        <v>158</v>
      </c>
      <c r="S717" s="3">
        <f t="shared" si="155"/>
        <v>124</v>
      </c>
      <c r="T717" s="1">
        <v>0.6734</v>
      </c>
      <c r="U717" s="6">
        <f t="shared" si="146"/>
        <v>124.57899999999999</v>
      </c>
    </row>
    <row r="718" spans="1:21" x14ac:dyDescent="0.35">
      <c r="A718">
        <v>717</v>
      </c>
      <c r="B718" s="5">
        <v>44913</v>
      </c>
      <c r="C718" s="4">
        <f t="shared" si="147"/>
        <v>2022</v>
      </c>
      <c r="D718" s="4">
        <f t="shared" si="148"/>
        <v>12</v>
      </c>
      <c r="E718" s="14">
        <v>44913</v>
      </c>
      <c r="F718" s="4">
        <f t="shared" si="149"/>
        <v>18</v>
      </c>
      <c r="G718">
        <v>188</v>
      </c>
      <c r="H718">
        <v>184</v>
      </c>
      <c r="I718" s="13">
        <f t="shared" si="150"/>
        <v>0.97</v>
      </c>
      <c r="J718">
        <f t="shared" si="143"/>
        <v>4</v>
      </c>
      <c r="K718" s="2">
        <v>1.9675925925925926E-4</v>
      </c>
      <c r="L718" s="11">
        <f t="shared" si="144"/>
        <v>52.133333333333333</v>
      </c>
      <c r="M718" s="3">
        <f t="shared" si="151"/>
        <v>0.28333333333333333</v>
      </c>
      <c r="N718" s="4">
        <f t="shared" si="152"/>
        <v>17</v>
      </c>
      <c r="O718" s="2">
        <v>1.8055555555555555E-3</v>
      </c>
      <c r="P718" s="9">
        <f t="shared" si="145"/>
        <v>478.40000000000003</v>
      </c>
      <c r="Q718" s="3">
        <f t="shared" si="153"/>
        <v>2.6</v>
      </c>
      <c r="R718" s="4">
        <f t="shared" si="154"/>
        <v>156</v>
      </c>
      <c r="S718" s="3">
        <f t="shared" si="155"/>
        <v>145</v>
      </c>
      <c r="T718" s="1">
        <v>0.79259999999999997</v>
      </c>
      <c r="U718" s="6">
        <f t="shared" si="146"/>
        <v>145.83840000000001</v>
      </c>
    </row>
    <row r="719" spans="1:21" x14ac:dyDescent="0.35">
      <c r="A719">
        <v>718</v>
      </c>
      <c r="B719" s="5">
        <v>44914</v>
      </c>
      <c r="C719" s="4">
        <f t="shared" si="147"/>
        <v>2022</v>
      </c>
      <c r="D719" s="4">
        <f t="shared" si="148"/>
        <v>12</v>
      </c>
      <c r="E719" s="14">
        <v>44914</v>
      </c>
      <c r="F719" s="4">
        <f t="shared" si="149"/>
        <v>19</v>
      </c>
      <c r="G719">
        <v>148</v>
      </c>
      <c r="H719">
        <v>131</v>
      </c>
      <c r="I719" s="13">
        <f t="shared" si="150"/>
        <v>0.88</v>
      </c>
      <c r="J719">
        <f t="shared" si="143"/>
        <v>17</v>
      </c>
      <c r="K719" s="2">
        <v>3.5879629629629629E-4</v>
      </c>
      <c r="L719" s="11">
        <f t="shared" si="144"/>
        <v>67.683333333333337</v>
      </c>
      <c r="M719" s="3">
        <f t="shared" si="151"/>
        <v>0.51666666666666672</v>
      </c>
      <c r="N719" s="4">
        <f t="shared" si="152"/>
        <v>31.000000000000004</v>
      </c>
      <c r="O719" s="2">
        <v>1.9791666666666668E-3</v>
      </c>
      <c r="P719" s="9">
        <f t="shared" si="145"/>
        <v>373.35</v>
      </c>
      <c r="Q719" s="3">
        <f t="shared" si="153"/>
        <v>2.85</v>
      </c>
      <c r="R719" s="4">
        <f t="shared" si="154"/>
        <v>171</v>
      </c>
      <c r="S719" s="3">
        <f t="shared" si="155"/>
        <v>69</v>
      </c>
      <c r="T719" s="1">
        <v>0.53059999999999996</v>
      </c>
      <c r="U719" s="6">
        <f t="shared" si="146"/>
        <v>69.508600000000001</v>
      </c>
    </row>
    <row r="720" spans="1:21" x14ac:dyDescent="0.35">
      <c r="A720">
        <v>719</v>
      </c>
      <c r="B720" s="5">
        <v>44915</v>
      </c>
      <c r="C720" s="4">
        <f t="shared" si="147"/>
        <v>2022</v>
      </c>
      <c r="D720" s="4">
        <f t="shared" si="148"/>
        <v>12</v>
      </c>
      <c r="E720" s="14">
        <v>44915</v>
      </c>
      <c r="F720" s="4">
        <f t="shared" si="149"/>
        <v>20</v>
      </c>
      <c r="G720">
        <v>21</v>
      </c>
      <c r="H720">
        <v>17</v>
      </c>
      <c r="I720" s="13">
        <f t="shared" si="150"/>
        <v>0.8</v>
      </c>
      <c r="J720">
        <f t="shared" si="143"/>
        <v>4</v>
      </c>
      <c r="K720" s="2">
        <v>6.018518518518519E-4</v>
      </c>
      <c r="L720" s="11">
        <f t="shared" si="144"/>
        <v>14.733333333333334</v>
      </c>
      <c r="M720" s="3">
        <f t="shared" si="151"/>
        <v>0.8666666666666667</v>
      </c>
      <c r="N720" s="4">
        <f t="shared" si="152"/>
        <v>52</v>
      </c>
      <c r="O720" s="2">
        <v>2.4189814814814816E-3</v>
      </c>
      <c r="P720" s="9">
        <f t="shared" si="145"/>
        <v>59.216666666666669</v>
      </c>
      <c r="Q720" s="3">
        <f t="shared" si="153"/>
        <v>3.4833333333333334</v>
      </c>
      <c r="R720" s="4">
        <f t="shared" si="154"/>
        <v>209</v>
      </c>
      <c r="S720" s="3">
        <f t="shared" si="155"/>
        <v>8</v>
      </c>
      <c r="T720" s="1">
        <v>0.52380000000000004</v>
      </c>
      <c r="U720" s="6">
        <f t="shared" si="146"/>
        <v>8.9046000000000003</v>
      </c>
    </row>
    <row r="721" spans="1:21" x14ac:dyDescent="0.35">
      <c r="A721">
        <v>720</v>
      </c>
      <c r="B721" s="5">
        <v>44916</v>
      </c>
      <c r="C721" s="4">
        <f t="shared" si="147"/>
        <v>2022</v>
      </c>
      <c r="D721" s="4">
        <f t="shared" si="148"/>
        <v>12</v>
      </c>
      <c r="E721" s="14">
        <v>44916</v>
      </c>
      <c r="F721" s="4">
        <f t="shared" si="149"/>
        <v>21</v>
      </c>
      <c r="G721">
        <v>148</v>
      </c>
      <c r="H721">
        <v>129</v>
      </c>
      <c r="I721" s="13">
        <f t="shared" si="150"/>
        <v>0.87</v>
      </c>
      <c r="J721">
        <f t="shared" si="143"/>
        <v>19</v>
      </c>
      <c r="K721" s="2">
        <v>4.6296296296296298E-4</v>
      </c>
      <c r="L721" s="11">
        <f t="shared" si="144"/>
        <v>86</v>
      </c>
      <c r="M721" s="3">
        <f t="shared" si="151"/>
        <v>0.66666666666666663</v>
      </c>
      <c r="N721" s="4">
        <f t="shared" si="152"/>
        <v>40</v>
      </c>
      <c r="O721" s="2">
        <v>2.0949074074074073E-3</v>
      </c>
      <c r="P721" s="9">
        <f t="shared" si="145"/>
        <v>389.15</v>
      </c>
      <c r="Q721" s="3">
        <f t="shared" si="153"/>
        <v>3.0166666666666666</v>
      </c>
      <c r="R721" s="4">
        <f t="shared" si="154"/>
        <v>181</v>
      </c>
      <c r="S721" s="3">
        <f t="shared" si="155"/>
        <v>58</v>
      </c>
      <c r="T721" s="1">
        <v>0.45519999999999999</v>
      </c>
      <c r="U721" s="6">
        <f t="shared" si="146"/>
        <v>58.720799999999997</v>
      </c>
    </row>
    <row r="722" spans="1:21" x14ac:dyDescent="0.35">
      <c r="A722">
        <v>721</v>
      </c>
      <c r="B722" s="5">
        <v>44917</v>
      </c>
      <c r="C722" s="4">
        <f t="shared" si="147"/>
        <v>2022</v>
      </c>
      <c r="D722" s="4">
        <f t="shared" si="148"/>
        <v>12</v>
      </c>
      <c r="E722" s="14">
        <v>44917</v>
      </c>
      <c r="F722" s="4">
        <f t="shared" si="149"/>
        <v>22</v>
      </c>
      <c r="G722">
        <v>167</v>
      </c>
      <c r="H722">
        <v>154</v>
      </c>
      <c r="I722" s="13">
        <f t="shared" si="150"/>
        <v>0.92</v>
      </c>
      <c r="J722">
        <f t="shared" si="143"/>
        <v>13</v>
      </c>
      <c r="K722" s="2">
        <v>1.9675925925925926E-4</v>
      </c>
      <c r="L722" s="11">
        <f t="shared" si="144"/>
        <v>43.633333333333333</v>
      </c>
      <c r="M722" s="3">
        <f t="shared" si="151"/>
        <v>0.28333333333333333</v>
      </c>
      <c r="N722" s="4">
        <f t="shared" si="152"/>
        <v>17</v>
      </c>
      <c r="O722" s="2">
        <v>1.8865740740740742E-3</v>
      </c>
      <c r="P722" s="9">
        <f t="shared" si="145"/>
        <v>418.36666666666667</v>
      </c>
      <c r="Q722" s="3">
        <f t="shared" si="153"/>
        <v>2.7166666666666668</v>
      </c>
      <c r="R722" s="4">
        <f t="shared" si="154"/>
        <v>163</v>
      </c>
      <c r="S722" s="3">
        <f t="shared" si="155"/>
        <v>113</v>
      </c>
      <c r="T722" s="1">
        <v>0.7349</v>
      </c>
      <c r="U722" s="6">
        <f t="shared" si="146"/>
        <v>113.1746</v>
      </c>
    </row>
    <row r="723" spans="1:21" x14ac:dyDescent="0.35">
      <c r="A723">
        <v>722</v>
      </c>
      <c r="B723" s="5">
        <v>44918</v>
      </c>
      <c r="C723" s="4">
        <f t="shared" si="147"/>
        <v>2022</v>
      </c>
      <c r="D723" s="4">
        <f t="shared" si="148"/>
        <v>12</v>
      </c>
      <c r="E723" s="14">
        <v>44918</v>
      </c>
      <c r="F723" s="4">
        <f t="shared" si="149"/>
        <v>23</v>
      </c>
      <c r="G723">
        <v>169</v>
      </c>
      <c r="H723">
        <v>158</v>
      </c>
      <c r="I723" s="13">
        <f t="shared" si="150"/>
        <v>0.93</v>
      </c>
      <c r="J723">
        <f t="shared" si="143"/>
        <v>11</v>
      </c>
      <c r="K723" s="2">
        <v>1.8518518518518518E-4</v>
      </c>
      <c r="L723" s="11">
        <f t="shared" si="144"/>
        <v>42.133333333333333</v>
      </c>
      <c r="M723" s="3">
        <f t="shared" si="151"/>
        <v>0.26666666666666666</v>
      </c>
      <c r="N723" s="4">
        <f t="shared" si="152"/>
        <v>16</v>
      </c>
      <c r="O723" s="2">
        <v>1.8055555555555555E-3</v>
      </c>
      <c r="P723" s="9">
        <f t="shared" si="145"/>
        <v>410.8</v>
      </c>
      <c r="Q723" s="3">
        <f t="shared" si="153"/>
        <v>2.6</v>
      </c>
      <c r="R723" s="4">
        <f t="shared" si="154"/>
        <v>156</v>
      </c>
      <c r="S723" s="3">
        <f t="shared" si="155"/>
        <v>118</v>
      </c>
      <c r="T723" s="1">
        <v>0.75</v>
      </c>
      <c r="U723" s="6">
        <f t="shared" si="146"/>
        <v>118.5</v>
      </c>
    </row>
    <row r="724" spans="1:21" x14ac:dyDescent="0.35">
      <c r="A724">
        <v>723</v>
      </c>
      <c r="B724" s="5">
        <v>44919</v>
      </c>
      <c r="C724" s="4">
        <f t="shared" si="147"/>
        <v>2022</v>
      </c>
      <c r="D724" s="4">
        <f t="shared" si="148"/>
        <v>12</v>
      </c>
      <c r="E724" s="14">
        <v>44919</v>
      </c>
      <c r="F724" s="4">
        <f t="shared" si="149"/>
        <v>24</v>
      </c>
      <c r="G724">
        <v>175</v>
      </c>
      <c r="H724">
        <v>163</v>
      </c>
      <c r="I724" s="13">
        <f t="shared" si="150"/>
        <v>0.93</v>
      </c>
      <c r="J724">
        <f t="shared" si="143"/>
        <v>12</v>
      </c>
      <c r="K724" s="2">
        <v>2.5462962962962961E-4</v>
      </c>
      <c r="L724" s="11">
        <f t="shared" si="144"/>
        <v>59.766666666666666</v>
      </c>
      <c r="M724" s="3">
        <f t="shared" si="151"/>
        <v>0.36666666666666664</v>
      </c>
      <c r="N724" s="4">
        <f t="shared" si="152"/>
        <v>22</v>
      </c>
      <c r="O724" s="2">
        <v>1.8171296296296297E-3</v>
      </c>
      <c r="P724" s="9">
        <f t="shared" si="145"/>
        <v>426.51666666666665</v>
      </c>
      <c r="Q724" s="3">
        <f t="shared" si="153"/>
        <v>2.6166666666666667</v>
      </c>
      <c r="R724" s="4">
        <f t="shared" si="154"/>
        <v>157</v>
      </c>
      <c r="S724" s="3">
        <f t="shared" si="155"/>
        <v>115</v>
      </c>
      <c r="T724" s="1">
        <v>0.71099999999999997</v>
      </c>
      <c r="U724" s="6">
        <f t="shared" si="146"/>
        <v>115.893</v>
      </c>
    </row>
    <row r="725" spans="1:21" x14ac:dyDescent="0.35">
      <c r="A725">
        <v>724</v>
      </c>
      <c r="B725" s="5">
        <v>44920</v>
      </c>
      <c r="C725" s="4">
        <f t="shared" si="147"/>
        <v>2022</v>
      </c>
      <c r="D725" s="4">
        <f t="shared" si="148"/>
        <v>12</v>
      </c>
      <c r="E725" s="14">
        <v>44920</v>
      </c>
      <c r="F725" s="4">
        <f t="shared" si="149"/>
        <v>25</v>
      </c>
      <c r="G725">
        <v>193</v>
      </c>
      <c r="H725">
        <v>183</v>
      </c>
      <c r="I725" s="13">
        <f t="shared" si="150"/>
        <v>0.94</v>
      </c>
      <c r="J725">
        <f t="shared" si="143"/>
        <v>10</v>
      </c>
      <c r="K725" s="2">
        <v>1.8518518518518518E-4</v>
      </c>
      <c r="L725" s="11">
        <f t="shared" si="144"/>
        <v>48.8</v>
      </c>
      <c r="M725" s="3">
        <f t="shared" si="151"/>
        <v>0.26666666666666666</v>
      </c>
      <c r="N725" s="4">
        <f t="shared" si="152"/>
        <v>16</v>
      </c>
      <c r="O725" s="2">
        <v>1.9560185185185184E-3</v>
      </c>
      <c r="P725" s="9">
        <f t="shared" si="145"/>
        <v>515.44999999999993</v>
      </c>
      <c r="Q725" s="3">
        <f t="shared" si="153"/>
        <v>2.8166666666666664</v>
      </c>
      <c r="R725" s="4">
        <f t="shared" si="154"/>
        <v>169</v>
      </c>
      <c r="S725" s="3">
        <f t="shared" si="155"/>
        <v>146</v>
      </c>
      <c r="T725" s="1">
        <v>0.80210000000000004</v>
      </c>
      <c r="U725" s="6">
        <f t="shared" si="146"/>
        <v>146.7843</v>
      </c>
    </row>
    <row r="726" spans="1:21" x14ac:dyDescent="0.35">
      <c r="A726">
        <v>725</v>
      </c>
      <c r="B726" s="5">
        <v>44921</v>
      </c>
      <c r="C726" s="4">
        <f t="shared" si="147"/>
        <v>2022</v>
      </c>
      <c r="D726" s="4">
        <f t="shared" si="148"/>
        <v>12</v>
      </c>
      <c r="E726" s="14">
        <v>44921</v>
      </c>
      <c r="F726" s="4">
        <f t="shared" si="149"/>
        <v>26</v>
      </c>
      <c r="G726">
        <v>154</v>
      </c>
      <c r="H726">
        <v>144</v>
      </c>
      <c r="I726" s="13">
        <f t="shared" si="150"/>
        <v>0.93</v>
      </c>
      <c r="J726">
        <f t="shared" si="143"/>
        <v>10</v>
      </c>
      <c r="K726" s="2">
        <v>2.3148148148148149E-4</v>
      </c>
      <c r="L726" s="11">
        <f t="shared" si="144"/>
        <v>48</v>
      </c>
      <c r="M726" s="3">
        <f t="shared" si="151"/>
        <v>0.33333333333333331</v>
      </c>
      <c r="N726" s="4">
        <f t="shared" si="152"/>
        <v>20</v>
      </c>
      <c r="O726" s="2">
        <v>1.8634259259259259E-3</v>
      </c>
      <c r="P726" s="9">
        <f t="shared" si="145"/>
        <v>386.40000000000003</v>
      </c>
      <c r="Q726" s="3">
        <f t="shared" si="153"/>
        <v>2.6833333333333336</v>
      </c>
      <c r="R726" s="4">
        <f t="shared" si="154"/>
        <v>161</v>
      </c>
      <c r="S726" s="3">
        <f t="shared" si="155"/>
        <v>105</v>
      </c>
      <c r="T726" s="1">
        <v>0.73509999999999998</v>
      </c>
      <c r="U726" s="6">
        <f t="shared" si="146"/>
        <v>105.8544</v>
      </c>
    </row>
    <row r="727" spans="1:21" x14ac:dyDescent="0.35">
      <c r="A727">
        <v>726</v>
      </c>
      <c r="B727" s="5">
        <v>44922</v>
      </c>
      <c r="C727" s="4">
        <f t="shared" si="147"/>
        <v>2022</v>
      </c>
      <c r="D727" s="4">
        <f t="shared" si="148"/>
        <v>12</v>
      </c>
      <c r="E727" s="14">
        <v>44922</v>
      </c>
      <c r="F727" s="4">
        <f t="shared" si="149"/>
        <v>27</v>
      </c>
      <c r="G727">
        <v>35</v>
      </c>
      <c r="H727">
        <v>34</v>
      </c>
      <c r="I727" s="13">
        <f t="shared" si="150"/>
        <v>0.97</v>
      </c>
      <c r="J727">
        <f t="shared" si="143"/>
        <v>1</v>
      </c>
      <c r="K727" s="2">
        <v>1.6203703703703703E-4</v>
      </c>
      <c r="L727" s="11">
        <f t="shared" si="144"/>
        <v>7.9333333333333336</v>
      </c>
      <c r="M727" s="3">
        <f t="shared" si="151"/>
        <v>0.23333333333333334</v>
      </c>
      <c r="N727" s="4">
        <f t="shared" si="152"/>
        <v>14</v>
      </c>
      <c r="O727" s="2">
        <v>2.1527777777777778E-3</v>
      </c>
      <c r="P727" s="9">
        <f t="shared" si="145"/>
        <v>105.4</v>
      </c>
      <c r="Q727" s="3">
        <f t="shared" si="153"/>
        <v>3.1</v>
      </c>
      <c r="R727" s="4">
        <f t="shared" si="154"/>
        <v>186</v>
      </c>
      <c r="S727" s="3">
        <f t="shared" si="155"/>
        <v>26</v>
      </c>
      <c r="T727" s="1">
        <v>0.77139999999999997</v>
      </c>
      <c r="U727" s="6">
        <f t="shared" si="146"/>
        <v>26.227599999999999</v>
      </c>
    </row>
    <row r="728" spans="1:21" x14ac:dyDescent="0.35">
      <c r="A728">
        <v>727</v>
      </c>
      <c r="B728" s="5">
        <v>44923</v>
      </c>
      <c r="C728" s="4">
        <f t="shared" si="147"/>
        <v>2022</v>
      </c>
      <c r="D728" s="4">
        <f t="shared" si="148"/>
        <v>12</v>
      </c>
      <c r="E728" s="14">
        <v>44923</v>
      </c>
      <c r="F728" s="4">
        <f t="shared" si="149"/>
        <v>28</v>
      </c>
      <c r="G728">
        <v>172</v>
      </c>
      <c r="H728">
        <v>161</v>
      </c>
      <c r="I728" s="13">
        <f t="shared" si="150"/>
        <v>0.93</v>
      </c>
      <c r="J728">
        <f t="shared" si="143"/>
        <v>11</v>
      </c>
      <c r="K728" s="2">
        <v>2.3148148148148149E-4</v>
      </c>
      <c r="L728" s="11">
        <f t="shared" si="144"/>
        <v>53.666666666666664</v>
      </c>
      <c r="M728" s="3">
        <f t="shared" si="151"/>
        <v>0.33333333333333331</v>
      </c>
      <c r="N728" s="4">
        <f t="shared" si="152"/>
        <v>20</v>
      </c>
      <c r="O728" s="2">
        <v>1.9444444444444444E-3</v>
      </c>
      <c r="P728" s="9">
        <f t="shared" si="145"/>
        <v>450.79999999999995</v>
      </c>
      <c r="Q728" s="3">
        <f t="shared" si="153"/>
        <v>2.8</v>
      </c>
      <c r="R728" s="4">
        <f t="shared" si="154"/>
        <v>168</v>
      </c>
      <c r="S728" s="3">
        <f t="shared" si="155"/>
        <v>116</v>
      </c>
      <c r="T728" s="1">
        <v>0.72089999999999999</v>
      </c>
      <c r="U728" s="6">
        <f t="shared" si="146"/>
        <v>116.06489999999999</v>
      </c>
    </row>
    <row r="729" spans="1:21" x14ac:dyDescent="0.35">
      <c r="A729">
        <v>728</v>
      </c>
      <c r="B729" s="5">
        <v>44924</v>
      </c>
      <c r="C729" s="4">
        <f t="shared" si="147"/>
        <v>2022</v>
      </c>
      <c r="D729" s="4">
        <f t="shared" si="148"/>
        <v>12</v>
      </c>
      <c r="E729" s="14">
        <v>44924</v>
      </c>
      <c r="F729" s="4">
        <f t="shared" si="149"/>
        <v>29</v>
      </c>
      <c r="G729">
        <v>195</v>
      </c>
      <c r="H729">
        <v>182</v>
      </c>
      <c r="I729" s="13">
        <f t="shared" si="150"/>
        <v>0.93</v>
      </c>
      <c r="J729">
        <f t="shared" si="143"/>
        <v>13</v>
      </c>
      <c r="K729" s="2">
        <v>2.7777777777777778E-4</v>
      </c>
      <c r="L729" s="11">
        <f t="shared" si="144"/>
        <v>72.8</v>
      </c>
      <c r="M729" s="3">
        <f t="shared" si="151"/>
        <v>0.4</v>
      </c>
      <c r="N729" s="4">
        <f t="shared" si="152"/>
        <v>24</v>
      </c>
      <c r="O729" s="2">
        <v>1.9791666666666668E-3</v>
      </c>
      <c r="P729" s="9">
        <f t="shared" si="145"/>
        <v>518.70000000000005</v>
      </c>
      <c r="Q729" s="3">
        <f t="shared" si="153"/>
        <v>2.85</v>
      </c>
      <c r="R729" s="4">
        <f t="shared" si="154"/>
        <v>171</v>
      </c>
      <c r="S729" s="3">
        <f t="shared" si="155"/>
        <v>121</v>
      </c>
      <c r="T729" s="1">
        <v>0.66839999999999999</v>
      </c>
      <c r="U729" s="6">
        <f t="shared" si="146"/>
        <v>121.64879999999999</v>
      </c>
    </row>
    <row r="730" spans="1:21" x14ac:dyDescent="0.35">
      <c r="A730">
        <v>729</v>
      </c>
      <c r="B730" s="5">
        <v>44925</v>
      </c>
      <c r="C730" s="4">
        <f t="shared" si="147"/>
        <v>2022</v>
      </c>
      <c r="D730" s="4">
        <f t="shared" si="148"/>
        <v>12</v>
      </c>
      <c r="E730" s="14">
        <v>44925</v>
      </c>
      <c r="F730" s="4">
        <f t="shared" si="149"/>
        <v>30</v>
      </c>
      <c r="G730">
        <v>163</v>
      </c>
      <c r="H730">
        <v>157</v>
      </c>
      <c r="I730" s="13">
        <f t="shared" si="150"/>
        <v>0.96</v>
      </c>
      <c r="J730">
        <f t="shared" si="143"/>
        <v>6</v>
      </c>
      <c r="K730" s="2">
        <v>1.9675925925925926E-4</v>
      </c>
      <c r="L730" s="11">
        <f t="shared" si="144"/>
        <v>44.483333333333334</v>
      </c>
      <c r="M730" s="3">
        <f t="shared" si="151"/>
        <v>0.28333333333333333</v>
      </c>
      <c r="N730" s="4">
        <f t="shared" si="152"/>
        <v>17</v>
      </c>
      <c r="O730" s="2">
        <v>1.9212962962962964E-3</v>
      </c>
      <c r="P730" s="9">
        <f t="shared" si="145"/>
        <v>434.36666666666667</v>
      </c>
      <c r="Q730" s="3">
        <f t="shared" si="153"/>
        <v>2.7666666666666666</v>
      </c>
      <c r="R730" s="4">
        <f t="shared" si="154"/>
        <v>166</v>
      </c>
      <c r="S730" s="3">
        <f t="shared" si="155"/>
        <v>129</v>
      </c>
      <c r="T730" s="1">
        <v>0.82210000000000005</v>
      </c>
      <c r="U730" s="6">
        <f t="shared" si="146"/>
        <v>129.06970000000001</v>
      </c>
    </row>
    <row r="731" spans="1:21" x14ac:dyDescent="0.35">
      <c r="A731">
        <v>730</v>
      </c>
      <c r="B731" s="5">
        <v>44926</v>
      </c>
      <c r="C731" s="4">
        <f t="shared" si="147"/>
        <v>2022</v>
      </c>
      <c r="D731" s="4">
        <f t="shared" si="148"/>
        <v>12</v>
      </c>
      <c r="E731" s="14">
        <v>44926</v>
      </c>
      <c r="F731" s="4">
        <f t="shared" si="149"/>
        <v>31</v>
      </c>
      <c r="G731">
        <v>134</v>
      </c>
      <c r="H731">
        <v>126</v>
      </c>
      <c r="I731" s="13">
        <f t="shared" si="150"/>
        <v>0.94</v>
      </c>
      <c r="J731">
        <f t="shared" si="143"/>
        <v>8</v>
      </c>
      <c r="K731" s="2">
        <v>3.4722222222222224E-4</v>
      </c>
      <c r="L731" s="11">
        <f t="shared" si="144"/>
        <v>63</v>
      </c>
      <c r="M731" s="3">
        <f t="shared" si="151"/>
        <v>0.5</v>
      </c>
      <c r="N731" s="4">
        <f t="shared" si="152"/>
        <v>30</v>
      </c>
      <c r="O731" s="2">
        <v>2.0601851851851853E-3</v>
      </c>
      <c r="P731" s="9">
        <f t="shared" si="145"/>
        <v>373.8</v>
      </c>
      <c r="Q731" s="3">
        <f t="shared" si="153"/>
        <v>2.9666666666666668</v>
      </c>
      <c r="R731" s="4">
        <f t="shared" si="154"/>
        <v>178</v>
      </c>
      <c r="S731" s="3">
        <f t="shared" si="155"/>
        <v>80</v>
      </c>
      <c r="T731" s="1">
        <v>0.63570000000000004</v>
      </c>
      <c r="U731" s="6">
        <f t="shared" si="146"/>
        <v>80.098200000000006</v>
      </c>
    </row>
    <row r="732" spans="1:21" x14ac:dyDescent="0.35">
      <c r="A732">
        <v>731</v>
      </c>
      <c r="B732" s="5">
        <v>44927</v>
      </c>
      <c r="C732" s="4">
        <f t="shared" si="147"/>
        <v>2023</v>
      </c>
      <c r="D732" s="4">
        <f t="shared" si="148"/>
        <v>1</v>
      </c>
      <c r="E732" s="14">
        <v>44927</v>
      </c>
      <c r="F732" s="4">
        <f t="shared" si="149"/>
        <v>1</v>
      </c>
      <c r="G732">
        <v>158</v>
      </c>
      <c r="H732">
        <v>142</v>
      </c>
      <c r="I732" s="13">
        <f t="shared" si="150"/>
        <v>0.89</v>
      </c>
      <c r="J732">
        <f t="shared" si="143"/>
        <v>16</v>
      </c>
      <c r="K732" s="2">
        <v>2.8935185185185184E-4</v>
      </c>
      <c r="L732" s="11">
        <f t="shared" si="144"/>
        <v>59.166666666666671</v>
      </c>
      <c r="M732" s="3">
        <f t="shared" si="151"/>
        <v>0.41666666666666669</v>
      </c>
      <c r="N732" s="4">
        <f t="shared" si="152"/>
        <v>25</v>
      </c>
      <c r="O732" s="2">
        <v>1.9097222222222222E-3</v>
      </c>
      <c r="P732" s="9">
        <f t="shared" si="145"/>
        <v>390.5</v>
      </c>
      <c r="Q732" s="3">
        <f t="shared" si="153"/>
        <v>2.75</v>
      </c>
      <c r="R732" s="4">
        <f t="shared" si="154"/>
        <v>165</v>
      </c>
      <c r="S732" s="3">
        <f t="shared" si="155"/>
        <v>84</v>
      </c>
      <c r="T732" s="1">
        <v>0.59350000000000003</v>
      </c>
      <c r="U732" s="6">
        <f t="shared" si="146"/>
        <v>84.277000000000001</v>
      </c>
    </row>
    <row r="733" spans="1:21" x14ac:dyDescent="0.35">
      <c r="A733">
        <v>732</v>
      </c>
      <c r="B733" s="5">
        <v>44928</v>
      </c>
      <c r="C733" s="4">
        <f t="shared" si="147"/>
        <v>2023</v>
      </c>
      <c r="D733" s="4">
        <f t="shared" si="148"/>
        <v>1</v>
      </c>
      <c r="E733" s="14">
        <v>44928</v>
      </c>
      <c r="F733" s="4">
        <f t="shared" si="149"/>
        <v>2</v>
      </c>
      <c r="G733">
        <v>161</v>
      </c>
      <c r="H733">
        <v>144</v>
      </c>
      <c r="I733" s="13">
        <f t="shared" si="150"/>
        <v>0.89</v>
      </c>
      <c r="J733">
        <f t="shared" si="143"/>
        <v>17</v>
      </c>
      <c r="K733" s="2">
        <v>3.9351851851851852E-4</v>
      </c>
      <c r="L733" s="11">
        <f t="shared" si="144"/>
        <v>81.599999999999994</v>
      </c>
      <c r="M733" s="3">
        <f t="shared" si="151"/>
        <v>0.56666666666666665</v>
      </c>
      <c r="N733" s="4">
        <f t="shared" si="152"/>
        <v>34</v>
      </c>
      <c r="O733" s="2">
        <v>1.9560185185185184E-3</v>
      </c>
      <c r="P733" s="9">
        <f t="shared" si="145"/>
        <v>405.59999999999997</v>
      </c>
      <c r="Q733" s="3">
        <f t="shared" si="153"/>
        <v>2.8166666666666664</v>
      </c>
      <c r="R733" s="4">
        <f t="shared" si="154"/>
        <v>169</v>
      </c>
      <c r="S733" s="3">
        <f t="shared" si="155"/>
        <v>76</v>
      </c>
      <c r="T733" s="1">
        <v>0.53129999999999999</v>
      </c>
      <c r="U733" s="6">
        <f t="shared" si="146"/>
        <v>76.507199999999997</v>
      </c>
    </row>
    <row r="734" spans="1:21" x14ac:dyDescent="0.35">
      <c r="A734">
        <v>733</v>
      </c>
      <c r="B734" s="5">
        <v>44929</v>
      </c>
      <c r="C734" s="4">
        <f t="shared" si="147"/>
        <v>2023</v>
      </c>
      <c r="D734" s="4">
        <f t="shared" si="148"/>
        <v>1</v>
      </c>
      <c r="E734" s="14">
        <v>44929</v>
      </c>
      <c r="F734" s="4">
        <f t="shared" si="149"/>
        <v>3</v>
      </c>
      <c r="G734">
        <v>36</v>
      </c>
      <c r="H734">
        <v>34</v>
      </c>
      <c r="I734" s="13">
        <f t="shared" si="150"/>
        <v>0.94</v>
      </c>
      <c r="J734">
        <f t="shared" si="143"/>
        <v>2</v>
      </c>
      <c r="K734" s="2">
        <v>2.3148148148148149E-4</v>
      </c>
      <c r="L734" s="11">
        <f t="shared" si="144"/>
        <v>11.333333333333332</v>
      </c>
      <c r="M734" s="3">
        <f t="shared" si="151"/>
        <v>0.33333333333333331</v>
      </c>
      <c r="N734" s="4">
        <f t="shared" si="152"/>
        <v>20</v>
      </c>
      <c r="O734" s="2">
        <v>1.4467592592592592E-3</v>
      </c>
      <c r="P734" s="9">
        <f t="shared" si="145"/>
        <v>70.833333333333343</v>
      </c>
      <c r="Q734" s="3">
        <f t="shared" si="153"/>
        <v>2.0833333333333335</v>
      </c>
      <c r="R734" s="4">
        <f t="shared" si="154"/>
        <v>125.00000000000001</v>
      </c>
      <c r="S734" s="3">
        <f t="shared" si="155"/>
        <v>24</v>
      </c>
      <c r="T734" s="1">
        <v>0.72219999999999995</v>
      </c>
      <c r="U734" s="6">
        <f t="shared" si="146"/>
        <v>24.5548</v>
      </c>
    </row>
    <row r="735" spans="1:21" x14ac:dyDescent="0.35">
      <c r="A735">
        <v>734</v>
      </c>
      <c r="B735" s="5">
        <v>44930</v>
      </c>
      <c r="C735" s="4">
        <f t="shared" si="147"/>
        <v>2023</v>
      </c>
      <c r="D735" s="4">
        <f t="shared" si="148"/>
        <v>1</v>
      </c>
      <c r="E735" s="14">
        <v>44930</v>
      </c>
      <c r="F735" s="4">
        <f t="shared" si="149"/>
        <v>4</v>
      </c>
      <c r="G735">
        <v>147</v>
      </c>
      <c r="H735">
        <v>136</v>
      </c>
      <c r="I735" s="13">
        <f t="shared" si="150"/>
        <v>0.92</v>
      </c>
      <c r="J735">
        <f t="shared" si="143"/>
        <v>11</v>
      </c>
      <c r="K735" s="2">
        <v>1.9675925925925926E-4</v>
      </c>
      <c r="L735" s="11">
        <f t="shared" si="144"/>
        <v>38.533333333333331</v>
      </c>
      <c r="M735" s="3">
        <f t="shared" si="151"/>
        <v>0.28333333333333333</v>
      </c>
      <c r="N735" s="4">
        <f t="shared" si="152"/>
        <v>17</v>
      </c>
      <c r="O735" s="2">
        <v>2.0254629629629629E-3</v>
      </c>
      <c r="P735" s="9">
        <f t="shared" si="145"/>
        <v>396.66666666666663</v>
      </c>
      <c r="Q735" s="3">
        <f t="shared" si="153"/>
        <v>2.9166666666666665</v>
      </c>
      <c r="R735" s="4">
        <f t="shared" si="154"/>
        <v>175</v>
      </c>
      <c r="S735" s="3">
        <f t="shared" si="155"/>
        <v>104</v>
      </c>
      <c r="T735" s="1">
        <v>0.7671</v>
      </c>
      <c r="U735" s="6">
        <f t="shared" si="146"/>
        <v>104.32559999999999</v>
      </c>
    </row>
    <row r="736" spans="1:21" x14ac:dyDescent="0.35">
      <c r="A736">
        <v>735</v>
      </c>
      <c r="B736" s="5">
        <v>44931</v>
      </c>
      <c r="C736" s="4">
        <f t="shared" si="147"/>
        <v>2023</v>
      </c>
      <c r="D736" s="4">
        <f t="shared" si="148"/>
        <v>1</v>
      </c>
      <c r="E736" s="14">
        <v>44931</v>
      </c>
      <c r="F736" s="4">
        <f t="shared" si="149"/>
        <v>5</v>
      </c>
      <c r="G736">
        <v>131</v>
      </c>
      <c r="H736">
        <v>130</v>
      </c>
      <c r="I736" s="13">
        <f t="shared" si="150"/>
        <v>0.99</v>
      </c>
      <c r="J736">
        <f t="shared" si="143"/>
        <v>1</v>
      </c>
      <c r="K736" s="2">
        <v>2.0833333333333335E-4</v>
      </c>
      <c r="L736" s="11">
        <f t="shared" si="144"/>
        <v>39</v>
      </c>
      <c r="M736" s="3">
        <f t="shared" si="151"/>
        <v>0.3</v>
      </c>
      <c r="N736" s="4">
        <f t="shared" si="152"/>
        <v>18</v>
      </c>
      <c r="O736" s="2">
        <v>1.9328703703703704E-3</v>
      </c>
      <c r="P736" s="9">
        <f t="shared" si="145"/>
        <v>361.83333333333331</v>
      </c>
      <c r="Q736" s="3">
        <f t="shared" si="153"/>
        <v>2.7833333333333332</v>
      </c>
      <c r="R736" s="4">
        <f t="shared" si="154"/>
        <v>167</v>
      </c>
      <c r="S736" s="3">
        <f t="shared" si="155"/>
        <v>99</v>
      </c>
      <c r="T736" s="1">
        <v>0.76919999999999999</v>
      </c>
      <c r="U736" s="6">
        <f t="shared" si="146"/>
        <v>99.995999999999995</v>
      </c>
    </row>
    <row r="737" spans="1:21" x14ac:dyDescent="0.35">
      <c r="A737">
        <v>736</v>
      </c>
      <c r="B737" s="5">
        <v>44932</v>
      </c>
      <c r="C737" s="4">
        <f t="shared" si="147"/>
        <v>2023</v>
      </c>
      <c r="D737" s="4">
        <f t="shared" si="148"/>
        <v>1</v>
      </c>
      <c r="E737" s="14">
        <v>44932</v>
      </c>
      <c r="F737" s="4">
        <f t="shared" si="149"/>
        <v>6</v>
      </c>
      <c r="G737">
        <v>128</v>
      </c>
      <c r="H737">
        <v>120</v>
      </c>
      <c r="I737" s="13">
        <f t="shared" si="150"/>
        <v>0.93</v>
      </c>
      <c r="J737">
        <f t="shared" si="143"/>
        <v>8</v>
      </c>
      <c r="K737" s="2">
        <v>2.5462962962962961E-4</v>
      </c>
      <c r="L737" s="11">
        <f t="shared" si="144"/>
        <v>44</v>
      </c>
      <c r="M737" s="3">
        <f t="shared" si="151"/>
        <v>0.36666666666666664</v>
      </c>
      <c r="N737" s="4">
        <f t="shared" si="152"/>
        <v>22</v>
      </c>
      <c r="O737" s="2">
        <v>1.9328703703703704E-3</v>
      </c>
      <c r="P737" s="9">
        <f t="shared" si="145"/>
        <v>334</v>
      </c>
      <c r="Q737" s="3">
        <f t="shared" si="153"/>
        <v>2.7833333333333332</v>
      </c>
      <c r="R737" s="4">
        <f t="shared" si="154"/>
        <v>167</v>
      </c>
      <c r="S737" s="3">
        <f t="shared" si="155"/>
        <v>81</v>
      </c>
      <c r="T737" s="1">
        <v>0.6825</v>
      </c>
      <c r="U737" s="6">
        <f t="shared" si="146"/>
        <v>81.900000000000006</v>
      </c>
    </row>
    <row r="738" spans="1:21" x14ac:dyDescent="0.35">
      <c r="A738">
        <v>737</v>
      </c>
      <c r="B738" s="5">
        <v>44933</v>
      </c>
      <c r="C738" s="4">
        <f t="shared" si="147"/>
        <v>2023</v>
      </c>
      <c r="D738" s="4">
        <f t="shared" si="148"/>
        <v>1</v>
      </c>
      <c r="E738" s="14">
        <v>44933</v>
      </c>
      <c r="F738" s="4">
        <f t="shared" si="149"/>
        <v>7</v>
      </c>
      <c r="G738">
        <v>136</v>
      </c>
      <c r="H738">
        <v>119</v>
      </c>
      <c r="I738" s="13">
        <f t="shared" si="150"/>
        <v>0.87</v>
      </c>
      <c r="J738">
        <f t="shared" si="143"/>
        <v>17</v>
      </c>
      <c r="K738" s="2">
        <v>3.0092592592592595E-4</v>
      </c>
      <c r="L738" s="11">
        <f t="shared" si="144"/>
        <v>51.56666666666667</v>
      </c>
      <c r="M738" s="3">
        <f t="shared" si="151"/>
        <v>0.43333333333333335</v>
      </c>
      <c r="N738" s="4">
        <f t="shared" si="152"/>
        <v>26</v>
      </c>
      <c r="O738" s="2">
        <v>1.9907407407407408E-3</v>
      </c>
      <c r="P738" s="9">
        <f t="shared" si="145"/>
        <v>341.13333333333333</v>
      </c>
      <c r="Q738" s="3">
        <f t="shared" si="153"/>
        <v>2.8666666666666667</v>
      </c>
      <c r="R738" s="4">
        <f t="shared" si="154"/>
        <v>172</v>
      </c>
      <c r="S738" s="3">
        <f t="shared" si="155"/>
        <v>71</v>
      </c>
      <c r="T738" s="1">
        <v>0.60150000000000003</v>
      </c>
      <c r="U738" s="6">
        <f t="shared" si="146"/>
        <v>71.578500000000005</v>
      </c>
    </row>
    <row r="739" spans="1:21" x14ac:dyDescent="0.35">
      <c r="A739">
        <v>738</v>
      </c>
      <c r="B739" s="5">
        <v>44934</v>
      </c>
      <c r="C739" s="4">
        <f t="shared" si="147"/>
        <v>2023</v>
      </c>
      <c r="D739" s="4">
        <f t="shared" si="148"/>
        <v>1</v>
      </c>
      <c r="E739" s="14">
        <v>44934</v>
      </c>
      <c r="F739" s="4">
        <f t="shared" si="149"/>
        <v>8</v>
      </c>
      <c r="G739">
        <v>225</v>
      </c>
      <c r="H739">
        <v>209</v>
      </c>
      <c r="I739" s="13">
        <f t="shared" si="150"/>
        <v>0.92</v>
      </c>
      <c r="J739">
        <f t="shared" si="143"/>
        <v>16</v>
      </c>
      <c r="K739" s="2">
        <v>2.199074074074074E-4</v>
      </c>
      <c r="L739" s="11">
        <f t="shared" si="144"/>
        <v>66.183333333333337</v>
      </c>
      <c r="M739" s="3">
        <f t="shared" si="151"/>
        <v>0.31666666666666665</v>
      </c>
      <c r="N739" s="4">
        <f t="shared" si="152"/>
        <v>19</v>
      </c>
      <c r="O739" s="2">
        <v>1.724537037037037E-3</v>
      </c>
      <c r="P739" s="9">
        <f t="shared" si="145"/>
        <v>519.01666666666665</v>
      </c>
      <c r="Q739" s="3">
        <f t="shared" si="153"/>
        <v>2.4833333333333334</v>
      </c>
      <c r="R739" s="4">
        <f t="shared" si="154"/>
        <v>149</v>
      </c>
      <c r="S739" s="3">
        <f t="shared" si="155"/>
        <v>158</v>
      </c>
      <c r="T739" s="1">
        <v>0.76019999999999999</v>
      </c>
      <c r="U739" s="6">
        <f t="shared" si="146"/>
        <v>158.8818</v>
      </c>
    </row>
    <row r="740" spans="1:21" x14ac:dyDescent="0.35">
      <c r="A740">
        <v>739</v>
      </c>
      <c r="B740" s="5">
        <v>44935</v>
      </c>
      <c r="C740" s="4">
        <f t="shared" si="147"/>
        <v>2023</v>
      </c>
      <c r="D740" s="4">
        <f t="shared" si="148"/>
        <v>1</v>
      </c>
      <c r="E740" s="14">
        <v>44935</v>
      </c>
      <c r="F740" s="4">
        <f t="shared" si="149"/>
        <v>9</v>
      </c>
      <c r="G740">
        <v>167</v>
      </c>
      <c r="H740">
        <v>151</v>
      </c>
      <c r="I740" s="13">
        <f t="shared" si="150"/>
        <v>0.9</v>
      </c>
      <c r="J740">
        <f t="shared" si="143"/>
        <v>16</v>
      </c>
      <c r="K740" s="2">
        <v>2.199074074074074E-4</v>
      </c>
      <c r="L740" s="11">
        <f t="shared" si="144"/>
        <v>47.816666666666663</v>
      </c>
      <c r="M740" s="3">
        <f t="shared" si="151"/>
        <v>0.31666666666666665</v>
      </c>
      <c r="N740" s="4">
        <f t="shared" si="152"/>
        <v>19</v>
      </c>
      <c r="O740" s="2">
        <v>1.7013888888888888E-3</v>
      </c>
      <c r="P740" s="9">
        <f t="shared" si="145"/>
        <v>369.95000000000005</v>
      </c>
      <c r="Q740" s="3">
        <f t="shared" si="153"/>
        <v>2.4500000000000002</v>
      </c>
      <c r="R740" s="4">
        <f t="shared" si="154"/>
        <v>147</v>
      </c>
      <c r="S740" s="3">
        <f t="shared" si="155"/>
        <v>110</v>
      </c>
      <c r="T740" s="1">
        <v>0.73329999999999995</v>
      </c>
      <c r="U740" s="6">
        <f t="shared" si="146"/>
        <v>110.72829999999999</v>
      </c>
    </row>
    <row r="741" spans="1:21" x14ac:dyDescent="0.35">
      <c r="A741">
        <v>740</v>
      </c>
      <c r="B741" s="5">
        <v>44936</v>
      </c>
      <c r="C741" s="4">
        <f t="shared" si="147"/>
        <v>2023</v>
      </c>
      <c r="D741" s="4">
        <f t="shared" si="148"/>
        <v>1</v>
      </c>
      <c r="E741" s="14">
        <v>44936</v>
      </c>
      <c r="F741" s="4">
        <f t="shared" si="149"/>
        <v>10</v>
      </c>
      <c r="G741">
        <v>48</v>
      </c>
      <c r="H741">
        <v>46</v>
      </c>
      <c r="I741" s="13">
        <f t="shared" si="150"/>
        <v>0.95</v>
      </c>
      <c r="J741">
        <f t="shared" si="143"/>
        <v>2</v>
      </c>
      <c r="K741" s="2">
        <v>1.8518518518518518E-4</v>
      </c>
      <c r="L741" s="11">
        <f t="shared" si="144"/>
        <v>12.266666666666666</v>
      </c>
      <c r="M741" s="3">
        <f t="shared" si="151"/>
        <v>0.26666666666666666</v>
      </c>
      <c r="N741" s="4">
        <f t="shared" si="152"/>
        <v>16</v>
      </c>
      <c r="O741" s="2">
        <v>1.6898148148148148E-3</v>
      </c>
      <c r="P741" s="9">
        <f t="shared" si="145"/>
        <v>111.93333333333334</v>
      </c>
      <c r="Q741" s="3">
        <f t="shared" si="153"/>
        <v>2.4333333333333336</v>
      </c>
      <c r="R741" s="4">
        <f t="shared" si="154"/>
        <v>146</v>
      </c>
      <c r="S741" s="3">
        <f t="shared" si="155"/>
        <v>36</v>
      </c>
      <c r="T741" s="1">
        <v>0.78720000000000001</v>
      </c>
      <c r="U741" s="6">
        <f t="shared" si="146"/>
        <v>36.211199999999998</v>
      </c>
    </row>
    <row r="742" spans="1:21" x14ac:dyDescent="0.35">
      <c r="A742">
        <v>741</v>
      </c>
      <c r="B742" s="5">
        <v>44937</v>
      </c>
      <c r="C742" s="4">
        <f t="shared" si="147"/>
        <v>2023</v>
      </c>
      <c r="D742" s="4">
        <f t="shared" si="148"/>
        <v>1</v>
      </c>
      <c r="E742" s="14">
        <v>44937</v>
      </c>
      <c r="F742" s="4">
        <f t="shared" si="149"/>
        <v>11</v>
      </c>
      <c r="G742">
        <v>232</v>
      </c>
      <c r="H742">
        <v>204</v>
      </c>
      <c r="I742" s="13">
        <f t="shared" si="150"/>
        <v>0.87</v>
      </c>
      <c r="J742">
        <f t="shared" si="143"/>
        <v>28</v>
      </c>
      <c r="K742" s="2">
        <v>3.7037037037037035E-4</v>
      </c>
      <c r="L742" s="11">
        <f t="shared" si="144"/>
        <v>108.8</v>
      </c>
      <c r="M742" s="3">
        <f t="shared" si="151"/>
        <v>0.53333333333333333</v>
      </c>
      <c r="N742" s="4">
        <f t="shared" si="152"/>
        <v>32</v>
      </c>
      <c r="O742" s="2">
        <v>1.6435185185185185E-3</v>
      </c>
      <c r="P742" s="9">
        <f t="shared" si="145"/>
        <v>482.8</v>
      </c>
      <c r="Q742" s="3">
        <f t="shared" si="153"/>
        <v>2.3666666666666667</v>
      </c>
      <c r="R742" s="4">
        <f t="shared" si="154"/>
        <v>142</v>
      </c>
      <c r="S742" s="3">
        <f t="shared" si="155"/>
        <v>113</v>
      </c>
      <c r="T742" s="1">
        <v>0.55410000000000004</v>
      </c>
      <c r="U742" s="6">
        <f t="shared" si="146"/>
        <v>113.03640000000001</v>
      </c>
    </row>
    <row r="743" spans="1:21" x14ac:dyDescent="0.35">
      <c r="A743">
        <v>742</v>
      </c>
      <c r="B743" s="5">
        <v>44938</v>
      </c>
      <c r="C743" s="4">
        <f t="shared" si="147"/>
        <v>2023</v>
      </c>
      <c r="D743" s="4">
        <f t="shared" si="148"/>
        <v>1</v>
      </c>
      <c r="E743" s="14">
        <v>44938</v>
      </c>
      <c r="F743" s="4">
        <f t="shared" si="149"/>
        <v>12</v>
      </c>
      <c r="G743">
        <v>198</v>
      </c>
      <c r="H743">
        <v>187</v>
      </c>
      <c r="I743" s="13">
        <f t="shared" si="150"/>
        <v>0.94</v>
      </c>
      <c r="J743">
        <f t="shared" si="143"/>
        <v>11</v>
      </c>
      <c r="K743" s="2">
        <v>3.1250000000000001E-4</v>
      </c>
      <c r="L743" s="11">
        <f t="shared" si="144"/>
        <v>84.15</v>
      </c>
      <c r="M743" s="3">
        <f t="shared" si="151"/>
        <v>0.45</v>
      </c>
      <c r="N743" s="4">
        <f t="shared" si="152"/>
        <v>27</v>
      </c>
      <c r="O743" s="2">
        <v>1.9444444444444444E-3</v>
      </c>
      <c r="P743" s="9">
        <f t="shared" si="145"/>
        <v>523.6</v>
      </c>
      <c r="Q743" s="3">
        <f t="shared" si="153"/>
        <v>2.8</v>
      </c>
      <c r="R743" s="4">
        <f t="shared" si="154"/>
        <v>168</v>
      </c>
      <c r="S743" s="3">
        <f t="shared" si="155"/>
        <v>112</v>
      </c>
      <c r="T743" s="1">
        <v>0.60199999999999998</v>
      </c>
      <c r="U743" s="6">
        <f t="shared" si="146"/>
        <v>112.574</v>
      </c>
    </row>
    <row r="744" spans="1:21" x14ac:dyDescent="0.35">
      <c r="A744">
        <v>743</v>
      </c>
      <c r="B744" s="5">
        <v>44939</v>
      </c>
      <c r="C744" s="4">
        <f t="shared" si="147"/>
        <v>2023</v>
      </c>
      <c r="D744" s="4">
        <f t="shared" si="148"/>
        <v>1</v>
      </c>
      <c r="E744" s="14">
        <v>44939</v>
      </c>
      <c r="F744" s="4">
        <f t="shared" si="149"/>
        <v>13</v>
      </c>
      <c r="G744">
        <v>171</v>
      </c>
      <c r="H744">
        <v>163</v>
      </c>
      <c r="I744" s="13">
        <f t="shared" si="150"/>
        <v>0.95</v>
      </c>
      <c r="J744">
        <f t="shared" si="143"/>
        <v>8</v>
      </c>
      <c r="K744" s="2">
        <v>2.199074074074074E-4</v>
      </c>
      <c r="L744" s="11">
        <f t="shared" si="144"/>
        <v>51.616666666666667</v>
      </c>
      <c r="M744" s="3">
        <f t="shared" si="151"/>
        <v>0.31666666666666665</v>
      </c>
      <c r="N744" s="4">
        <f t="shared" si="152"/>
        <v>19</v>
      </c>
      <c r="O744" s="2">
        <v>1.8634259259259259E-3</v>
      </c>
      <c r="P744" s="9">
        <f t="shared" si="145"/>
        <v>437.38333333333338</v>
      </c>
      <c r="Q744" s="3">
        <f t="shared" si="153"/>
        <v>2.6833333333333336</v>
      </c>
      <c r="R744" s="4">
        <f t="shared" si="154"/>
        <v>161</v>
      </c>
      <c r="S744" s="3">
        <f t="shared" si="155"/>
        <v>113</v>
      </c>
      <c r="T744" s="1">
        <v>0.69410000000000005</v>
      </c>
      <c r="U744" s="6">
        <f t="shared" si="146"/>
        <v>113.13830000000002</v>
      </c>
    </row>
    <row r="745" spans="1:21" x14ac:dyDescent="0.35">
      <c r="A745">
        <v>744</v>
      </c>
      <c r="B745" s="5">
        <v>44940</v>
      </c>
      <c r="C745" s="4">
        <f t="shared" si="147"/>
        <v>2023</v>
      </c>
      <c r="D745" s="4">
        <f t="shared" si="148"/>
        <v>1</v>
      </c>
      <c r="E745" s="14">
        <v>44940</v>
      </c>
      <c r="F745" s="4">
        <f t="shared" si="149"/>
        <v>14</v>
      </c>
      <c r="G745">
        <v>180</v>
      </c>
      <c r="H745">
        <v>173</v>
      </c>
      <c r="I745" s="13">
        <f t="shared" si="150"/>
        <v>0.96</v>
      </c>
      <c r="J745">
        <f t="shared" si="143"/>
        <v>7</v>
      </c>
      <c r="K745" s="2">
        <v>3.5879629629629629E-4</v>
      </c>
      <c r="L745" s="11">
        <f t="shared" si="144"/>
        <v>89.38333333333334</v>
      </c>
      <c r="M745" s="3">
        <f t="shared" si="151"/>
        <v>0.51666666666666672</v>
      </c>
      <c r="N745" s="4">
        <f t="shared" si="152"/>
        <v>31.000000000000004</v>
      </c>
      <c r="O745" s="2">
        <v>1.9560185185185184E-3</v>
      </c>
      <c r="P745" s="9">
        <f t="shared" si="145"/>
        <v>487.2833333333333</v>
      </c>
      <c r="Q745" s="3">
        <f t="shared" si="153"/>
        <v>2.8166666666666664</v>
      </c>
      <c r="R745" s="4">
        <f t="shared" si="154"/>
        <v>169</v>
      </c>
      <c r="S745" s="3">
        <f t="shared" si="155"/>
        <v>124</v>
      </c>
      <c r="T745" s="1">
        <v>0.72219999999999995</v>
      </c>
      <c r="U745" s="6">
        <f t="shared" si="146"/>
        <v>124.94059999999999</v>
      </c>
    </row>
    <row r="746" spans="1:21" x14ac:dyDescent="0.35">
      <c r="A746">
        <v>745</v>
      </c>
      <c r="B746" s="5">
        <v>44941</v>
      </c>
      <c r="C746" s="4">
        <f t="shared" si="147"/>
        <v>2023</v>
      </c>
      <c r="D746" s="4">
        <f t="shared" si="148"/>
        <v>1</v>
      </c>
      <c r="E746" s="14">
        <v>44941</v>
      </c>
      <c r="F746" s="4">
        <f t="shared" si="149"/>
        <v>15</v>
      </c>
      <c r="G746">
        <v>192</v>
      </c>
      <c r="H746">
        <v>175</v>
      </c>
      <c r="I746" s="13">
        <f t="shared" si="150"/>
        <v>0.91</v>
      </c>
      <c r="J746">
        <f t="shared" si="143"/>
        <v>17</v>
      </c>
      <c r="K746" s="2">
        <v>3.0092592592592595E-4</v>
      </c>
      <c r="L746" s="11">
        <f t="shared" si="144"/>
        <v>75.833333333333343</v>
      </c>
      <c r="M746" s="3">
        <f t="shared" si="151"/>
        <v>0.43333333333333335</v>
      </c>
      <c r="N746" s="4">
        <f t="shared" si="152"/>
        <v>26</v>
      </c>
      <c r="O746" s="2">
        <v>2.0949074074074073E-3</v>
      </c>
      <c r="P746" s="9">
        <f t="shared" si="145"/>
        <v>527.91666666666663</v>
      </c>
      <c r="Q746" s="3">
        <f t="shared" si="153"/>
        <v>3.0166666666666666</v>
      </c>
      <c r="R746" s="4">
        <f t="shared" si="154"/>
        <v>181</v>
      </c>
      <c r="S746" s="3">
        <f t="shared" si="155"/>
        <v>107</v>
      </c>
      <c r="T746" s="1">
        <v>0.61580000000000001</v>
      </c>
      <c r="U746" s="6">
        <f t="shared" si="146"/>
        <v>107.765</v>
      </c>
    </row>
    <row r="747" spans="1:21" x14ac:dyDescent="0.35">
      <c r="A747">
        <v>746</v>
      </c>
      <c r="B747" s="5">
        <v>44942</v>
      </c>
      <c r="C747" s="4">
        <f t="shared" si="147"/>
        <v>2023</v>
      </c>
      <c r="D747" s="4">
        <f t="shared" si="148"/>
        <v>1</v>
      </c>
      <c r="E747" s="14">
        <v>44942</v>
      </c>
      <c r="F747" s="4">
        <f t="shared" si="149"/>
        <v>16</v>
      </c>
      <c r="G747">
        <v>194</v>
      </c>
      <c r="H747">
        <v>180</v>
      </c>
      <c r="I747" s="13">
        <f t="shared" si="150"/>
        <v>0.92</v>
      </c>
      <c r="J747">
        <f t="shared" si="143"/>
        <v>14</v>
      </c>
      <c r="K747" s="2">
        <v>2.8935185185185184E-4</v>
      </c>
      <c r="L747" s="11">
        <f t="shared" si="144"/>
        <v>75</v>
      </c>
      <c r="M747" s="3">
        <f t="shared" si="151"/>
        <v>0.41666666666666669</v>
      </c>
      <c r="N747" s="4">
        <f t="shared" si="152"/>
        <v>25</v>
      </c>
      <c r="O747" s="2">
        <v>1.9675925925925924E-3</v>
      </c>
      <c r="P747" s="9">
        <f t="shared" si="145"/>
        <v>510</v>
      </c>
      <c r="Q747" s="3">
        <f t="shared" si="153"/>
        <v>2.8333333333333335</v>
      </c>
      <c r="R747" s="4">
        <f t="shared" si="154"/>
        <v>170</v>
      </c>
      <c r="S747" s="3">
        <f t="shared" si="155"/>
        <v>123</v>
      </c>
      <c r="T747" s="1">
        <v>0.68389999999999995</v>
      </c>
      <c r="U747" s="6">
        <f t="shared" si="146"/>
        <v>123.10199999999999</v>
      </c>
    </row>
    <row r="748" spans="1:21" x14ac:dyDescent="0.35">
      <c r="A748">
        <v>747</v>
      </c>
      <c r="B748" s="5">
        <v>44943</v>
      </c>
      <c r="C748" s="4">
        <f t="shared" si="147"/>
        <v>2023</v>
      </c>
      <c r="D748" s="4">
        <f t="shared" si="148"/>
        <v>1</v>
      </c>
      <c r="E748" s="14">
        <v>44943</v>
      </c>
      <c r="F748" s="4">
        <f t="shared" si="149"/>
        <v>17</v>
      </c>
      <c r="G748">
        <v>37</v>
      </c>
      <c r="H748">
        <v>27</v>
      </c>
      <c r="I748" s="13">
        <f t="shared" si="150"/>
        <v>0.72</v>
      </c>
      <c r="J748">
        <f t="shared" si="143"/>
        <v>10</v>
      </c>
      <c r="K748" s="2">
        <v>4.0509259259259258E-4</v>
      </c>
      <c r="L748" s="11">
        <f t="shared" si="144"/>
        <v>15.750000000000002</v>
      </c>
      <c r="M748" s="3">
        <f t="shared" si="151"/>
        <v>0.58333333333333337</v>
      </c>
      <c r="N748" s="4">
        <f t="shared" si="152"/>
        <v>35</v>
      </c>
      <c r="O748" s="2">
        <v>2.0023148148148148E-3</v>
      </c>
      <c r="P748" s="9">
        <f t="shared" si="145"/>
        <v>77.849999999999994</v>
      </c>
      <c r="Q748" s="3">
        <f t="shared" si="153"/>
        <v>2.8833333333333333</v>
      </c>
      <c r="R748" s="4">
        <f t="shared" si="154"/>
        <v>173</v>
      </c>
      <c r="S748" s="3">
        <f t="shared" si="155"/>
        <v>13</v>
      </c>
      <c r="T748" s="1">
        <v>0.5</v>
      </c>
      <c r="U748" s="6">
        <f t="shared" si="146"/>
        <v>13.5</v>
      </c>
    </row>
    <row r="749" spans="1:21" x14ac:dyDescent="0.35">
      <c r="A749">
        <v>748</v>
      </c>
      <c r="B749" s="5">
        <v>44944</v>
      </c>
      <c r="C749" s="4">
        <f t="shared" si="147"/>
        <v>2023</v>
      </c>
      <c r="D749" s="4">
        <f t="shared" si="148"/>
        <v>1</v>
      </c>
      <c r="E749" s="14">
        <v>44944</v>
      </c>
      <c r="F749" s="4">
        <f t="shared" si="149"/>
        <v>18</v>
      </c>
      <c r="G749">
        <v>180</v>
      </c>
      <c r="H749">
        <v>169</v>
      </c>
      <c r="I749" s="13">
        <f t="shared" si="150"/>
        <v>0.93</v>
      </c>
      <c r="J749">
        <f t="shared" si="143"/>
        <v>11</v>
      </c>
      <c r="K749" s="2">
        <v>2.6620370370370372E-4</v>
      </c>
      <c r="L749" s="11">
        <f t="shared" si="144"/>
        <v>64.783333333333331</v>
      </c>
      <c r="M749" s="3">
        <f t="shared" si="151"/>
        <v>0.38333333333333336</v>
      </c>
      <c r="N749" s="4">
        <f t="shared" si="152"/>
        <v>23</v>
      </c>
      <c r="O749" s="2">
        <v>1.8981481481481482E-3</v>
      </c>
      <c r="P749" s="9">
        <f t="shared" si="145"/>
        <v>461.93333333333334</v>
      </c>
      <c r="Q749" s="3">
        <f t="shared" si="153"/>
        <v>2.7333333333333334</v>
      </c>
      <c r="R749" s="4">
        <f t="shared" si="154"/>
        <v>164</v>
      </c>
      <c r="S749" s="3">
        <f t="shared" si="155"/>
        <v>114</v>
      </c>
      <c r="T749" s="1">
        <v>0.67979999999999996</v>
      </c>
      <c r="U749" s="6">
        <f t="shared" si="146"/>
        <v>114.88619999999999</v>
      </c>
    </row>
    <row r="750" spans="1:21" x14ac:dyDescent="0.35">
      <c r="A750">
        <v>749</v>
      </c>
      <c r="B750" s="5">
        <v>44945</v>
      </c>
      <c r="C750" s="4">
        <f t="shared" si="147"/>
        <v>2023</v>
      </c>
      <c r="D750" s="4">
        <f t="shared" si="148"/>
        <v>1</v>
      </c>
      <c r="E750" s="14">
        <v>44945</v>
      </c>
      <c r="F750" s="4">
        <f t="shared" si="149"/>
        <v>19</v>
      </c>
      <c r="G750">
        <v>213</v>
      </c>
      <c r="H750">
        <v>198</v>
      </c>
      <c r="I750" s="13">
        <f t="shared" si="150"/>
        <v>0.92</v>
      </c>
      <c r="J750">
        <f t="shared" si="143"/>
        <v>15</v>
      </c>
      <c r="K750" s="2">
        <v>1.8518518518518518E-4</v>
      </c>
      <c r="L750" s="11">
        <f t="shared" si="144"/>
        <v>52.8</v>
      </c>
      <c r="M750" s="3">
        <f t="shared" si="151"/>
        <v>0.26666666666666666</v>
      </c>
      <c r="N750" s="4">
        <f t="shared" si="152"/>
        <v>16</v>
      </c>
      <c r="O750" s="2">
        <v>1.9328703703703704E-3</v>
      </c>
      <c r="P750" s="9">
        <f t="shared" si="145"/>
        <v>551.1</v>
      </c>
      <c r="Q750" s="3">
        <f t="shared" si="153"/>
        <v>2.7833333333333332</v>
      </c>
      <c r="R750" s="4">
        <f t="shared" si="154"/>
        <v>167</v>
      </c>
      <c r="S750" s="3">
        <f t="shared" si="155"/>
        <v>152</v>
      </c>
      <c r="T750" s="1">
        <v>0.77249999999999996</v>
      </c>
      <c r="U750" s="6">
        <f t="shared" si="146"/>
        <v>152.95499999999998</v>
      </c>
    </row>
    <row r="751" spans="1:21" x14ac:dyDescent="0.35">
      <c r="A751">
        <v>750</v>
      </c>
      <c r="B751" s="5">
        <v>44946</v>
      </c>
      <c r="C751" s="4">
        <f t="shared" si="147"/>
        <v>2023</v>
      </c>
      <c r="D751" s="4">
        <f t="shared" si="148"/>
        <v>1</v>
      </c>
      <c r="E751" s="14">
        <v>44946</v>
      </c>
      <c r="F751" s="4">
        <f t="shared" si="149"/>
        <v>20</v>
      </c>
      <c r="G751">
        <v>251</v>
      </c>
      <c r="H751">
        <v>239</v>
      </c>
      <c r="I751" s="13">
        <f t="shared" si="150"/>
        <v>0.95</v>
      </c>
      <c r="J751">
        <f t="shared" si="143"/>
        <v>12</v>
      </c>
      <c r="K751" s="2">
        <v>2.4305555555555555E-4</v>
      </c>
      <c r="L751" s="11">
        <f t="shared" si="144"/>
        <v>83.649999999999991</v>
      </c>
      <c r="M751" s="3">
        <f t="shared" si="151"/>
        <v>0.35</v>
      </c>
      <c r="N751" s="4">
        <f t="shared" si="152"/>
        <v>21</v>
      </c>
      <c r="O751" s="2">
        <v>1.5972222222222223E-3</v>
      </c>
      <c r="P751" s="9">
        <f t="shared" si="145"/>
        <v>549.69999999999993</v>
      </c>
      <c r="Q751" s="3">
        <f t="shared" si="153"/>
        <v>2.2999999999999998</v>
      </c>
      <c r="R751" s="4">
        <f t="shared" si="154"/>
        <v>138</v>
      </c>
      <c r="S751" s="3">
        <f t="shared" si="155"/>
        <v>171</v>
      </c>
      <c r="T751" s="1">
        <v>0.7177</v>
      </c>
      <c r="U751" s="6">
        <f t="shared" si="146"/>
        <v>171.53030000000001</v>
      </c>
    </row>
    <row r="752" spans="1:21" x14ac:dyDescent="0.35">
      <c r="A752">
        <v>751</v>
      </c>
      <c r="B752" s="5">
        <v>44947</v>
      </c>
      <c r="C752" s="4">
        <f t="shared" si="147"/>
        <v>2023</v>
      </c>
      <c r="D752" s="4">
        <f t="shared" si="148"/>
        <v>1</v>
      </c>
      <c r="E752" s="14">
        <v>44947</v>
      </c>
      <c r="F752" s="4">
        <f t="shared" si="149"/>
        <v>21</v>
      </c>
      <c r="G752">
        <v>200</v>
      </c>
      <c r="H752">
        <v>189</v>
      </c>
      <c r="I752" s="13">
        <f t="shared" si="150"/>
        <v>0.94</v>
      </c>
      <c r="J752">
        <f t="shared" si="143"/>
        <v>11</v>
      </c>
      <c r="K752" s="2">
        <v>2.199074074074074E-4</v>
      </c>
      <c r="L752" s="11">
        <f t="shared" si="144"/>
        <v>59.849999999999994</v>
      </c>
      <c r="M752" s="3">
        <f t="shared" si="151"/>
        <v>0.31666666666666665</v>
      </c>
      <c r="N752" s="4">
        <f t="shared" si="152"/>
        <v>19</v>
      </c>
      <c r="O752" s="2">
        <v>2.0023148148148148E-3</v>
      </c>
      <c r="P752" s="9">
        <f t="shared" si="145"/>
        <v>544.95000000000005</v>
      </c>
      <c r="Q752" s="3">
        <f t="shared" si="153"/>
        <v>2.8833333333333333</v>
      </c>
      <c r="R752" s="4">
        <f t="shared" si="154"/>
        <v>173</v>
      </c>
      <c r="S752" s="3">
        <f t="shared" si="155"/>
        <v>144</v>
      </c>
      <c r="T752" s="1">
        <v>0.76259999999999994</v>
      </c>
      <c r="U752" s="6">
        <f t="shared" si="146"/>
        <v>144.13139999999999</v>
      </c>
    </row>
    <row r="753" spans="1:21" x14ac:dyDescent="0.35">
      <c r="A753">
        <v>752</v>
      </c>
      <c r="B753" s="5">
        <v>44948</v>
      </c>
      <c r="C753" s="4">
        <f t="shared" si="147"/>
        <v>2023</v>
      </c>
      <c r="D753" s="4">
        <f t="shared" si="148"/>
        <v>1</v>
      </c>
      <c r="E753" s="14">
        <v>44948</v>
      </c>
      <c r="F753" s="4">
        <f t="shared" si="149"/>
        <v>22</v>
      </c>
      <c r="G753">
        <v>214</v>
      </c>
      <c r="H753">
        <v>205</v>
      </c>
      <c r="I753" s="13">
        <f t="shared" si="150"/>
        <v>0.95</v>
      </c>
      <c r="J753">
        <f t="shared" si="143"/>
        <v>9</v>
      </c>
      <c r="K753" s="2">
        <v>2.8935185185185184E-4</v>
      </c>
      <c r="L753" s="11">
        <f t="shared" si="144"/>
        <v>85.416666666666671</v>
      </c>
      <c r="M753" s="3">
        <f t="shared" si="151"/>
        <v>0.41666666666666669</v>
      </c>
      <c r="N753" s="4">
        <f t="shared" si="152"/>
        <v>25</v>
      </c>
      <c r="O753" s="2">
        <v>1.9444444444444444E-3</v>
      </c>
      <c r="P753" s="9">
        <f t="shared" si="145"/>
        <v>574</v>
      </c>
      <c r="Q753" s="3">
        <f t="shared" si="153"/>
        <v>2.8</v>
      </c>
      <c r="R753" s="4">
        <f t="shared" si="154"/>
        <v>168</v>
      </c>
      <c r="S753" s="3">
        <f t="shared" si="155"/>
        <v>147</v>
      </c>
      <c r="T753" s="1">
        <v>0.71960000000000002</v>
      </c>
      <c r="U753" s="6">
        <f t="shared" si="146"/>
        <v>147.518</v>
      </c>
    </row>
    <row r="754" spans="1:21" x14ac:dyDescent="0.35">
      <c r="A754">
        <v>753</v>
      </c>
      <c r="B754" s="5">
        <v>44949</v>
      </c>
      <c r="C754" s="4">
        <f t="shared" si="147"/>
        <v>2023</v>
      </c>
      <c r="D754" s="4">
        <f t="shared" si="148"/>
        <v>1</v>
      </c>
      <c r="E754" s="14">
        <v>44949</v>
      </c>
      <c r="F754" s="4">
        <f t="shared" si="149"/>
        <v>23</v>
      </c>
      <c r="G754">
        <v>185</v>
      </c>
      <c r="H754">
        <v>154</v>
      </c>
      <c r="I754" s="13">
        <f t="shared" si="150"/>
        <v>0.83</v>
      </c>
      <c r="J754">
        <f t="shared" si="143"/>
        <v>31</v>
      </c>
      <c r="K754" s="2">
        <v>5.4398148148148144E-4</v>
      </c>
      <c r="L754" s="11">
        <f t="shared" si="144"/>
        <v>120.63333333333333</v>
      </c>
      <c r="M754" s="3">
        <f t="shared" si="151"/>
        <v>0.78333333333333333</v>
      </c>
      <c r="N754" s="4">
        <f t="shared" si="152"/>
        <v>47</v>
      </c>
      <c r="O754" s="2">
        <v>2.0370370370370369E-3</v>
      </c>
      <c r="P754" s="9">
        <f t="shared" si="145"/>
        <v>451.73333333333335</v>
      </c>
      <c r="Q754" s="3">
        <f t="shared" si="153"/>
        <v>2.9333333333333336</v>
      </c>
      <c r="R754" s="4">
        <f t="shared" si="154"/>
        <v>176</v>
      </c>
      <c r="S754" s="3">
        <f t="shared" si="155"/>
        <v>55</v>
      </c>
      <c r="T754" s="1">
        <v>0.35909999999999997</v>
      </c>
      <c r="U754" s="6">
        <f t="shared" si="146"/>
        <v>55.301399999999994</v>
      </c>
    </row>
    <row r="755" spans="1:21" x14ac:dyDescent="0.35">
      <c r="A755">
        <v>754</v>
      </c>
      <c r="B755" s="5">
        <v>44950</v>
      </c>
      <c r="C755" s="4">
        <f t="shared" si="147"/>
        <v>2023</v>
      </c>
      <c r="D755" s="4">
        <f t="shared" si="148"/>
        <v>1</v>
      </c>
      <c r="E755" s="14">
        <v>44950</v>
      </c>
      <c r="F755" s="4">
        <f t="shared" si="149"/>
        <v>24</v>
      </c>
      <c r="G755">
        <v>49</v>
      </c>
      <c r="H755">
        <v>46</v>
      </c>
      <c r="I755" s="13">
        <f t="shared" si="150"/>
        <v>0.93</v>
      </c>
      <c r="J755">
        <f t="shared" si="143"/>
        <v>3</v>
      </c>
      <c r="K755" s="2">
        <v>4.3981481481481481E-4</v>
      </c>
      <c r="L755" s="11">
        <f t="shared" si="144"/>
        <v>29.133333333333333</v>
      </c>
      <c r="M755" s="3">
        <f t="shared" si="151"/>
        <v>0.6333333333333333</v>
      </c>
      <c r="N755" s="4">
        <f t="shared" si="152"/>
        <v>38</v>
      </c>
      <c r="O755" s="2">
        <v>1.6319444444444445E-3</v>
      </c>
      <c r="P755" s="9">
        <f t="shared" si="145"/>
        <v>108.10000000000001</v>
      </c>
      <c r="Q755" s="3">
        <f t="shared" si="153"/>
        <v>2.35</v>
      </c>
      <c r="R755" s="4">
        <f t="shared" si="154"/>
        <v>141</v>
      </c>
      <c r="S755" s="3">
        <f t="shared" si="155"/>
        <v>23</v>
      </c>
      <c r="T755" s="1">
        <v>0.52080000000000004</v>
      </c>
      <c r="U755" s="6">
        <f t="shared" si="146"/>
        <v>23.956800000000001</v>
      </c>
    </row>
    <row r="756" spans="1:21" x14ac:dyDescent="0.35">
      <c r="A756">
        <v>755</v>
      </c>
      <c r="B756" s="5">
        <v>44951</v>
      </c>
      <c r="C756" s="4">
        <f t="shared" si="147"/>
        <v>2023</v>
      </c>
      <c r="D756" s="4">
        <f t="shared" si="148"/>
        <v>1</v>
      </c>
      <c r="E756" s="14">
        <v>44951</v>
      </c>
      <c r="F756" s="4">
        <f t="shared" si="149"/>
        <v>25</v>
      </c>
      <c r="G756">
        <v>193</v>
      </c>
      <c r="H756">
        <v>185</v>
      </c>
      <c r="I756" s="13">
        <f t="shared" si="150"/>
        <v>0.95</v>
      </c>
      <c r="J756">
        <f t="shared" si="143"/>
        <v>8</v>
      </c>
      <c r="K756" s="2">
        <v>2.4305555555555555E-4</v>
      </c>
      <c r="L756" s="11">
        <f t="shared" si="144"/>
        <v>64.75</v>
      </c>
      <c r="M756" s="3">
        <f t="shared" si="151"/>
        <v>0.35</v>
      </c>
      <c r="N756" s="4">
        <f t="shared" si="152"/>
        <v>21</v>
      </c>
      <c r="O756" s="2">
        <v>1.9791666666666668E-3</v>
      </c>
      <c r="P756" s="9">
        <f t="shared" si="145"/>
        <v>527.25</v>
      </c>
      <c r="Q756" s="3">
        <f t="shared" si="153"/>
        <v>2.85</v>
      </c>
      <c r="R756" s="4">
        <f t="shared" si="154"/>
        <v>171</v>
      </c>
      <c r="S756" s="3">
        <f t="shared" si="155"/>
        <v>140</v>
      </c>
      <c r="T756" s="1">
        <v>0.75790000000000002</v>
      </c>
      <c r="U756" s="6">
        <f t="shared" si="146"/>
        <v>140.2115</v>
      </c>
    </row>
    <row r="757" spans="1:21" x14ac:dyDescent="0.35">
      <c r="A757">
        <v>756</v>
      </c>
      <c r="B757" s="5">
        <v>44952</v>
      </c>
      <c r="C757" s="4">
        <f t="shared" si="147"/>
        <v>2023</v>
      </c>
      <c r="D757" s="4">
        <f t="shared" si="148"/>
        <v>1</v>
      </c>
      <c r="E757" s="14">
        <v>44952</v>
      </c>
      <c r="F757" s="4">
        <f t="shared" si="149"/>
        <v>26</v>
      </c>
      <c r="G757">
        <v>195</v>
      </c>
      <c r="H757">
        <v>184</v>
      </c>
      <c r="I757" s="13">
        <f t="shared" si="150"/>
        <v>0.94</v>
      </c>
      <c r="J757">
        <f t="shared" si="143"/>
        <v>11</v>
      </c>
      <c r="K757" s="2">
        <v>2.5462962962962961E-4</v>
      </c>
      <c r="L757" s="11">
        <f t="shared" si="144"/>
        <v>67.466666666666669</v>
      </c>
      <c r="M757" s="3">
        <f t="shared" si="151"/>
        <v>0.36666666666666664</v>
      </c>
      <c r="N757" s="4">
        <f t="shared" si="152"/>
        <v>22</v>
      </c>
      <c r="O757" s="2">
        <v>1.8402777777777777E-3</v>
      </c>
      <c r="P757" s="9">
        <f t="shared" si="145"/>
        <v>487.59999999999997</v>
      </c>
      <c r="Q757" s="3">
        <f t="shared" si="153"/>
        <v>2.65</v>
      </c>
      <c r="R757" s="4">
        <f t="shared" si="154"/>
        <v>159</v>
      </c>
      <c r="S757" s="3">
        <f t="shared" si="155"/>
        <v>128</v>
      </c>
      <c r="T757" s="1">
        <v>0.7</v>
      </c>
      <c r="U757" s="6">
        <f t="shared" si="146"/>
        <v>128.79999999999998</v>
      </c>
    </row>
    <row r="758" spans="1:21" x14ac:dyDescent="0.35">
      <c r="A758">
        <v>757</v>
      </c>
      <c r="B758" s="5">
        <v>44953</v>
      </c>
      <c r="C758" s="4">
        <f t="shared" si="147"/>
        <v>2023</v>
      </c>
      <c r="D758" s="4">
        <f t="shared" si="148"/>
        <v>1</v>
      </c>
      <c r="E758" s="14">
        <v>44953</v>
      </c>
      <c r="F758" s="4">
        <f t="shared" si="149"/>
        <v>27</v>
      </c>
      <c r="G758">
        <v>211</v>
      </c>
      <c r="H758">
        <v>195</v>
      </c>
      <c r="I758" s="13">
        <f t="shared" si="150"/>
        <v>0.92</v>
      </c>
      <c r="J758">
        <f t="shared" si="143"/>
        <v>16</v>
      </c>
      <c r="K758" s="2">
        <v>3.9351851851851852E-4</v>
      </c>
      <c r="L758" s="11">
        <f t="shared" si="144"/>
        <v>110.5</v>
      </c>
      <c r="M758" s="3">
        <f t="shared" si="151"/>
        <v>0.56666666666666665</v>
      </c>
      <c r="N758" s="4">
        <f t="shared" si="152"/>
        <v>34</v>
      </c>
      <c r="O758" s="2">
        <v>1.9791666666666668E-3</v>
      </c>
      <c r="P758" s="9">
        <f t="shared" si="145"/>
        <v>555.75</v>
      </c>
      <c r="Q758" s="3">
        <f t="shared" si="153"/>
        <v>2.85</v>
      </c>
      <c r="R758" s="4">
        <f t="shared" si="154"/>
        <v>171</v>
      </c>
      <c r="S758" s="3">
        <f t="shared" si="155"/>
        <v>111</v>
      </c>
      <c r="T758" s="1">
        <v>0.56940000000000002</v>
      </c>
      <c r="U758" s="6">
        <f t="shared" si="146"/>
        <v>111.033</v>
      </c>
    </row>
    <row r="759" spans="1:21" x14ac:dyDescent="0.35">
      <c r="A759">
        <v>758</v>
      </c>
      <c r="B759" s="5">
        <v>44954</v>
      </c>
      <c r="C759" s="4">
        <f t="shared" si="147"/>
        <v>2023</v>
      </c>
      <c r="D759" s="4">
        <f t="shared" si="148"/>
        <v>1</v>
      </c>
      <c r="E759" s="14">
        <v>44954</v>
      </c>
      <c r="F759" s="4">
        <f t="shared" si="149"/>
        <v>28</v>
      </c>
      <c r="G759">
        <v>200</v>
      </c>
      <c r="H759">
        <v>190</v>
      </c>
      <c r="I759" s="13">
        <f t="shared" si="150"/>
        <v>0.95</v>
      </c>
      <c r="J759">
        <f t="shared" si="143"/>
        <v>10</v>
      </c>
      <c r="K759" s="2">
        <v>1.7361111111111112E-4</v>
      </c>
      <c r="L759" s="11">
        <f t="shared" si="144"/>
        <v>47.5</v>
      </c>
      <c r="M759" s="3">
        <f t="shared" si="151"/>
        <v>0.25</v>
      </c>
      <c r="N759" s="4">
        <f t="shared" si="152"/>
        <v>15</v>
      </c>
      <c r="O759" s="2">
        <v>2.0370370370370369E-3</v>
      </c>
      <c r="P759" s="9">
        <f t="shared" si="145"/>
        <v>557.33333333333337</v>
      </c>
      <c r="Q759" s="3">
        <f t="shared" si="153"/>
        <v>2.9333333333333336</v>
      </c>
      <c r="R759" s="4">
        <f t="shared" si="154"/>
        <v>176</v>
      </c>
      <c r="S759" s="3">
        <f t="shared" si="155"/>
        <v>153</v>
      </c>
      <c r="T759" s="1">
        <v>0.80930000000000002</v>
      </c>
      <c r="U759" s="6">
        <f t="shared" si="146"/>
        <v>153.767</v>
      </c>
    </row>
    <row r="760" spans="1:21" x14ac:dyDescent="0.35">
      <c r="A760">
        <v>759</v>
      </c>
      <c r="B760" s="5">
        <v>44955</v>
      </c>
      <c r="C760" s="4">
        <f t="shared" si="147"/>
        <v>2023</v>
      </c>
      <c r="D760" s="4">
        <f t="shared" si="148"/>
        <v>1</v>
      </c>
      <c r="E760" s="14">
        <v>44955</v>
      </c>
      <c r="F760" s="4">
        <f t="shared" si="149"/>
        <v>29</v>
      </c>
      <c r="G760">
        <v>48</v>
      </c>
      <c r="H760">
        <v>47</v>
      </c>
      <c r="I760" s="13">
        <f t="shared" si="150"/>
        <v>0.97</v>
      </c>
      <c r="J760">
        <f t="shared" si="143"/>
        <v>1</v>
      </c>
      <c r="K760" s="2">
        <v>1.7361111111111112E-4</v>
      </c>
      <c r="L760" s="11">
        <f t="shared" si="144"/>
        <v>11.75</v>
      </c>
      <c r="M760" s="3">
        <f t="shared" si="151"/>
        <v>0.25</v>
      </c>
      <c r="N760" s="4">
        <f t="shared" si="152"/>
        <v>15</v>
      </c>
      <c r="O760" s="2">
        <v>2.2337962962962962E-3</v>
      </c>
      <c r="P760" s="9">
        <f t="shared" si="145"/>
        <v>151.18333333333334</v>
      </c>
      <c r="Q760" s="3">
        <f t="shared" si="153"/>
        <v>3.2166666666666668</v>
      </c>
      <c r="R760" s="4">
        <f t="shared" si="154"/>
        <v>193</v>
      </c>
      <c r="S760" s="3">
        <f t="shared" si="155"/>
        <v>38</v>
      </c>
      <c r="T760" s="1">
        <v>0.8125</v>
      </c>
      <c r="U760" s="6">
        <f t="shared" si="146"/>
        <v>38.1875</v>
      </c>
    </row>
    <row r="761" spans="1:21" x14ac:dyDescent="0.35">
      <c r="A761">
        <v>760</v>
      </c>
      <c r="B761" s="5">
        <v>44956</v>
      </c>
      <c r="C761" s="4">
        <f t="shared" si="147"/>
        <v>2023</v>
      </c>
      <c r="D761" s="4">
        <f t="shared" si="148"/>
        <v>1</v>
      </c>
      <c r="E761" s="14">
        <v>44956</v>
      </c>
      <c r="F761" s="4">
        <f t="shared" si="149"/>
        <v>30</v>
      </c>
      <c r="G761">
        <v>164</v>
      </c>
      <c r="H761">
        <v>159</v>
      </c>
      <c r="I761" s="13">
        <f t="shared" si="150"/>
        <v>0.96</v>
      </c>
      <c r="J761">
        <f t="shared" si="143"/>
        <v>5</v>
      </c>
      <c r="K761" s="2">
        <v>2.3148148148148149E-4</v>
      </c>
      <c r="L761" s="11">
        <f t="shared" si="144"/>
        <v>53</v>
      </c>
      <c r="M761" s="3">
        <f t="shared" si="151"/>
        <v>0.33333333333333331</v>
      </c>
      <c r="N761" s="4">
        <f t="shared" si="152"/>
        <v>20</v>
      </c>
      <c r="O761" s="2">
        <v>1.9791666666666668E-3</v>
      </c>
      <c r="P761" s="9">
        <f t="shared" si="145"/>
        <v>453.15000000000003</v>
      </c>
      <c r="Q761" s="3">
        <f t="shared" si="153"/>
        <v>2.85</v>
      </c>
      <c r="R761" s="4">
        <f t="shared" si="154"/>
        <v>171</v>
      </c>
      <c r="S761" s="3">
        <f t="shared" si="155"/>
        <v>123</v>
      </c>
      <c r="T761" s="1">
        <v>0.77780000000000005</v>
      </c>
      <c r="U761" s="6">
        <f t="shared" si="146"/>
        <v>123.67020000000001</v>
      </c>
    </row>
    <row r="762" spans="1:21" x14ac:dyDescent="0.35">
      <c r="A762">
        <v>761</v>
      </c>
      <c r="B762" s="5">
        <v>44957</v>
      </c>
      <c r="C762" s="4">
        <f t="shared" si="147"/>
        <v>2023</v>
      </c>
      <c r="D762" s="4">
        <f t="shared" si="148"/>
        <v>1</v>
      </c>
      <c r="E762" s="14">
        <v>44957</v>
      </c>
      <c r="F762" s="4">
        <f t="shared" si="149"/>
        <v>31</v>
      </c>
      <c r="G762">
        <v>43</v>
      </c>
      <c r="H762">
        <v>42</v>
      </c>
      <c r="I762" s="13">
        <f t="shared" si="150"/>
        <v>0.97</v>
      </c>
      <c r="J762">
        <f t="shared" si="143"/>
        <v>1</v>
      </c>
      <c r="K762" s="2">
        <v>1.6203703703703703E-4</v>
      </c>
      <c r="L762" s="11">
        <f t="shared" si="144"/>
        <v>9.8000000000000007</v>
      </c>
      <c r="M762" s="3">
        <f t="shared" si="151"/>
        <v>0.23333333333333334</v>
      </c>
      <c r="N762" s="4">
        <f t="shared" si="152"/>
        <v>14</v>
      </c>
      <c r="O762" s="2">
        <v>1.7592592592592592E-3</v>
      </c>
      <c r="P762" s="9">
        <f t="shared" si="145"/>
        <v>106.39999999999999</v>
      </c>
      <c r="Q762" s="3">
        <f t="shared" si="153"/>
        <v>2.5333333333333332</v>
      </c>
      <c r="R762" s="4">
        <f t="shared" si="154"/>
        <v>152</v>
      </c>
      <c r="S762" s="3">
        <f t="shared" si="155"/>
        <v>35</v>
      </c>
      <c r="T762" s="1">
        <v>0.83720000000000006</v>
      </c>
      <c r="U762" s="6">
        <f t="shared" si="146"/>
        <v>35.162400000000005</v>
      </c>
    </row>
    <row r="763" spans="1:21" x14ac:dyDescent="0.35">
      <c r="A763">
        <v>762</v>
      </c>
      <c r="B763" s="5">
        <v>44958</v>
      </c>
      <c r="C763" s="4">
        <f t="shared" si="147"/>
        <v>2023</v>
      </c>
      <c r="D763" s="4">
        <f t="shared" si="148"/>
        <v>2</v>
      </c>
      <c r="E763" s="14">
        <v>44958</v>
      </c>
      <c r="F763" s="4">
        <f t="shared" si="149"/>
        <v>1</v>
      </c>
      <c r="G763">
        <v>236</v>
      </c>
      <c r="H763">
        <v>223</v>
      </c>
      <c r="I763" s="13">
        <f t="shared" si="150"/>
        <v>0.94</v>
      </c>
      <c r="J763">
        <f t="shared" si="143"/>
        <v>13</v>
      </c>
      <c r="K763" s="2">
        <v>3.0092592592592595E-4</v>
      </c>
      <c r="L763" s="11">
        <f t="shared" si="144"/>
        <v>96.63333333333334</v>
      </c>
      <c r="M763" s="3">
        <f t="shared" si="151"/>
        <v>0.43333333333333335</v>
      </c>
      <c r="N763" s="4">
        <f t="shared" si="152"/>
        <v>26</v>
      </c>
      <c r="O763" s="2">
        <v>1.9212962962962964E-3</v>
      </c>
      <c r="P763" s="9">
        <f t="shared" si="145"/>
        <v>616.9666666666667</v>
      </c>
      <c r="Q763" s="3">
        <f t="shared" si="153"/>
        <v>2.7666666666666666</v>
      </c>
      <c r="R763" s="4">
        <f t="shared" si="154"/>
        <v>166</v>
      </c>
      <c r="S763" s="3">
        <f t="shared" si="155"/>
        <v>144</v>
      </c>
      <c r="T763" s="1">
        <v>0.64829999999999999</v>
      </c>
      <c r="U763" s="6">
        <f t="shared" si="146"/>
        <v>144.57089999999999</v>
      </c>
    </row>
    <row r="764" spans="1:21" x14ac:dyDescent="0.35">
      <c r="A764">
        <v>763</v>
      </c>
      <c r="B764" s="5">
        <v>44959</v>
      </c>
      <c r="C764" s="4">
        <f t="shared" si="147"/>
        <v>2023</v>
      </c>
      <c r="D764" s="4">
        <f t="shared" si="148"/>
        <v>2</v>
      </c>
      <c r="E764" s="14">
        <v>44959</v>
      </c>
      <c r="F764" s="4">
        <f t="shared" si="149"/>
        <v>2</v>
      </c>
      <c r="G764">
        <v>270</v>
      </c>
      <c r="H764">
        <v>262</v>
      </c>
      <c r="I764" s="13">
        <f t="shared" si="150"/>
        <v>0.97</v>
      </c>
      <c r="J764">
        <f t="shared" si="143"/>
        <v>8</v>
      </c>
      <c r="K764" s="2">
        <v>1.7361111111111112E-4</v>
      </c>
      <c r="L764" s="11">
        <f t="shared" si="144"/>
        <v>65.5</v>
      </c>
      <c r="M764" s="3">
        <f t="shared" si="151"/>
        <v>0.25</v>
      </c>
      <c r="N764" s="4">
        <f t="shared" si="152"/>
        <v>15</v>
      </c>
      <c r="O764" s="2">
        <v>1.8055555555555555E-3</v>
      </c>
      <c r="P764" s="9">
        <f t="shared" si="145"/>
        <v>681.2</v>
      </c>
      <c r="Q764" s="3">
        <f t="shared" si="153"/>
        <v>2.6</v>
      </c>
      <c r="R764" s="4">
        <f t="shared" si="154"/>
        <v>156</v>
      </c>
      <c r="S764" s="3">
        <f t="shared" si="155"/>
        <v>218</v>
      </c>
      <c r="T764" s="1">
        <v>0.83209999999999995</v>
      </c>
      <c r="U764" s="6">
        <f t="shared" si="146"/>
        <v>218.0102</v>
      </c>
    </row>
    <row r="765" spans="1:21" x14ac:dyDescent="0.35">
      <c r="A765">
        <v>764</v>
      </c>
      <c r="B765" s="5">
        <v>44960</v>
      </c>
      <c r="C765" s="4">
        <f t="shared" si="147"/>
        <v>2023</v>
      </c>
      <c r="D765" s="4">
        <f t="shared" si="148"/>
        <v>2</v>
      </c>
      <c r="E765" s="14">
        <v>44960</v>
      </c>
      <c r="F765" s="4">
        <f t="shared" si="149"/>
        <v>3</v>
      </c>
      <c r="G765">
        <v>304</v>
      </c>
      <c r="H765">
        <v>262</v>
      </c>
      <c r="I765" s="13">
        <f t="shared" si="150"/>
        <v>0.86</v>
      </c>
      <c r="J765">
        <f t="shared" si="143"/>
        <v>42</v>
      </c>
      <c r="K765" s="2">
        <v>3.9351851851851852E-4</v>
      </c>
      <c r="L765" s="11">
        <f t="shared" si="144"/>
        <v>148.46666666666667</v>
      </c>
      <c r="M765" s="3">
        <f t="shared" si="151"/>
        <v>0.56666666666666665</v>
      </c>
      <c r="N765" s="4">
        <f t="shared" si="152"/>
        <v>34</v>
      </c>
      <c r="O765" s="2">
        <v>2.0370370370370369E-3</v>
      </c>
      <c r="P765" s="9">
        <f t="shared" si="145"/>
        <v>768.53333333333342</v>
      </c>
      <c r="Q765" s="3">
        <f t="shared" si="153"/>
        <v>2.9333333333333336</v>
      </c>
      <c r="R765" s="4">
        <f t="shared" si="154"/>
        <v>176</v>
      </c>
      <c r="S765" s="3">
        <f t="shared" si="155"/>
        <v>148</v>
      </c>
      <c r="T765" s="1">
        <v>0.56620000000000004</v>
      </c>
      <c r="U765" s="6">
        <f t="shared" si="146"/>
        <v>148.34440000000001</v>
      </c>
    </row>
    <row r="766" spans="1:21" x14ac:dyDescent="0.35">
      <c r="A766">
        <v>765</v>
      </c>
      <c r="B766" s="5">
        <v>44961</v>
      </c>
      <c r="C766" s="4">
        <f t="shared" si="147"/>
        <v>2023</v>
      </c>
      <c r="D766" s="4">
        <f t="shared" si="148"/>
        <v>2</v>
      </c>
      <c r="E766" s="14">
        <v>44961</v>
      </c>
      <c r="F766" s="4">
        <f t="shared" si="149"/>
        <v>4</v>
      </c>
      <c r="G766">
        <v>286</v>
      </c>
      <c r="H766">
        <v>270</v>
      </c>
      <c r="I766" s="13">
        <f t="shared" si="150"/>
        <v>0.94</v>
      </c>
      <c r="J766">
        <f t="shared" si="143"/>
        <v>16</v>
      </c>
      <c r="K766" s="2">
        <v>2.3148148148148149E-4</v>
      </c>
      <c r="L766" s="11">
        <f t="shared" si="144"/>
        <v>90</v>
      </c>
      <c r="M766" s="3">
        <f t="shared" si="151"/>
        <v>0.33333333333333331</v>
      </c>
      <c r="N766" s="4">
        <f t="shared" si="152"/>
        <v>20</v>
      </c>
      <c r="O766" s="2">
        <v>1.9444444444444444E-3</v>
      </c>
      <c r="P766" s="9">
        <f t="shared" si="145"/>
        <v>756</v>
      </c>
      <c r="Q766" s="3">
        <f t="shared" si="153"/>
        <v>2.8</v>
      </c>
      <c r="R766" s="4">
        <f t="shared" si="154"/>
        <v>168</v>
      </c>
      <c r="S766" s="3">
        <f t="shared" si="155"/>
        <v>192</v>
      </c>
      <c r="T766" s="1">
        <v>0.71479999999999999</v>
      </c>
      <c r="U766" s="6">
        <f t="shared" si="146"/>
        <v>192.99600000000001</v>
      </c>
    </row>
    <row r="767" spans="1:21" x14ac:dyDescent="0.35">
      <c r="A767">
        <v>766</v>
      </c>
      <c r="B767" s="5">
        <v>44962</v>
      </c>
      <c r="C767" s="4">
        <f t="shared" si="147"/>
        <v>2023</v>
      </c>
      <c r="D767" s="4">
        <f t="shared" si="148"/>
        <v>2</v>
      </c>
      <c r="E767" s="14">
        <v>44962</v>
      </c>
      <c r="F767" s="4">
        <f t="shared" si="149"/>
        <v>5</v>
      </c>
      <c r="G767">
        <v>317</v>
      </c>
      <c r="H767">
        <v>284</v>
      </c>
      <c r="I767" s="13">
        <f t="shared" si="150"/>
        <v>0.89</v>
      </c>
      <c r="J767">
        <f t="shared" si="143"/>
        <v>33</v>
      </c>
      <c r="K767" s="2">
        <v>3.4722222222222224E-4</v>
      </c>
      <c r="L767" s="11">
        <f t="shared" si="144"/>
        <v>142</v>
      </c>
      <c r="M767" s="3">
        <f t="shared" si="151"/>
        <v>0.5</v>
      </c>
      <c r="N767" s="4">
        <f t="shared" si="152"/>
        <v>30</v>
      </c>
      <c r="O767" s="2">
        <v>1.9444444444444444E-3</v>
      </c>
      <c r="P767" s="9">
        <f t="shared" si="145"/>
        <v>795.19999999999993</v>
      </c>
      <c r="Q767" s="3">
        <f t="shared" si="153"/>
        <v>2.8</v>
      </c>
      <c r="R767" s="4">
        <f t="shared" si="154"/>
        <v>168</v>
      </c>
      <c r="S767" s="3">
        <f t="shared" si="155"/>
        <v>187</v>
      </c>
      <c r="T767" s="1">
        <v>0.6603</v>
      </c>
      <c r="U767" s="6">
        <f t="shared" si="146"/>
        <v>187.52520000000001</v>
      </c>
    </row>
    <row r="768" spans="1:21" x14ac:dyDescent="0.35">
      <c r="A768">
        <v>767</v>
      </c>
      <c r="B768" s="5">
        <v>44963</v>
      </c>
      <c r="C768" s="4">
        <f t="shared" si="147"/>
        <v>2023</v>
      </c>
      <c r="D768" s="4">
        <f t="shared" si="148"/>
        <v>2</v>
      </c>
      <c r="E768" s="14">
        <v>44963</v>
      </c>
      <c r="F768" s="4">
        <f t="shared" si="149"/>
        <v>6</v>
      </c>
      <c r="G768">
        <v>471</v>
      </c>
      <c r="H768">
        <v>396</v>
      </c>
      <c r="I768" s="13">
        <f t="shared" si="150"/>
        <v>0.84</v>
      </c>
      <c r="J768">
        <f t="shared" si="143"/>
        <v>75</v>
      </c>
      <c r="K768" s="2">
        <v>6.8287037037037036E-4</v>
      </c>
      <c r="L768" s="11">
        <f t="shared" si="144"/>
        <v>389.4</v>
      </c>
      <c r="M768" s="3">
        <f t="shared" si="151"/>
        <v>0.98333333333333328</v>
      </c>
      <c r="N768" s="4">
        <f t="shared" si="152"/>
        <v>59</v>
      </c>
      <c r="O768" s="2">
        <v>1.8634259259259259E-3</v>
      </c>
      <c r="P768" s="9">
        <f t="shared" si="145"/>
        <v>1062.6000000000001</v>
      </c>
      <c r="Q768" s="3">
        <f t="shared" si="153"/>
        <v>2.6833333333333336</v>
      </c>
      <c r="R768" s="4">
        <f t="shared" si="154"/>
        <v>161</v>
      </c>
      <c r="S768" s="3">
        <f t="shared" si="155"/>
        <v>121</v>
      </c>
      <c r="T768" s="1">
        <v>0.308</v>
      </c>
      <c r="U768" s="6">
        <f t="shared" si="146"/>
        <v>121.968</v>
      </c>
    </row>
    <row r="769" spans="1:21" x14ac:dyDescent="0.35">
      <c r="A769">
        <v>768</v>
      </c>
      <c r="B769" s="5">
        <v>44964</v>
      </c>
      <c r="C769" s="4">
        <f t="shared" si="147"/>
        <v>2023</v>
      </c>
      <c r="D769" s="4">
        <f t="shared" si="148"/>
        <v>2</v>
      </c>
      <c r="E769" s="14">
        <v>44964</v>
      </c>
      <c r="F769" s="4">
        <f t="shared" si="149"/>
        <v>7</v>
      </c>
      <c r="G769">
        <v>48</v>
      </c>
      <c r="H769">
        <v>44</v>
      </c>
      <c r="I769" s="13">
        <f t="shared" si="150"/>
        <v>0.91</v>
      </c>
      <c r="J769">
        <f t="shared" si="143"/>
        <v>4</v>
      </c>
      <c r="K769" s="2">
        <v>3.3564814814814812E-4</v>
      </c>
      <c r="L769" s="11">
        <f t="shared" si="144"/>
        <v>21.266666666666666</v>
      </c>
      <c r="M769" s="3">
        <f t="shared" si="151"/>
        <v>0.48333333333333334</v>
      </c>
      <c r="N769" s="4">
        <f t="shared" si="152"/>
        <v>29</v>
      </c>
      <c r="O769" s="2">
        <v>1.7476851851851852E-3</v>
      </c>
      <c r="P769" s="9">
        <f t="shared" si="145"/>
        <v>110.73333333333333</v>
      </c>
      <c r="Q769" s="3">
        <f t="shared" si="153"/>
        <v>2.5166666666666666</v>
      </c>
      <c r="R769" s="4">
        <f t="shared" si="154"/>
        <v>151</v>
      </c>
      <c r="S769" s="3">
        <f t="shared" si="155"/>
        <v>29</v>
      </c>
      <c r="T769" s="1">
        <v>0.65959999999999996</v>
      </c>
      <c r="U769" s="6">
        <f t="shared" si="146"/>
        <v>29.022399999999998</v>
      </c>
    </row>
    <row r="770" spans="1:21" x14ac:dyDescent="0.35">
      <c r="A770">
        <v>769</v>
      </c>
      <c r="B770" s="5">
        <v>44965</v>
      </c>
      <c r="C770" s="4">
        <f t="shared" si="147"/>
        <v>2023</v>
      </c>
      <c r="D770" s="4">
        <f t="shared" si="148"/>
        <v>2</v>
      </c>
      <c r="E770" s="14">
        <v>44965</v>
      </c>
      <c r="F770" s="4">
        <f t="shared" si="149"/>
        <v>8</v>
      </c>
      <c r="G770">
        <v>375</v>
      </c>
      <c r="H770">
        <v>317</v>
      </c>
      <c r="I770" s="13">
        <f t="shared" si="150"/>
        <v>0.84</v>
      </c>
      <c r="J770">
        <f t="shared" ref="J770:J833" si="156">G770-H770</f>
        <v>58</v>
      </c>
      <c r="K770" s="2">
        <v>4.9768518518518521E-4</v>
      </c>
      <c r="L770" s="11">
        <f t="shared" ref="L770:L833" si="157">H770*M770</f>
        <v>227.18333333333334</v>
      </c>
      <c r="M770" s="3">
        <f t="shared" si="151"/>
        <v>0.71666666666666667</v>
      </c>
      <c r="N770" s="4">
        <f t="shared" si="152"/>
        <v>43</v>
      </c>
      <c r="O770" s="2">
        <v>1.9907407407407408E-3</v>
      </c>
      <c r="P770" s="9">
        <f t="shared" ref="P770:P833" si="158">Q770*H770</f>
        <v>908.73333333333335</v>
      </c>
      <c r="Q770" s="3">
        <f t="shared" si="153"/>
        <v>2.8666666666666667</v>
      </c>
      <c r="R770" s="4">
        <f t="shared" si="154"/>
        <v>172</v>
      </c>
      <c r="S770" s="3">
        <f t="shared" si="155"/>
        <v>129</v>
      </c>
      <c r="T770" s="1">
        <v>0.40870000000000001</v>
      </c>
      <c r="U770" s="6">
        <f t="shared" ref="U770:U833" si="159">T770*H770</f>
        <v>129.55789999999999</v>
      </c>
    </row>
    <row r="771" spans="1:21" x14ac:dyDescent="0.35">
      <c r="A771">
        <v>770</v>
      </c>
      <c r="B771" s="5">
        <v>44966</v>
      </c>
      <c r="C771" s="4">
        <f t="shared" ref="C771:C834" si="160">YEAR(B771)</f>
        <v>2023</v>
      </c>
      <c r="D771" s="4">
        <f t="shared" ref="D771:D834" si="161">MONTH(B771)</f>
        <v>2</v>
      </c>
      <c r="E771" s="14">
        <v>44966</v>
      </c>
      <c r="F771" s="4">
        <f t="shared" ref="F771:F834" si="162">DAY(B771)</f>
        <v>9</v>
      </c>
      <c r="G771">
        <v>327</v>
      </c>
      <c r="H771">
        <v>309</v>
      </c>
      <c r="I771" s="13">
        <f t="shared" ref="I771:I834" si="163">TRUNC(H771/G771,2)</f>
        <v>0.94</v>
      </c>
      <c r="J771">
        <f t="shared" si="156"/>
        <v>18</v>
      </c>
      <c r="K771" s="2">
        <v>2.5462962962962961E-4</v>
      </c>
      <c r="L771" s="11">
        <f t="shared" si="157"/>
        <v>113.3</v>
      </c>
      <c r="M771" s="3">
        <f t="shared" ref="M771:M834" si="164">MINUTE(K771)+SECOND(K771)/60</f>
        <v>0.36666666666666664</v>
      </c>
      <c r="N771" s="4">
        <f t="shared" ref="N771:N834" si="165">M771*60</f>
        <v>22</v>
      </c>
      <c r="O771" s="2">
        <v>1.9444444444444444E-3</v>
      </c>
      <c r="P771" s="9">
        <f t="shared" si="158"/>
        <v>865.19999999999993</v>
      </c>
      <c r="Q771" s="3">
        <f t="shared" ref="Q771:Q834" si="166">MINUTE(O771)+SECOND(O771)/60</f>
        <v>2.8</v>
      </c>
      <c r="R771" s="4">
        <f t="shared" ref="R771:R834" si="167">Q771*60</f>
        <v>168</v>
      </c>
      <c r="S771" s="3">
        <f t="shared" ref="S771:S834" si="168">TRUNC(U771,0)</f>
        <v>210</v>
      </c>
      <c r="T771" s="1">
        <v>0.68210000000000004</v>
      </c>
      <c r="U771" s="6">
        <f t="shared" si="159"/>
        <v>210.7689</v>
      </c>
    </row>
    <row r="772" spans="1:21" x14ac:dyDescent="0.35">
      <c r="A772">
        <v>771</v>
      </c>
      <c r="B772" s="5">
        <v>44967</v>
      </c>
      <c r="C772" s="4">
        <f t="shared" si="160"/>
        <v>2023</v>
      </c>
      <c r="D772" s="4">
        <f t="shared" si="161"/>
        <v>2</v>
      </c>
      <c r="E772" s="14">
        <v>44967</v>
      </c>
      <c r="F772" s="4">
        <f t="shared" si="162"/>
        <v>10</v>
      </c>
      <c r="G772">
        <v>366</v>
      </c>
      <c r="H772">
        <v>316</v>
      </c>
      <c r="I772" s="13">
        <f t="shared" si="163"/>
        <v>0.86</v>
      </c>
      <c r="J772">
        <f t="shared" si="156"/>
        <v>50</v>
      </c>
      <c r="K772" s="2">
        <v>4.2824074074074075E-4</v>
      </c>
      <c r="L772" s="11">
        <f t="shared" si="157"/>
        <v>194.86666666666667</v>
      </c>
      <c r="M772" s="3">
        <f t="shared" si="164"/>
        <v>0.6166666666666667</v>
      </c>
      <c r="N772" s="4">
        <f t="shared" si="165"/>
        <v>37</v>
      </c>
      <c r="O772" s="2">
        <v>1.8981481481481482E-3</v>
      </c>
      <c r="P772" s="9">
        <f t="shared" si="158"/>
        <v>863.73333333333335</v>
      </c>
      <c r="Q772" s="3">
        <f t="shared" si="166"/>
        <v>2.7333333333333334</v>
      </c>
      <c r="R772" s="4">
        <f t="shared" si="167"/>
        <v>164</v>
      </c>
      <c r="S772" s="3">
        <f t="shared" si="168"/>
        <v>169</v>
      </c>
      <c r="T772" s="1">
        <v>0.53739999999999999</v>
      </c>
      <c r="U772" s="6">
        <f t="shared" si="159"/>
        <v>169.8184</v>
      </c>
    </row>
    <row r="773" spans="1:21" x14ac:dyDescent="0.35">
      <c r="A773">
        <v>772</v>
      </c>
      <c r="B773" s="5">
        <v>44968</v>
      </c>
      <c r="C773" s="4">
        <f t="shared" si="160"/>
        <v>2023</v>
      </c>
      <c r="D773" s="4">
        <f t="shared" si="161"/>
        <v>2</v>
      </c>
      <c r="E773" s="14">
        <v>44968</v>
      </c>
      <c r="F773" s="4">
        <f t="shared" si="162"/>
        <v>11</v>
      </c>
      <c r="G773">
        <v>121</v>
      </c>
      <c r="H773">
        <v>105</v>
      </c>
      <c r="I773" s="13">
        <f t="shared" si="163"/>
        <v>0.86</v>
      </c>
      <c r="J773">
        <f t="shared" si="156"/>
        <v>16</v>
      </c>
      <c r="K773" s="2">
        <v>5.4398148148148144E-4</v>
      </c>
      <c r="L773" s="11">
        <f t="shared" si="157"/>
        <v>82.25</v>
      </c>
      <c r="M773" s="3">
        <f t="shared" si="164"/>
        <v>0.78333333333333333</v>
      </c>
      <c r="N773" s="4">
        <f t="shared" si="165"/>
        <v>47</v>
      </c>
      <c r="O773" s="2">
        <v>2.0833333333333333E-3</v>
      </c>
      <c r="P773" s="9">
        <f t="shared" si="158"/>
        <v>315</v>
      </c>
      <c r="Q773" s="3">
        <f t="shared" si="166"/>
        <v>3</v>
      </c>
      <c r="R773" s="4">
        <f t="shared" si="167"/>
        <v>180</v>
      </c>
      <c r="S773" s="3">
        <f t="shared" si="168"/>
        <v>63</v>
      </c>
      <c r="T773" s="1">
        <v>0.6</v>
      </c>
      <c r="U773" s="6">
        <f t="shared" si="159"/>
        <v>63</v>
      </c>
    </row>
    <row r="774" spans="1:21" x14ac:dyDescent="0.35">
      <c r="A774">
        <v>773</v>
      </c>
      <c r="B774" s="5">
        <v>44969</v>
      </c>
      <c r="C774" s="4">
        <f t="shared" si="160"/>
        <v>2023</v>
      </c>
      <c r="D774" s="4">
        <f t="shared" si="161"/>
        <v>2</v>
      </c>
      <c r="E774" s="14">
        <v>44969</v>
      </c>
      <c r="F774" s="4">
        <f t="shared" si="162"/>
        <v>12</v>
      </c>
      <c r="G774">
        <v>287</v>
      </c>
      <c r="H774">
        <v>266</v>
      </c>
      <c r="I774" s="13">
        <f t="shared" si="163"/>
        <v>0.92</v>
      </c>
      <c r="J774">
        <f t="shared" si="156"/>
        <v>21</v>
      </c>
      <c r="K774" s="2">
        <v>3.9351851851851852E-4</v>
      </c>
      <c r="L774" s="11">
        <f t="shared" si="157"/>
        <v>150.73333333333332</v>
      </c>
      <c r="M774" s="3">
        <f t="shared" si="164"/>
        <v>0.56666666666666665</v>
      </c>
      <c r="N774" s="4">
        <f t="shared" si="165"/>
        <v>34</v>
      </c>
      <c r="O774" s="2">
        <v>2.1527777777777778E-3</v>
      </c>
      <c r="P774" s="9">
        <f t="shared" si="158"/>
        <v>824.6</v>
      </c>
      <c r="Q774" s="3">
        <f t="shared" si="166"/>
        <v>3.1</v>
      </c>
      <c r="R774" s="4">
        <f t="shared" si="167"/>
        <v>186</v>
      </c>
      <c r="S774" s="3">
        <f t="shared" si="168"/>
        <v>158</v>
      </c>
      <c r="T774" s="1">
        <v>0.59719999999999995</v>
      </c>
      <c r="U774" s="6">
        <f t="shared" si="159"/>
        <v>158.8552</v>
      </c>
    </row>
    <row r="775" spans="1:21" x14ac:dyDescent="0.35">
      <c r="A775">
        <v>774</v>
      </c>
      <c r="B775" s="5">
        <v>44970</v>
      </c>
      <c r="C775" s="4">
        <f t="shared" si="160"/>
        <v>2023</v>
      </c>
      <c r="D775" s="4">
        <f t="shared" si="161"/>
        <v>2</v>
      </c>
      <c r="E775" s="14">
        <v>44970</v>
      </c>
      <c r="F775" s="4">
        <f t="shared" si="162"/>
        <v>13</v>
      </c>
      <c r="G775">
        <v>298</v>
      </c>
      <c r="H775">
        <v>277</v>
      </c>
      <c r="I775" s="13">
        <f t="shared" si="163"/>
        <v>0.92</v>
      </c>
      <c r="J775">
        <f t="shared" si="156"/>
        <v>21</v>
      </c>
      <c r="K775" s="2">
        <v>4.5138888888888887E-4</v>
      </c>
      <c r="L775" s="11">
        <f t="shared" si="157"/>
        <v>180.05</v>
      </c>
      <c r="M775" s="3">
        <f t="shared" si="164"/>
        <v>0.65</v>
      </c>
      <c r="N775" s="4">
        <f t="shared" si="165"/>
        <v>39</v>
      </c>
      <c r="O775" s="2">
        <v>2.1759259259259258E-3</v>
      </c>
      <c r="P775" s="9">
        <f t="shared" si="158"/>
        <v>867.93333333333328</v>
      </c>
      <c r="Q775" s="3">
        <f t="shared" si="166"/>
        <v>3.1333333333333333</v>
      </c>
      <c r="R775" s="4">
        <f t="shared" si="167"/>
        <v>188</v>
      </c>
      <c r="S775" s="3">
        <f t="shared" si="168"/>
        <v>141</v>
      </c>
      <c r="T775" s="1">
        <v>0.51180000000000003</v>
      </c>
      <c r="U775" s="6">
        <f t="shared" si="159"/>
        <v>141.76860000000002</v>
      </c>
    </row>
    <row r="776" spans="1:21" x14ac:dyDescent="0.35">
      <c r="A776">
        <v>775</v>
      </c>
      <c r="B776" s="5">
        <v>44971</v>
      </c>
      <c r="C776" s="4">
        <f t="shared" si="160"/>
        <v>2023</v>
      </c>
      <c r="D776" s="4">
        <f t="shared" si="161"/>
        <v>2</v>
      </c>
      <c r="E776" s="14">
        <v>44971</v>
      </c>
      <c r="F776" s="4">
        <f t="shared" si="162"/>
        <v>14</v>
      </c>
      <c r="G776">
        <v>70</v>
      </c>
      <c r="H776">
        <v>56</v>
      </c>
      <c r="I776" s="13">
        <f t="shared" si="163"/>
        <v>0.8</v>
      </c>
      <c r="J776">
        <f t="shared" si="156"/>
        <v>14</v>
      </c>
      <c r="K776" s="2">
        <v>5.3240740740740744E-4</v>
      </c>
      <c r="L776" s="11">
        <f t="shared" si="157"/>
        <v>42.933333333333337</v>
      </c>
      <c r="M776" s="3">
        <f t="shared" si="164"/>
        <v>0.76666666666666672</v>
      </c>
      <c r="N776" s="4">
        <f t="shared" si="165"/>
        <v>46</v>
      </c>
      <c r="O776" s="2">
        <v>2.3495370370370371E-3</v>
      </c>
      <c r="P776" s="9">
        <f t="shared" si="158"/>
        <v>189.46666666666667</v>
      </c>
      <c r="Q776" s="3">
        <f t="shared" si="166"/>
        <v>3.3833333333333333</v>
      </c>
      <c r="R776" s="4">
        <f t="shared" si="167"/>
        <v>203</v>
      </c>
      <c r="S776" s="3">
        <f t="shared" si="168"/>
        <v>25</v>
      </c>
      <c r="T776" s="1">
        <v>0.45710000000000001</v>
      </c>
      <c r="U776" s="6">
        <f t="shared" si="159"/>
        <v>25.5976</v>
      </c>
    </row>
    <row r="777" spans="1:21" x14ac:dyDescent="0.35">
      <c r="A777">
        <v>776</v>
      </c>
      <c r="B777" s="5">
        <v>44972</v>
      </c>
      <c r="C777" s="4">
        <f t="shared" si="160"/>
        <v>2023</v>
      </c>
      <c r="D777" s="4">
        <f t="shared" si="161"/>
        <v>2</v>
      </c>
      <c r="E777" s="14">
        <v>44972</v>
      </c>
      <c r="F777" s="4">
        <f t="shared" si="162"/>
        <v>15</v>
      </c>
      <c r="G777">
        <v>287</v>
      </c>
      <c r="H777">
        <v>255</v>
      </c>
      <c r="I777" s="13">
        <f t="shared" si="163"/>
        <v>0.88</v>
      </c>
      <c r="J777">
        <f t="shared" si="156"/>
        <v>32</v>
      </c>
      <c r="K777" s="2">
        <v>4.6296296296296298E-4</v>
      </c>
      <c r="L777" s="11">
        <f t="shared" si="157"/>
        <v>170</v>
      </c>
      <c r="M777" s="3">
        <f t="shared" si="164"/>
        <v>0.66666666666666663</v>
      </c>
      <c r="N777" s="4">
        <f t="shared" si="165"/>
        <v>40</v>
      </c>
      <c r="O777" s="2">
        <v>2.4305555555555556E-3</v>
      </c>
      <c r="P777" s="9">
        <f t="shared" si="158"/>
        <v>892.5</v>
      </c>
      <c r="Q777" s="3">
        <f t="shared" si="166"/>
        <v>3.5</v>
      </c>
      <c r="R777" s="4">
        <f t="shared" si="167"/>
        <v>210</v>
      </c>
      <c r="S777" s="3">
        <f t="shared" si="168"/>
        <v>119</v>
      </c>
      <c r="T777" s="1">
        <v>0.46810000000000002</v>
      </c>
      <c r="U777" s="6">
        <f t="shared" si="159"/>
        <v>119.3655</v>
      </c>
    </row>
    <row r="778" spans="1:21" x14ac:dyDescent="0.35">
      <c r="A778">
        <v>777</v>
      </c>
      <c r="B778" s="5">
        <v>44973</v>
      </c>
      <c r="C778" s="4">
        <f t="shared" si="160"/>
        <v>2023</v>
      </c>
      <c r="D778" s="4">
        <f t="shared" si="161"/>
        <v>2</v>
      </c>
      <c r="E778" s="14">
        <v>44973</v>
      </c>
      <c r="F778" s="4">
        <f t="shared" si="162"/>
        <v>16</v>
      </c>
      <c r="G778">
        <v>298</v>
      </c>
      <c r="H778">
        <v>259</v>
      </c>
      <c r="I778" s="13">
        <f t="shared" si="163"/>
        <v>0.86</v>
      </c>
      <c r="J778">
        <f t="shared" si="156"/>
        <v>39</v>
      </c>
      <c r="K778" s="2">
        <v>3.4722222222222224E-4</v>
      </c>
      <c r="L778" s="11">
        <f t="shared" si="157"/>
        <v>129.5</v>
      </c>
      <c r="M778" s="3">
        <f t="shared" si="164"/>
        <v>0.5</v>
      </c>
      <c r="N778" s="4">
        <f t="shared" si="165"/>
        <v>30</v>
      </c>
      <c r="O778" s="2">
        <v>2.2453703703703702E-3</v>
      </c>
      <c r="P778" s="9">
        <f t="shared" si="158"/>
        <v>837.43333333333339</v>
      </c>
      <c r="Q778" s="3">
        <f t="shared" si="166"/>
        <v>3.2333333333333334</v>
      </c>
      <c r="R778" s="4">
        <f t="shared" si="167"/>
        <v>194</v>
      </c>
      <c r="S778" s="3">
        <f t="shared" si="168"/>
        <v>150</v>
      </c>
      <c r="T778" s="1">
        <v>0.57969999999999999</v>
      </c>
      <c r="U778" s="6">
        <f t="shared" si="159"/>
        <v>150.14230000000001</v>
      </c>
    </row>
    <row r="779" spans="1:21" x14ac:dyDescent="0.35">
      <c r="A779">
        <v>778</v>
      </c>
      <c r="B779" s="5">
        <v>44974</v>
      </c>
      <c r="C779" s="4">
        <f t="shared" si="160"/>
        <v>2023</v>
      </c>
      <c r="D779" s="4">
        <f t="shared" si="161"/>
        <v>2</v>
      </c>
      <c r="E779" s="14">
        <v>44974</v>
      </c>
      <c r="F779" s="4">
        <f t="shared" si="162"/>
        <v>17</v>
      </c>
      <c r="G779">
        <v>347</v>
      </c>
      <c r="H779">
        <v>317</v>
      </c>
      <c r="I779" s="13">
        <f t="shared" si="163"/>
        <v>0.91</v>
      </c>
      <c r="J779">
        <f t="shared" si="156"/>
        <v>30</v>
      </c>
      <c r="K779" s="2">
        <v>3.4722222222222224E-4</v>
      </c>
      <c r="L779" s="11">
        <f t="shared" si="157"/>
        <v>158.5</v>
      </c>
      <c r="M779" s="3">
        <f t="shared" si="164"/>
        <v>0.5</v>
      </c>
      <c r="N779" s="4">
        <f t="shared" si="165"/>
        <v>30</v>
      </c>
      <c r="O779" s="2">
        <v>2.2106481481481482E-3</v>
      </c>
      <c r="P779" s="9">
        <f t="shared" si="158"/>
        <v>1009.1166666666666</v>
      </c>
      <c r="Q779" s="3">
        <f t="shared" si="166"/>
        <v>3.1833333333333331</v>
      </c>
      <c r="R779" s="4">
        <f t="shared" si="167"/>
        <v>191</v>
      </c>
      <c r="S779" s="3">
        <f t="shared" si="168"/>
        <v>189</v>
      </c>
      <c r="T779" s="1">
        <v>0.59770000000000001</v>
      </c>
      <c r="U779" s="6">
        <f t="shared" si="159"/>
        <v>189.4709</v>
      </c>
    </row>
    <row r="780" spans="1:21" x14ac:dyDescent="0.35">
      <c r="A780">
        <v>779</v>
      </c>
      <c r="B780" s="5">
        <v>44975</v>
      </c>
      <c r="C780" s="4">
        <f t="shared" si="160"/>
        <v>2023</v>
      </c>
      <c r="D780" s="4">
        <f t="shared" si="161"/>
        <v>2</v>
      </c>
      <c r="E780" s="14">
        <v>44975</v>
      </c>
      <c r="F780" s="4">
        <f t="shared" si="162"/>
        <v>18</v>
      </c>
      <c r="G780">
        <v>414</v>
      </c>
      <c r="H780">
        <v>356</v>
      </c>
      <c r="I780" s="13">
        <f t="shared" si="163"/>
        <v>0.85</v>
      </c>
      <c r="J780">
        <f t="shared" si="156"/>
        <v>58</v>
      </c>
      <c r="K780" s="2">
        <v>4.9768518518518521E-4</v>
      </c>
      <c r="L780" s="11">
        <f t="shared" si="157"/>
        <v>255.13333333333333</v>
      </c>
      <c r="M780" s="3">
        <f t="shared" si="164"/>
        <v>0.71666666666666667</v>
      </c>
      <c r="N780" s="4">
        <f t="shared" si="165"/>
        <v>43</v>
      </c>
      <c r="O780" s="2">
        <v>2.3958333333333331E-3</v>
      </c>
      <c r="P780" s="9">
        <f t="shared" si="158"/>
        <v>1228.2</v>
      </c>
      <c r="Q780" s="3">
        <f t="shared" si="166"/>
        <v>3.45</v>
      </c>
      <c r="R780" s="4">
        <f t="shared" si="167"/>
        <v>207</v>
      </c>
      <c r="S780" s="3">
        <f t="shared" si="168"/>
        <v>167</v>
      </c>
      <c r="T780" s="1">
        <v>0.47149999999999997</v>
      </c>
      <c r="U780" s="6">
        <f t="shared" si="159"/>
        <v>167.85399999999998</v>
      </c>
    </row>
    <row r="781" spans="1:21" x14ac:dyDescent="0.35">
      <c r="A781">
        <v>780</v>
      </c>
      <c r="B781" s="5">
        <v>44976</v>
      </c>
      <c r="C781" s="4">
        <f t="shared" si="160"/>
        <v>2023</v>
      </c>
      <c r="D781" s="4">
        <f t="shared" si="161"/>
        <v>2</v>
      </c>
      <c r="E781" s="14">
        <v>44976</v>
      </c>
      <c r="F781" s="4">
        <f t="shared" si="162"/>
        <v>19</v>
      </c>
      <c r="G781">
        <v>406</v>
      </c>
      <c r="H781">
        <v>362</v>
      </c>
      <c r="I781" s="13">
        <f t="shared" si="163"/>
        <v>0.89</v>
      </c>
      <c r="J781">
        <f t="shared" si="156"/>
        <v>44</v>
      </c>
      <c r="K781" s="2">
        <v>4.2824074074074075E-4</v>
      </c>
      <c r="L781" s="11">
        <f t="shared" si="157"/>
        <v>223.23333333333335</v>
      </c>
      <c r="M781" s="3">
        <f t="shared" si="164"/>
        <v>0.6166666666666667</v>
      </c>
      <c r="N781" s="4">
        <f t="shared" si="165"/>
        <v>37</v>
      </c>
      <c r="O781" s="2">
        <v>2.1064814814814813E-3</v>
      </c>
      <c r="P781" s="9">
        <f t="shared" si="158"/>
        <v>1098.0666666666666</v>
      </c>
      <c r="Q781" s="3">
        <f t="shared" si="166"/>
        <v>3.0333333333333332</v>
      </c>
      <c r="R781" s="4">
        <f t="shared" si="167"/>
        <v>182</v>
      </c>
      <c r="S781" s="3">
        <f t="shared" si="168"/>
        <v>193</v>
      </c>
      <c r="T781" s="1">
        <v>0.53480000000000005</v>
      </c>
      <c r="U781" s="6">
        <f t="shared" si="159"/>
        <v>193.59760000000003</v>
      </c>
    </row>
    <row r="782" spans="1:21" x14ac:dyDescent="0.35">
      <c r="A782">
        <v>781</v>
      </c>
      <c r="B782" s="5">
        <v>44977</v>
      </c>
      <c r="C782" s="4">
        <f t="shared" si="160"/>
        <v>2023</v>
      </c>
      <c r="D782" s="4">
        <f t="shared" si="161"/>
        <v>2</v>
      </c>
      <c r="E782" s="14">
        <v>44977</v>
      </c>
      <c r="F782" s="4">
        <f t="shared" si="162"/>
        <v>20</v>
      </c>
      <c r="G782">
        <v>366</v>
      </c>
      <c r="H782">
        <v>322</v>
      </c>
      <c r="I782" s="13">
        <f t="shared" si="163"/>
        <v>0.87</v>
      </c>
      <c r="J782">
        <f t="shared" si="156"/>
        <v>44</v>
      </c>
      <c r="K782" s="2">
        <v>4.0509259259259258E-4</v>
      </c>
      <c r="L782" s="11">
        <f t="shared" si="157"/>
        <v>187.83333333333334</v>
      </c>
      <c r="M782" s="3">
        <f t="shared" si="164"/>
        <v>0.58333333333333337</v>
      </c>
      <c r="N782" s="4">
        <f t="shared" si="165"/>
        <v>35</v>
      </c>
      <c r="O782" s="2">
        <v>2.1180555555555558E-3</v>
      </c>
      <c r="P782" s="9">
        <f t="shared" si="158"/>
        <v>982.09999999999991</v>
      </c>
      <c r="Q782" s="3">
        <f t="shared" si="166"/>
        <v>3.05</v>
      </c>
      <c r="R782" s="4">
        <f t="shared" si="167"/>
        <v>183</v>
      </c>
      <c r="S782" s="3">
        <f t="shared" si="168"/>
        <v>183</v>
      </c>
      <c r="T782" s="1">
        <v>0.5706</v>
      </c>
      <c r="U782" s="6">
        <f t="shared" si="159"/>
        <v>183.73320000000001</v>
      </c>
    </row>
    <row r="783" spans="1:21" x14ac:dyDescent="0.35">
      <c r="A783">
        <v>782</v>
      </c>
      <c r="B783" s="5">
        <v>44978</v>
      </c>
      <c r="C783" s="4">
        <f t="shared" si="160"/>
        <v>2023</v>
      </c>
      <c r="D783" s="4">
        <f t="shared" si="161"/>
        <v>2</v>
      </c>
      <c r="E783" s="14">
        <v>44978</v>
      </c>
      <c r="F783" s="4">
        <f t="shared" si="162"/>
        <v>21</v>
      </c>
      <c r="G783">
        <v>68</v>
      </c>
      <c r="H783">
        <v>64</v>
      </c>
      <c r="I783" s="13">
        <f t="shared" si="163"/>
        <v>0.94</v>
      </c>
      <c r="J783">
        <f t="shared" si="156"/>
        <v>4</v>
      </c>
      <c r="K783" s="2">
        <v>1.6203703703703703E-4</v>
      </c>
      <c r="L783" s="11">
        <f t="shared" si="157"/>
        <v>14.933333333333334</v>
      </c>
      <c r="M783" s="3">
        <f t="shared" si="164"/>
        <v>0.23333333333333334</v>
      </c>
      <c r="N783" s="4">
        <f t="shared" si="165"/>
        <v>14</v>
      </c>
      <c r="O783" s="2">
        <v>2.0601851851851853E-3</v>
      </c>
      <c r="P783" s="9">
        <f t="shared" si="158"/>
        <v>189.86666666666667</v>
      </c>
      <c r="Q783" s="3">
        <f t="shared" si="166"/>
        <v>2.9666666666666668</v>
      </c>
      <c r="R783" s="4">
        <f t="shared" si="167"/>
        <v>178</v>
      </c>
      <c r="S783" s="3">
        <f t="shared" si="168"/>
        <v>52</v>
      </c>
      <c r="T783" s="1">
        <v>0.82350000000000001</v>
      </c>
      <c r="U783" s="6">
        <f t="shared" si="159"/>
        <v>52.704000000000001</v>
      </c>
    </row>
    <row r="784" spans="1:21" x14ac:dyDescent="0.35">
      <c r="A784">
        <v>783</v>
      </c>
      <c r="B784" s="5">
        <v>44979</v>
      </c>
      <c r="C784" s="4">
        <f t="shared" si="160"/>
        <v>2023</v>
      </c>
      <c r="D784" s="4">
        <f t="shared" si="161"/>
        <v>2</v>
      </c>
      <c r="E784" s="14">
        <v>44979</v>
      </c>
      <c r="F784" s="4">
        <f t="shared" si="162"/>
        <v>22</v>
      </c>
      <c r="G784">
        <v>350</v>
      </c>
      <c r="H784">
        <v>320</v>
      </c>
      <c r="I784" s="13">
        <f t="shared" si="163"/>
        <v>0.91</v>
      </c>
      <c r="J784">
        <f t="shared" si="156"/>
        <v>30</v>
      </c>
      <c r="K784" s="2">
        <v>4.2824074074074075E-4</v>
      </c>
      <c r="L784" s="11">
        <f t="shared" si="157"/>
        <v>197.33333333333334</v>
      </c>
      <c r="M784" s="3">
        <f t="shared" si="164"/>
        <v>0.6166666666666667</v>
      </c>
      <c r="N784" s="4">
        <f t="shared" si="165"/>
        <v>37</v>
      </c>
      <c r="O784" s="2">
        <v>2.2337962962962962E-3</v>
      </c>
      <c r="P784" s="9">
        <f t="shared" si="158"/>
        <v>1029.3333333333335</v>
      </c>
      <c r="Q784" s="3">
        <f t="shared" si="166"/>
        <v>3.2166666666666668</v>
      </c>
      <c r="R784" s="4">
        <f t="shared" si="167"/>
        <v>193</v>
      </c>
      <c r="S784" s="3">
        <f t="shared" si="168"/>
        <v>173</v>
      </c>
      <c r="T784" s="1">
        <v>0.54179999999999995</v>
      </c>
      <c r="U784" s="6">
        <f t="shared" si="159"/>
        <v>173.37599999999998</v>
      </c>
    </row>
    <row r="785" spans="1:21" x14ac:dyDescent="0.35">
      <c r="A785">
        <v>784</v>
      </c>
      <c r="B785" s="5">
        <v>44980</v>
      </c>
      <c r="C785" s="4">
        <f t="shared" si="160"/>
        <v>2023</v>
      </c>
      <c r="D785" s="4">
        <f t="shared" si="161"/>
        <v>2</v>
      </c>
      <c r="E785" s="14">
        <v>44980</v>
      </c>
      <c r="F785" s="4">
        <f t="shared" si="162"/>
        <v>23</v>
      </c>
      <c r="G785">
        <v>437</v>
      </c>
      <c r="H785">
        <v>352</v>
      </c>
      <c r="I785" s="13">
        <f t="shared" si="163"/>
        <v>0.8</v>
      </c>
      <c r="J785">
        <f t="shared" si="156"/>
        <v>85</v>
      </c>
      <c r="K785" s="2">
        <v>6.018518518518519E-4</v>
      </c>
      <c r="L785" s="11">
        <f t="shared" si="157"/>
        <v>305.06666666666666</v>
      </c>
      <c r="M785" s="3">
        <f t="shared" si="164"/>
        <v>0.8666666666666667</v>
      </c>
      <c r="N785" s="4">
        <f t="shared" si="165"/>
        <v>52</v>
      </c>
      <c r="O785" s="2">
        <v>2.0949074074074073E-3</v>
      </c>
      <c r="P785" s="9">
        <f t="shared" si="158"/>
        <v>1061.8666666666666</v>
      </c>
      <c r="Q785" s="3">
        <f t="shared" si="166"/>
        <v>3.0166666666666666</v>
      </c>
      <c r="R785" s="4">
        <f t="shared" si="167"/>
        <v>181</v>
      </c>
      <c r="S785" s="3">
        <f t="shared" si="168"/>
        <v>145</v>
      </c>
      <c r="T785" s="1">
        <v>0.41260000000000002</v>
      </c>
      <c r="U785" s="6">
        <f t="shared" si="159"/>
        <v>145.23520000000002</v>
      </c>
    </row>
    <row r="786" spans="1:21" x14ac:dyDescent="0.35">
      <c r="A786">
        <v>785</v>
      </c>
      <c r="B786" s="5">
        <v>44981</v>
      </c>
      <c r="C786" s="4">
        <f t="shared" si="160"/>
        <v>2023</v>
      </c>
      <c r="D786" s="4">
        <f t="shared" si="161"/>
        <v>2</v>
      </c>
      <c r="E786" s="14">
        <v>44981</v>
      </c>
      <c r="F786" s="4">
        <f t="shared" si="162"/>
        <v>24</v>
      </c>
      <c r="G786">
        <v>484</v>
      </c>
      <c r="H786">
        <v>438</v>
      </c>
      <c r="I786" s="13">
        <f t="shared" si="163"/>
        <v>0.9</v>
      </c>
      <c r="J786">
        <f t="shared" si="156"/>
        <v>46</v>
      </c>
      <c r="K786" s="2">
        <v>5.2083333333333333E-4</v>
      </c>
      <c r="L786" s="11">
        <f t="shared" si="157"/>
        <v>328.5</v>
      </c>
      <c r="M786" s="3">
        <f t="shared" si="164"/>
        <v>0.75</v>
      </c>
      <c r="N786" s="4">
        <f t="shared" si="165"/>
        <v>45</v>
      </c>
      <c r="O786" s="2">
        <v>2.0486111111111113E-3</v>
      </c>
      <c r="P786" s="9">
        <f t="shared" si="158"/>
        <v>1292.1000000000001</v>
      </c>
      <c r="Q786" s="3">
        <f t="shared" si="166"/>
        <v>2.95</v>
      </c>
      <c r="R786" s="4">
        <f t="shared" si="167"/>
        <v>177</v>
      </c>
      <c r="S786" s="3">
        <f t="shared" si="168"/>
        <v>196</v>
      </c>
      <c r="T786" s="1">
        <v>0.44790000000000002</v>
      </c>
      <c r="U786" s="6">
        <f t="shared" si="159"/>
        <v>196.18020000000001</v>
      </c>
    </row>
    <row r="787" spans="1:21" x14ac:dyDescent="0.35">
      <c r="A787">
        <v>786</v>
      </c>
      <c r="B787" s="5">
        <v>44982</v>
      </c>
      <c r="C787" s="4">
        <f t="shared" si="160"/>
        <v>2023</v>
      </c>
      <c r="D787" s="4">
        <f t="shared" si="161"/>
        <v>2</v>
      </c>
      <c r="E787" s="14">
        <v>44982</v>
      </c>
      <c r="F787" s="4">
        <f t="shared" si="162"/>
        <v>25</v>
      </c>
      <c r="G787">
        <v>405</v>
      </c>
      <c r="H787">
        <v>368</v>
      </c>
      <c r="I787" s="13">
        <f t="shared" si="163"/>
        <v>0.9</v>
      </c>
      <c r="J787">
        <f t="shared" si="156"/>
        <v>37</v>
      </c>
      <c r="K787" s="2">
        <v>4.0509259259259258E-4</v>
      </c>
      <c r="L787" s="11">
        <f t="shared" si="157"/>
        <v>214.66666666666669</v>
      </c>
      <c r="M787" s="3">
        <f t="shared" si="164"/>
        <v>0.58333333333333337</v>
      </c>
      <c r="N787" s="4">
        <f t="shared" si="165"/>
        <v>35</v>
      </c>
      <c r="O787" s="2">
        <v>2.1875000000000002E-3</v>
      </c>
      <c r="P787" s="9">
        <f t="shared" si="158"/>
        <v>1159.2</v>
      </c>
      <c r="Q787" s="3">
        <f t="shared" si="166"/>
        <v>3.15</v>
      </c>
      <c r="R787" s="4">
        <f t="shared" si="167"/>
        <v>189</v>
      </c>
      <c r="S787" s="3">
        <f t="shared" si="168"/>
        <v>213</v>
      </c>
      <c r="T787" s="1">
        <v>0.58099999999999996</v>
      </c>
      <c r="U787" s="6">
        <f t="shared" si="159"/>
        <v>213.80799999999999</v>
      </c>
    </row>
    <row r="788" spans="1:21" x14ac:dyDescent="0.35">
      <c r="A788">
        <v>787</v>
      </c>
      <c r="B788" s="5">
        <v>44983</v>
      </c>
      <c r="C788" s="4">
        <f t="shared" si="160"/>
        <v>2023</v>
      </c>
      <c r="D788" s="4">
        <f t="shared" si="161"/>
        <v>2</v>
      </c>
      <c r="E788" s="14">
        <v>44983</v>
      </c>
      <c r="F788" s="4">
        <f t="shared" si="162"/>
        <v>26</v>
      </c>
      <c r="G788">
        <v>570</v>
      </c>
      <c r="H788">
        <v>368</v>
      </c>
      <c r="I788" s="13">
        <f t="shared" si="163"/>
        <v>0.64</v>
      </c>
      <c r="J788">
        <f t="shared" si="156"/>
        <v>202</v>
      </c>
      <c r="K788" s="2">
        <v>8.2175925925925927E-4</v>
      </c>
      <c r="L788" s="11">
        <f t="shared" si="157"/>
        <v>435.4666666666667</v>
      </c>
      <c r="M788" s="3">
        <f t="shared" si="164"/>
        <v>1.1833333333333333</v>
      </c>
      <c r="N788" s="4">
        <f t="shared" si="165"/>
        <v>71</v>
      </c>
      <c r="O788" s="2">
        <v>2.3611111111111111E-3</v>
      </c>
      <c r="P788" s="9">
        <f t="shared" si="158"/>
        <v>1251.2</v>
      </c>
      <c r="Q788" s="3">
        <f t="shared" si="166"/>
        <v>3.4</v>
      </c>
      <c r="R788" s="4">
        <f t="shared" si="167"/>
        <v>204</v>
      </c>
      <c r="S788" s="3">
        <f t="shared" si="168"/>
        <v>86</v>
      </c>
      <c r="T788" s="1">
        <v>0.2354</v>
      </c>
      <c r="U788" s="6">
        <f t="shared" si="159"/>
        <v>86.627200000000002</v>
      </c>
    </row>
    <row r="789" spans="1:21" x14ac:dyDescent="0.35">
      <c r="A789">
        <v>788</v>
      </c>
      <c r="B789" s="5">
        <v>44984</v>
      </c>
      <c r="C789" s="4">
        <f t="shared" si="160"/>
        <v>2023</v>
      </c>
      <c r="D789" s="4">
        <f t="shared" si="161"/>
        <v>2</v>
      </c>
      <c r="E789" s="14">
        <v>44984</v>
      </c>
      <c r="F789" s="4">
        <f t="shared" si="162"/>
        <v>27</v>
      </c>
      <c r="G789">
        <v>424</v>
      </c>
      <c r="H789">
        <v>384</v>
      </c>
      <c r="I789" s="13">
        <f t="shared" si="163"/>
        <v>0.9</v>
      </c>
      <c r="J789">
        <f t="shared" si="156"/>
        <v>40</v>
      </c>
      <c r="K789" s="2">
        <v>5.6712962962962967E-4</v>
      </c>
      <c r="L789" s="11">
        <f t="shared" si="157"/>
        <v>313.60000000000002</v>
      </c>
      <c r="M789" s="3">
        <f t="shared" si="164"/>
        <v>0.81666666666666665</v>
      </c>
      <c r="N789" s="4">
        <f t="shared" si="165"/>
        <v>49</v>
      </c>
      <c r="O789" s="2">
        <v>2.2453703703703702E-3</v>
      </c>
      <c r="P789" s="9">
        <f t="shared" si="158"/>
        <v>1241.5999999999999</v>
      </c>
      <c r="Q789" s="3">
        <f t="shared" si="166"/>
        <v>3.2333333333333334</v>
      </c>
      <c r="R789" s="4">
        <f t="shared" si="167"/>
        <v>194</v>
      </c>
      <c r="S789" s="3">
        <f t="shared" si="168"/>
        <v>151</v>
      </c>
      <c r="T789" s="1">
        <v>0.3952</v>
      </c>
      <c r="U789" s="6">
        <f t="shared" si="159"/>
        <v>151.7568</v>
      </c>
    </row>
    <row r="790" spans="1:21" x14ac:dyDescent="0.35">
      <c r="A790">
        <v>789</v>
      </c>
      <c r="B790" s="5">
        <v>44985</v>
      </c>
      <c r="C790" s="4">
        <f t="shared" si="160"/>
        <v>2023</v>
      </c>
      <c r="D790" s="4">
        <f t="shared" si="161"/>
        <v>2</v>
      </c>
      <c r="E790" s="14">
        <v>44985</v>
      </c>
      <c r="F790" s="4">
        <f t="shared" si="162"/>
        <v>28</v>
      </c>
      <c r="G790">
        <v>60</v>
      </c>
      <c r="H790">
        <v>57</v>
      </c>
      <c r="I790" s="13">
        <f t="shared" si="163"/>
        <v>0.95</v>
      </c>
      <c r="J790">
        <f t="shared" si="156"/>
        <v>3</v>
      </c>
      <c r="K790" s="2">
        <v>3.7037037037037035E-4</v>
      </c>
      <c r="L790" s="11">
        <f t="shared" si="157"/>
        <v>30.4</v>
      </c>
      <c r="M790" s="3">
        <f t="shared" si="164"/>
        <v>0.53333333333333333</v>
      </c>
      <c r="N790" s="4">
        <f t="shared" si="165"/>
        <v>32</v>
      </c>
      <c r="O790" s="2">
        <v>2.3032407407407407E-3</v>
      </c>
      <c r="P790" s="9">
        <f t="shared" si="158"/>
        <v>189.04999999999998</v>
      </c>
      <c r="Q790" s="3">
        <f t="shared" si="166"/>
        <v>3.3166666666666664</v>
      </c>
      <c r="R790" s="4">
        <f t="shared" si="167"/>
        <v>199</v>
      </c>
      <c r="S790" s="3">
        <f t="shared" si="168"/>
        <v>31</v>
      </c>
      <c r="T790" s="1">
        <v>0.55930000000000002</v>
      </c>
      <c r="U790" s="6">
        <f t="shared" si="159"/>
        <v>31.880100000000002</v>
      </c>
    </row>
    <row r="791" spans="1:21" x14ac:dyDescent="0.35">
      <c r="A791">
        <v>790</v>
      </c>
      <c r="B791" s="5">
        <v>44986</v>
      </c>
      <c r="C791" s="4">
        <f t="shared" si="160"/>
        <v>2023</v>
      </c>
      <c r="D791" s="4">
        <f t="shared" si="161"/>
        <v>3</v>
      </c>
      <c r="E791" s="14">
        <v>44986</v>
      </c>
      <c r="F791" s="4">
        <f t="shared" si="162"/>
        <v>1</v>
      </c>
      <c r="G791">
        <v>497</v>
      </c>
      <c r="H791">
        <v>442</v>
      </c>
      <c r="I791" s="13">
        <f t="shared" si="163"/>
        <v>0.88</v>
      </c>
      <c r="J791">
        <f t="shared" si="156"/>
        <v>55</v>
      </c>
      <c r="K791" s="2">
        <v>5.5555555555555556E-4</v>
      </c>
      <c r="L791" s="11">
        <f t="shared" si="157"/>
        <v>353.6</v>
      </c>
      <c r="M791" s="3">
        <f t="shared" si="164"/>
        <v>0.8</v>
      </c>
      <c r="N791" s="4">
        <f t="shared" si="165"/>
        <v>48</v>
      </c>
      <c r="O791" s="2">
        <v>1.1111111111111111E-3</v>
      </c>
      <c r="P791" s="9">
        <f t="shared" si="158"/>
        <v>707.2</v>
      </c>
      <c r="Q791" s="3">
        <f t="shared" si="166"/>
        <v>1.6</v>
      </c>
      <c r="R791" s="4">
        <f t="shared" si="167"/>
        <v>96</v>
      </c>
      <c r="S791" s="3">
        <f t="shared" si="168"/>
        <v>254</v>
      </c>
      <c r="T791" s="1">
        <v>0.57579999999999998</v>
      </c>
      <c r="U791" s="6">
        <f t="shared" si="159"/>
        <v>254.50359999999998</v>
      </c>
    </row>
    <row r="792" spans="1:21" x14ac:dyDescent="0.35">
      <c r="A792">
        <v>791</v>
      </c>
      <c r="B792" s="5">
        <v>44987</v>
      </c>
      <c r="C792" s="4">
        <f t="shared" si="160"/>
        <v>2023</v>
      </c>
      <c r="D792" s="4">
        <f t="shared" si="161"/>
        <v>3</v>
      </c>
      <c r="E792" s="14">
        <v>44987</v>
      </c>
      <c r="F792" s="4">
        <f t="shared" si="162"/>
        <v>2</v>
      </c>
      <c r="G792">
        <v>429</v>
      </c>
      <c r="H792">
        <v>378</v>
      </c>
      <c r="I792" s="13">
        <f t="shared" si="163"/>
        <v>0.88</v>
      </c>
      <c r="J792">
        <f t="shared" si="156"/>
        <v>51</v>
      </c>
      <c r="K792" s="2">
        <v>4.2824074074074075E-4</v>
      </c>
      <c r="L792" s="11">
        <f t="shared" si="157"/>
        <v>233.10000000000002</v>
      </c>
      <c r="M792" s="3">
        <f t="shared" si="164"/>
        <v>0.6166666666666667</v>
      </c>
      <c r="N792" s="4">
        <f t="shared" si="165"/>
        <v>37</v>
      </c>
      <c r="O792" s="2">
        <v>1.4467592592592592E-3</v>
      </c>
      <c r="P792" s="9">
        <f t="shared" si="158"/>
        <v>787.5</v>
      </c>
      <c r="Q792" s="3">
        <f t="shared" si="166"/>
        <v>2.0833333333333335</v>
      </c>
      <c r="R792" s="4">
        <f t="shared" si="167"/>
        <v>125.00000000000001</v>
      </c>
      <c r="S792" s="3">
        <f t="shared" si="168"/>
        <v>208</v>
      </c>
      <c r="T792" s="1">
        <v>0.55289999999999995</v>
      </c>
      <c r="U792" s="6">
        <f t="shared" si="159"/>
        <v>208.99619999999999</v>
      </c>
    </row>
    <row r="793" spans="1:21" x14ac:dyDescent="0.35">
      <c r="A793">
        <v>792</v>
      </c>
      <c r="B793" s="5">
        <v>44988</v>
      </c>
      <c r="C793" s="4">
        <f t="shared" si="160"/>
        <v>2023</v>
      </c>
      <c r="D793" s="4">
        <f t="shared" si="161"/>
        <v>3</v>
      </c>
      <c r="E793" s="14">
        <v>44988</v>
      </c>
      <c r="F793" s="4">
        <f t="shared" si="162"/>
        <v>3</v>
      </c>
      <c r="G793">
        <v>499</v>
      </c>
      <c r="H793">
        <v>388</v>
      </c>
      <c r="I793" s="13">
        <f t="shared" si="163"/>
        <v>0.77</v>
      </c>
      <c r="J793">
        <f t="shared" si="156"/>
        <v>111</v>
      </c>
      <c r="K793" s="2">
        <v>6.2500000000000001E-4</v>
      </c>
      <c r="L793" s="11">
        <f t="shared" si="157"/>
        <v>349.2</v>
      </c>
      <c r="M793" s="3">
        <f t="shared" si="164"/>
        <v>0.9</v>
      </c>
      <c r="N793" s="4">
        <f t="shared" si="165"/>
        <v>54</v>
      </c>
      <c r="O793" s="2">
        <v>1.5625000000000001E-3</v>
      </c>
      <c r="P793" s="9">
        <f t="shared" si="158"/>
        <v>873</v>
      </c>
      <c r="Q793" s="3">
        <f t="shared" si="166"/>
        <v>2.25</v>
      </c>
      <c r="R793" s="4">
        <f t="shared" si="167"/>
        <v>135</v>
      </c>
      <c r="S793" s="3">
        <f t="shared" si="168"/>
        <v>185</v>
      </c>
      <c r="T793" s="1">
        <v>0.47760000000000002</v>
      </c>
      <c r="U793" s="6">
        <f t="shared" si="159"/>
        <v>185.30880000000002</v>
      </c>
    </row>
    <row r="794" spans="1:21" x14ac:dyDescent="0.35">
      <c r="A794">
        <v>793</v>
      </c>
      <c r="B794" s="5">
        <v>44989</v>
      </c>
      <c r="C794" s="4">
        <f t="shared" si="160"/>
        <v>2023</v>
      </c>
      <c r="D794" s="4">
        <f t="shared" si="161"/>
        <v>3</v>
      </c>
      <c r="E794" s="14">
        <v>44989</v>
      </c>
      <c r="F794" s="4">
        <f t="shared" si="162"/>
        <v>4</v>
      </c>
      <c r="G794">
        <v>510</v>
      </c>
      <c r="H794">
        <v>434</v>
      </c>
      <c r="I794" s="13">
        <f t="shared" si="163"/>
        <v>0.85</v>
      </c>
      <c r="J794">
        <f t="shared" si="156"/>
        <v>76</v>
      </c>
      <c r="K794" s="2">
        <v>5.5555555555555556E-4</v>
      </c>
      <c r="L794" s="11">
        <f t="shared" si="157"/>
        <v>347.20000000000005</v>
      </c>
      <c r="M794" s="3">
        <f t="shared" si="164"/>
        <v>0.8</v>
      </c>
      <c r="N794" s="4">
        <f t="shared" si="165"/>
        <v>48</v>
      </c>
      <c r="O794" s="2">
        <v>2.4189814814814816E-3</v>
      </c>
      <c r="P794" s="9">
        <f t="shared" si="158"/>
        <v>1511.7666666666667</v>
      </c>
      <c r="Q794" s="3">
        <f t="shared" si="166"/>
        <v>3.4833333333333334</v>
      </c>
      <c r="R794" s="4">
        <f t="shared" si="167"/>
        <v>209</v>
      </c>
      <c r="S794" s="3">
        <f t="shared" si="168"/>
        <v>183</v>
      </c>
      <c r="T794" s="1">
        <v>0.4219</v>
      </c>
      <c r="U794" s="6">
        <f t="shared" si="159"/>
        <v>183.1046</v>
      </c>
    </row>
    <row r="795" spans="1:21" x14ac:dyDescent="0.35">
      <c r="A795">
        <v>794</v>
      </c>
      <c r="B795" s="5">
        <v>44990</v>
      </c>
      <c r="C795" s="4">
        <f t="shared" si="160"/>
        <v>2023</v>
      </c>
      <c r="D795" s="4">
        <f t="shared" si="161"/>
        <v>3</v>
      </c>
      <c r="E795" s="14">
        <v>44990</v>
      </c>
      <c r="F795" s="4">
        <f t="shared" si="162"/>
        <v>5</v>
      </c>
      <c r="G795">
        <v>549</v>
      </c>
      <c r="H795">
        <v>458</v>
      </c>
      <c r="I795" s="13">
        <f t="shared" si="163"/>
        <v>0.83</v>
      </c>
      <c r="J795">
        <f t="shared" si="156"/>
        <v>91</v>
      </c>
      <c r="K795" s="2">
        <v>8.4490740740740739E-4</v>
      </c>
      <c r="L795" s="11">
        <f t="shared" si="157"/>
        <v>557.23333333333335</v>
      </c>
      <c r="M795" s="3">
        <f t="shared" si="164"/>
        <v>1.2166666666666668</v>
      </c>
      <c r="N795" s="4">
        <f t="shared" si="165"/>
        <v>73</v>
      </c>
      <c r="O795" s="2">
        <v>2.488425925925926E-3</v>
      </c>
      <c r="P795" s="9">
        <f t="shared" si="158"/>
        <v>1641.1666666666667</v>
      </c>
      <c r="Q795" s="3">
        <f t="shared" si="166"/>
        <v>3.5833333333333335</v>
      </c>
      <c r="R795" s="4">
        <f t="shared" si="167"/>
        <v>215</v>
      </c>
      <c r="S795" s="3">
        <f t="shared" si="168"/>
        <v>133</v>
      </c>
      <c r="T795" s="1">
        <v>0.29070000000000001</v>
      </c>
      <c r="U795" s="6">
        <f t="shared" si="159"/>
        <v>133.14060000000001</v>
      </c>
    </row>
    <row r="796" spans="1:21" x14ac:dyDescent="0.35">
      <c r="A796">
        <v>795</v>
      </c>
      <c r="B796" s="5">
        <v>44991</v>
      </c>
      <c r="C796" s="4">
        <f t="shared" si="160"/>
        <v>2023</v>
      </c>
      <c r="D796" s="4">
        <f t="shared" si="161"/>
        <v>3</v>
      </c>
      <c r="E796" s="14">
        <v>44991</v>
      </c>
      <c r="F796" s="4">
        <f t="shared" si="162"/>
        <v>6</v>
      </c>
      <c r="G796">
        <v>590</v>
      </c>
      <c r="H796">
        <v>444</v>
      </c>
      <c r="I796" s="13">
        <f t="shared" si="163"/>
        <v>0.75</v>
      </c>
      <c r="J796">
        <f t="shared" si="156"/>
        <v>146</v>
      </c>
      <c r="K796" s="2">
        <v>9.6064814814814819E-4</v>
      </c>
      <c r="L796" s="11">
        <f t="shared" si="157"/>
        <v>614.19999999999993</v>
      </c>
      <c r="M796" s="3">
        <f t="shared" si="164"/>
        <v>1.3833333333333333</v>
      </c>
      <c r="N796" s="4">
        <f t="shared" si="165"/>
        <v>83</v>
      </c>
      <c r="O796" s="2">
        <v>2.476851851851852E-3</v>
      </c>
      <c r="P796" s="9">
        <f t="shared" si="158"/>
        <v>1583.6</v>
      </c>
      <c r="Q796" s="3">
        <f t="shared" si="166"/>
        <v>3.5666666666666664</v>
      </c>
      <c r="R796" s="4">
        <f t="shared" si="167"/>
        <v>214</v>
      </c>
      <c r="S796" s="3">
        <f t="shared" si="168"/>
        <v>84</v>
      </c>
      <c r="T796" s="1">
        <v>0.1903</v>
      </c>
      <c r="U796" s="6">
        <f t="shared" si="159"/>
        <v>84.493200000000002</v>
      </c>
    </row>
    <row r="797" spans="1:21" x14ac:dyDescent="0.35">
      <c r="A797">
        <v>796</v>
      </c>
      <c r="B797" s="5">
        <v>44992</v>
      </c>
      <c r="C797" s="4">
        <f t="shared" si="160"/>
        <v>2023</v>
      </c>
      <c r="D797" s="4">
        <f t="shared" si="161"/>
        <v>3</v>
      </c>
      <c r="E797" s="14">
        <v>44992</v>
      </c>
      <c r="F797" s="4">
        <f t="shared" si="162"/>
        <v>7</v>
      </c>
      <c r="G797">
        <v>137</v>
      </c>
      <c r="H797">
        <v>120</v>
      </c>
      <c r="I797" s="13">
        <f t="shared" si="163"/>
        <v>0.87</v>
      </c>
      <c r="J797">
        <f t="shared" si="156"/>
        <v>17</v>
      </c>
      <c r="K797" s="2">
        <v>6.7129629629629625E-4</v>
      </c>
      <c r="L797" s="11">
        <f t="shared" si="157"/>
        <v>116</v>
      </c>
      <c r="M797" s="3">
        <f t="shared" si="164"/>
        <v>0.96666666666666667</v>
      </c>
      <c r="N797" s="4">
        <f t="shared" si="165"/>
        <v>58</v>
      </c>
      <c r="O797" s="2">
        <v>2.2106481481481482E-3</v>
      </c>
      <c r="P797" s="9">
        <f t="shared" si="158"/>
        <v>382</v>
      </c>
      <c r="Q797" s="3">
        <f t="shared" si="166"/>
        <v>3.1833333333333331</v>
      </c>
      <c r="R797" s="4">
        <f t="shared" si="167"/>
        <v>191</v>
      </c>
      <c r="S797" s="3">
        <f t="shared" si="168"/>
        <v>39</v>
      </c>
      <c r="T797" s="1">
        <v>0.33090000000000003</v>
      </c>
      <c r="U797" s="6">
        <f t="shared" si="159"/>
        <v>39.708000000000006</v>
      </c>
    </row>
    <row r="798" spans="1:21" x14ac:dyDescent="0.35">
      <c r="A798">
        <v>797</v>
      </c>
      <c r="B798" s="5">
        <v>44993</v>
      </c>
      <c r="C798" s="4">
        <f t="shared" si="160"/>
        <v>2023</v>
      </c>
      <c r="D798" s="4">
        <f t="shared" si="161"/>
        <v>3</v>
      </c>
      <c r="E798" s="14">
        <v>44993</v>
      </c>
      <c r="F798" s="4">
        <f t="shared" si="162"/>
        <v>8</v>
      </c>
      <c r="G798">
        <v>598</v>
      </c>
      <c r="H798">
        <v>476</v>
      </c>
      <c r="I798" s="13">
        <f t="shared" si="163"/>
        <v>0.79</v>
      </c>
      <c r="J798">
        <f t="shared" si="156"/>
        <v>122</v>
      </c>
      <c r="K798" s="2">
        <v>6.7129629629629625E-4</v>
      </c>
      <c r="L798" s="11">
        <f t="shared" si="157"/>
        <v>460.13333333333333</v>
      </c>
      <c r="M798" s="3">
        <f t="shared" si="164"/>
        <v>0.96666666666666667</v>
      </c>
      <c r="N798" s="4">
        <f t="shared" si="165"/>
        <v>58</v>
      </c>
      <c r="O798" s="2">
        <v>2.5347222222222221E-3</v>
      </c>
      <c r="P798" s="9">
        <f t="shared" si="158"/>
        <v>1737.3999999999999</v>
      </c>
      <c r="Q798" s="3">
        <f t="shared" si="166"/>
        <v>3.65</v>
      </c>
      <c r="R798" s="4">
        <f t="shared" si="167"/>
        <v>219</v>
      </c>
      <c r="S798" s="3">
        <f t="shared" si="168"/>
        <v>152</v>
      </c>
      <c r="T798" s="1">
        <v>0.32029999999999997</v>
      </c>
      <c r="U798" s="6">
        <f t="shared" si="159"/>
        <v>152.46279999999999</v>
      </c>
    </row>
    <row r="799" spans="1:21" x14ac:dyDescent="0.35">
      <c r="A799">
        <v>798</v>
      </c>
      <c r="B799" s="5">
        <v>44994</v>
      </c>
      <c r="C799" s="4">
        <f t="shared" si="160"/>
        <v>2023</v>
      </c>
      <c r="D799" s="4">
        <f t="shared" si="161"/>
        <v>3</v>
      </c>
      <c r="E799" s="14">
        <v>44994</v>
      </c>
      <c r="F799" s="4">
        <f t="shared" si="162"/>
        <v>9</v>
      </c>
      <c r="G799">
        <v>231</v>
      </c>
      <c r="H799">
        <v>180</v>
      </c>
      <c r="I799" s="13">
        <f t="shared" si="163"/>
        <v>0.77</v>
      </c>
      <c r="J799">
        <f t="shared" si="156"/>
        <v>51</v>
      </c>
      <c r="K799" s="2">
        <v>7.407407407407407E-4</v>
      </c>
      <c r="L799" s="11">
        <f t="shared" si="157"/>
        <v>192</v>
      </c>
      <c r="M799" s="3">
        <f t="shared" si="164"/>
        <v>1.0666666666666667</v>
      </c>
      <c r="N799" s="4">
        <f t="shared" si="165"/>
        <v>64</v>
      </c>
      <c r="O799" s="2">
        <v>2.4652777777777776E-3</v>
      </c>
      <c r="P799" s="9">
        <f t="shared" si="158"/>
        <v>639</v>
      </c>
      <c r="Q799" s="3">
        <f t="shared" si="166"/>
        <v>3.55</v>
      </c>
      <c r="R799" s="4">
        <f t="shared" si="167"/>
        <v>213</v>
      </c>
      <c r="S799" s="3">
        <f t="shared" si="168"/>
        <v>60</v>
      </c>
      <c r="T799" s="1">
        <v>0.33779999999999999</v>
      </c>
      <c r="U799" s="6">
        <f t="shared" si="159"/>
        <v>60.803999999999995</v>
      </c>
    </row>
    <row r="800" spans="1:21" x14ac:dyDescent="0.35">
      <c r="A800">
        <v>799</v>
      </c>
      <c r="B800" s="5">
        <v>44995</v>
      </c>
      <c r="C800" s="4">
        <f t="shared" si="160"/>
        <v>2023</v>
      </c>
      <c r="D800" s="4">
        <f t="shared" si="161"/>
        <v>3</v>
      </c>
      <c r="E800" s="14">
        <v>44995</v>
      </c>
      <c r="F800" s="4">
        <f t="shared" si="162"/>
        <v>10</v>
      </c>
      <c r="G800">
        <v>724</v>
      </c>
      <c r="H800">
        <v>362</v>
      </c>
      <c r="I800" s="13">
        <f t="shared" si="163"/>
        <v>0.5</v>
      </c>
      <c r="J800">
        <f t="shared" si="156"/>
        <v>362</v>
      </c>
      <c r="K800" s="2">
        <v>1.4004629629629629E-3</v>
      </c>
      <c r="L800" s="11">
        <f t="shared" si="157"/>
        <v>730.0333333333333</v>
      </c>
      <c r="M800" s="3">
        <f t="shared" si="164"/>
        <v>2.0166666666666666</v>
      </c>
      <c r="N800" s="4">
        <f t="shared" si="165"/>
        <v>121</v>
      </c>
      <c r="O800" s="2">
        <v>2.7199074074074074E-3</v>
      </c>
      <c r="P800" s="9">
        <f t="shared" si="158"/>
        <v>1417.8333333333333</v>
      </c>
      <c r="Q800" s="3">
        <f t="shared" si="166"/>
        <v>3.9166666666666665</v>
      </c>
      <c r="R800" s="4">
        <f t="shared" si="167"/>
        <v>235</v>
      </c>
      <c r="S800" s="3">
        <f t="shared" si="168"/>
        <v>42</v>
      </c>
      <c r="T800" s="1">
        <v>0.1166</v>
      </c>
      <c r="U800" s="6">
        <f t="shared" si="159"/>
        <v>42.209199999999996</v>
      </c>
    </row>
    <row r="801" spans="1:21" x14ac:dyDescent="0.35">
      <c r="A801">
        <v>800</v>
      </c>
      <c r="B801" s="5">
        <v>44996</v>
      </c>
      <c r="C801" s="4">
        <f t="shared" si="160"/>
        <v>2023</v>
      </c>
      <c r="D801" s="4">
        <f t="shared" si="161"/>
        <v>3</v>
      </c>
      <c r="E801" s="14">
        <v>44996</v>
      </c>
      <c r="F801" s="4">
        <f t="shared" si="162"/>
        <v>11</v>
      </c>
      <c r="G801">
        <v>732</v>
      </c>
      <c r="H801">
        <v>367</v>
      </c>
      <c r="I801" s="13">
        <f t="shared" si="163"/>
        <v>0.5</v>
      </c>
      <c r="J801">
        <f t="shared" si="156"/>
        <v>365</v>
      </c>
      <c r="K801" s="2">
        <v>1.9444444444444444E-3</v>
      </c>
      <c r="L801" s="11">
        <f t="shared" si="157"/>
        <v>1027.5999999999999</v>
      </c>
      <c r="M801" s="3">
        <f t="shared" si="164"/>
        <v>2.8</v>
      </c>
      <c r="N801" s="4">
        <f t="shared" si="165"/>
        <v>168</v>
      </c>
      <c r="O801" s="2">
        <v>1.9907407407407408E-3</v>
      </c>
      <c r="P801" s="9">
        <f t="shared" si="158"/>
        <v>1052.0666666666666</v>
      </c>
      <c r="Q801" s="3">
        <f t="shared" si="166"/>
        <v>2.8666666666666667</v>
      </c>
      <c r="R801" s="4">
        <f t="shared" si="167"/>
        <v>172</v>
      </c>
      <c r="S801" s="3">
        <f t="shared" si="168"/>
        <v>29</v>
      </c>
      <c r="T801" s="1">
        <v>8.09E-2</v>
      </c>
      <c r="U801" s="6">
        <f t="shared" si="159"/>
        <v>29.690300000000001</v>
      </c>
    </row>
    <row r="802" spans="1:21" x14ac:dyDescent="0.35">
      <c r="A802">
        <v>801</v>
      </c>
      <c r="B802" s="5">
        <v>44997</v>
      </c>
      <c r="C802" s="4">
        <f t="shared" si="160"/>
        <v>2023</v>
      </c>
      <c r="D802" s="4">
        <f t="shared" si="161"/>
        <v>3</v>
      </c>
      <c r="E802" s="14">
        <v>44997</v>
      </c>
      <c r="F802" s="4">
        <f t="shared" si="162"/>
        <v>12</v>
      </c>
      <c r="G802">
        <v>582</v>
      </c>
      <c r="H802">
        <v>301</v>
      </c>
      <c r="I802" s="13">
        <f t="shared" si="163"/>
        <v>0.51</v>
      </c>
      <c r="J802">
        <f t="shared" si="156"/>
        <v>281</v>
      </c>
      <c r="K802" s="2">
        <v>1.8634259259259259E-3</v>
      </c>
      <c r="L802" s="11">
        <f t="shared" si="157"/>
        <v>807.68333333333339</v>
      </c>
      <c r="M802" s="3">
        <f t="shared" si="164"/>
        <v>2.6833333333333336</v>
      </c>
      <c r="N802" s="4">
        <f t="shared" si="165"/>
        <v>161</v>
      </c>
      <c r="O802" s="2">
        <v>2.9282407407407408E-3</v>
      </c>
      <c r="P802" s="9">
        <f t="shared" si="158"/>
        <v>1269.2166666666667</v>
      </c>
      <c r="Q802" s="3">
        <f t="shared" si="166"/>
        <v>4.2166666666666668</v>
      </c>
      <c r="R802" s="4">
        <f t="shared" si="167"/>
        <v>253</v>
      </c>
      <c r="S802" s="3">
        <f t="shared" si="168"/>
        <v>36</v>
      </c>
      <c r="T802" s="1">
        <v>0.1208</v>
      </c>
      <c r="U802" s="6">
        <f t="shared" si="159"/>
        <v>36.360800000000005</v>
      </c>
    </row>
    <row r="803" spans="1:21" x14ac:dyDescent="0.35">
      <c r="A803">
        <v>802</v>
      </c>
      <c r="B803" s="5">
        <v>44998</v>
      </c>
      <c r="C803" s="4">
        <f t="shared" si="160"/>
        <v>2023</v>
      </c>
      <c r="D803" s="4">
        <f t="shared" si="161"/>
        <v>3</v>
      </c>
      <c r="E803" s="14">
        <v>44998</v>
      </c>
      <c r="F803" s="4">
        <f t="shared" si="162"/>
        <v>13</v>
      </c>
      <c r="G803">
        <v>621</v>
      </c>
      <c r="H803">
        <v>344</v>
      </c>
      <c r="I803" s="13">
        <f t="shared" si="163"/>
        <v>0.55000000000000004</v>
      </c>
      <c r="J803">
        <f t="shared" si="156"/>
        <v>277</v>
      </c>
      <c r="K803" s="2">
        <v>1.4699074074074074E-3</v>
      </c>
      <c r="L803" s="11">
        <f t="shared" si="157"/>
        <v>728.13333333333333</v>
      </c>
      <c r="M803" s="3">
        <f t="shared" si="164"/>
        <v>2.1166666666666667</v>
      </c>
      <c r="N803" s="4">
        <f t="shared" si="165"/>
        <v>127</v>
      </c>
      <c r="O803" s="2">
        <v>2.4189814814814816E-3</v>
      </c>
      <c r="P803" s="9">
        <f t="shared" si="158"/>
        <v>1198.2666666666667</v>
      </c>
      <c r="Q803" s="3">
        <f t="shared" si="166"/>
        <v>3.4833333333333334</v>
      </c>
      <c r="R803" s="4">
        <f t="shared" si="167"/>
        <v>209</v>
      </c>
      <c r="S803" s="3">
        <f t="shared" si="168"/>
        <v>49</v>
      </c>
      <c r="T803" s="1">
        <v>0.1447</v>
      </c>
      <c r="U803" s="6">
        <f t="shared" si="159"/>
        <v>49.776800000000001</v>
      </c>
    </row>
    <row r="804" spans="1:21" x14ac:dyDescent="0.35">
      <c r="A804">
        <v>803</v>
      </c>
      <c r="B804" s="5">
        <v>44999</v>
      </c>
      <c r="C804" s="4">
        <f t="shared" si="160"/>
        <v>2023</v>
      </c>
      <c r="D804" s="4">
        <f t="shared" si="161"/>
        <v>3</v>
      </c>
      <c r="E804" s="14">
        <v>44999</v>
      </c>
      <c r="F804" s="4">
        <f t="shared" si="162"/>
        <v>14</v>
      </c>
      <c r="G804">
        <v>116</v>
      </c>
      <c r="H804">
        <v>106</v>
      </c>
      <c r="I804" s="13">
        <f t="shared" si="163"/>
        <v>0.91</v>
      </c>
      <c r="J804">
        <f t="shared" si="156"/>
        <v>10</v>
      </c>
      <c r="K804" s="2">
        <v>3.9351851851851852E-4</v>
      </c>
      <c r="L804" s="11">
        <f t="shared" si="157"/>
        <v>60.066666666666663</v>
      </c>
      <c r="M804" s="3">
        <f t="shared" si="164"/>
        <v>0.56666666666666665</v>
      </c>
      <c r="N804" s="4">
        <f t="shared" si="165"/>
        <v>34</v>
      </c>
      <c r="O804" s="2">
        <v>3.0439814814814813E-3</v>
      </c>
      <c r="P804" s="9">
        <f t="shared" si="158"/>
        <v>464.63333333333338</v>
      </c>
      <c r="Q804" s="3">
        <f t="shared" si="166"/>
        <v>4.3833333333333337</v>
      </c>
      <c r="R804" s="4">
        <f t="shared" si="167"/>
        <v>263</v>
      </c>
      <c r="S804" s="3">
        <f t="shared" si="168"/>
        <v>66</v>
      </c>
      <c r="T804" s="1">
        <v>0.62929999999999997</v>
      </c>
      <c r="U804" s="6">
        <f t="shared" si="159"/>
        <v>66.705799999999996</v>
      </c>
    </row>
    <row r="805" spans="1:21" x14ac:dyDescent="0.35">
      <c r="A805">
        <v>804</v>
      </c>
      <c r="B805" s="5">
        <v>45000</v>
      </c>
      <c r="C805" s="4">
        <f t="shared" si="160"/>
        <v>2023</v>
      </c>
      <c r="D805" s="4">
        <f t="shared" si="161"/>
        <v>3</v>
      </c>
      <c r="E805" s="14">
        <v>45000</v>
      </c>
      <c r="F805" s="4">
        <f t="shared" si="162"/>
        <v>15</v>
      </c>
      <c r="G805">
        <v>533</v>
      </c>
      <c r="H805">
        <v>300</v>
      </c>
      <c r="I805" s="13">
        <f t="shared" si="163"/>
        <v>0.56000000000000005</v>
      </c>
      <c r="J805">
        <f t="shared" si="156"/>
        <v>233</v>
      </c>
      <c r="K805" s="2">
        <v>1.5277777777777779E-3</v>
      </c>
      <c r="L805" s="11">
        <f t="shared" si="157"/>
        <v>660</v>
      </c>
      <c r="M805" s="3">
        <f t="shared" si="164"/>
        <v>2.2000000000000002</v>
      </c>
      <c r="N805" s="4">
        <f t="shared" si="165"/>
        <v>132</v>
      </c>
      <c r="O805" s="2">
        <v>2.8124999999999999E-3</v>
      </c>
      <c r="P805" s="9">
        <f t="shared" si="158"/>
        <v>1215</v>
      </c>
      <c r="Q805" s="3">
        <f t="shared" si="166"/>
        <v>4.05</v>
      </c>
      <c r="R805" s="4">
        <f t="shared" si="167"/>
        <v>243</v>
      </c>
      <c r="S805" s="3">
        <f t="shared" si="168"/>
        <v>37</v>
      </c>
      <c r="T805" s="1">
        <v>0.1255</v>
      </c>
      <c r="U805" s="6">
        <f t="shared" si="159"/>
        <v>37.65</v>
      </c>
    </row>
    <row r="806" spans="1:21" x14ac:dyDescent="0.35">
      <c r="A806">
        <v>805</v>
      </c>
      <c r="B806" s="5">
        <v>45001</v>
      </c>
      <c r="C806" s="4">
        <f t="shared" si="160"/>
        <v>2023</v>
      </c>
      <c r="D806" s="4">
        <f t="shared" si="161"/>
        <v>3</v>
      </c>
      <c r="E806" s="14">
        <v>45001</v>
      </c>
      <c r="F806" s="4">
        <f t="shared" si="162"/>
        <v>16</v>
      </c>
      <c r="G806">
        <v>416</v>
      </c>
      <c r="H806">
        <v>322</v>
      </c>
      <c r="I806" s="13">
        <f t="shared" si="163"/>
        <v>0.77</v>
      </c>
      <c r="J806">
        <f t="shared" si="156"/>
        <v>94</v>
      </c>
      <c r="K806" s="2">
        <v>7.407407407407407E-4</v>
      </c>
      <c r="L806" s="11">
        <f t="shared" si="157"/>
        <v>343.46666666666664</v>
      </c>
      <c r="M806" s="3">
        <f t="shared" si="164"/>
        <v>1.0666666666666667</v>
      </c>
      <c r="N806" s="4">
        <f t="shared" si="165"/>
        <v>64</v>
      </c>
      <c r="O806" s="2">
        <v>2.476851851851852E-3</v>
      </c>
      <c r="P806" s="9">
        <f t="shared" si="158"/>
        <v>1148.4666666666667</v>
      </c>
      <c r="Q806" s="3">
        <f t="shared" si="166"/>
        <v>3.5666666666666664</v>
      </c>
      <c r="R806" s="4">
        <f t="shared" si="167"/>
        <v>214</v>
      </c>
      <c r="S806" s="3">
        <f t="shared" si="168"/>
        <v>124</v>
      </c>
      <c r="T806" s="1">
        <v>0.38590000000000002</v>
      </c>
      <c r="U806" s="6">
        <f t="shared" si="159"/>
        <v>124.25980000000001</v>
      </c>
    </row>
    <row r="807" spans="1:21" x14ac:dyDescent="0.35">
      <c r="A807">
        <v>806</v>
      </c>
      <c r="B807" s="5">
        <v>45002</v>
      </c>
      <c r="C807" s="4">
        <f t="shared" si="160"/>
        <v>2023</v>
      </c>
      <c r="D807" s="4">
        <f t="shared" si="161"/>
        <v>3</v>
      </c>
      <c r="E807" s="14">
        <v>45002</v>
      </c>
      <c r="F807" s="4">
        <f t="shared" si="162"/>
        <v>17</v>
      </c>
      <c r="G807">
        <v>415</v>
      </c>
      <c r="H807">
        <v>259</v>
      </c>
      <c r="I807" s="13">
        <f t="shared" si="163"/>
        <v>0.62</v>
      </c>
      <c r="J807">
        <f t="shared" si="156"/>
        <v>156</v>
      </c>
      <c r="K807" s="2">
        <v>1.5046296296296296E-3</v>
      </c>
      <c r="L807" s="11">
        <f t="shared" si="157"/>
        <v>561.16666666666663</v>
      </c>
      <c r="M807" s="3">
        <f t="shared" si="164"/>
        <v>2.1666666666666665</v>
      </c>
      <c r="N807" s="4">
        <f t="shared" si="165"/>
        <v>130</v>
      </c>
      <c r="O807" s="2">
        <v>2.7430555555555554E-3</v>
      </c>
      <c r="P807" s="9">
        <f t="shared" si="158"/>
        <v>1023.0500000000001</v>
      </c>
      <c r="Q807" s="3">
        <f t="shared" si="166"/>
        <v>3.95</v>
      </c>
      <c r="R807" s="4">
        <f t="shared" si="167"/>
        <v>237</v>
      </c>
      <c r="S807" s="3">
        <f t="shared" si="168"/>
        <v>46</v>
      </c>
      <c r="T807" s="1">
        <v>0.1789</v>
      </c>
      <c r="U807" s="6">
        <f t="shared" si="159"/>
        <v>46.335100000000004</v>
      </c>
    </row>
    <row r="808" spans="1:21" x14ac:dyDescent="0.35">
      <c r="A808">
        <v>807</v>
      </c>
      <c r="B808" s="5">
        <v>45003</v>
      </c>
      <c r="C808" s="4">
        <f t="shared" si="160"/>
        <v>2023</v>
      </c>
      <c r="D808" s="4">
        <f t="shared" si="161"/>
        <v>3</v>
      </c>
      <c r="E808" s="14">
        <v>45003</v>
      </c>
      <c r="F808" s="4">
        <f t="shared" si="162"/>
        <v>18</v>
      </c>
      <c r="G808">
        <v>433</v>
      </c>
      <c r="H808">
        <v>289</v>
      </c>
      <c r="I808" s="13">
        <f t="shared" si="163"/>
        <v>0.66</v>
      </c>
      <c r="J808">
        <f t="shared" si="156"/>
        <v>144</v>
      </c>
      <c r="K808" s="2">
        <v>1.1805555555555556E-3</v>
      </c>
      <c r="L808" s="11">
        <f t="shared" si="157"/>
        <v>491.3</v>
      </c>
      <c r="M808" s="3">
        <f t="shared" si="164"/>
        <v>1.7</v>
      </c>
      <c r="N808" s="4">
        <f t="shared" si="165"/>
        <v>102</v>
      </c>
      <c r="O808" s="2">
        <v>2.4074074074074076E-3</v>
      </c>
      <c r="P808" s="9">
        <f t="shared" si="158"/>
        <v>1001.8666666666667</v>
      </c>
      <c r="Q808" s="3">
        <f t="shared" si="166"/>
        <v>3.4666666666666668</v>
      </c>
      <c r="R808" s="4">
        <f t="shared" si="167"/>
        <v>208</v>
      </c>
      <c r="S808" s="3">
        <f t="shared" si="168"/>
        <v>66</v>
      </c>
      <c r="T808" s="1">
        <v>0.22950000000000001</v>
      </c>
      <c r="U808" s="6">
        <f t="shared" si="159"/>
        <v>66.325500000000005</v>
      </c>
    </row>
    <row r="809" spans="1:21" x14ac:dyDescent="0.35">
      <c r="A809">
        <v>808</v>
      </c>
      <c r="B809" s="5">
        <v>45004</v>
      </c>
      <c r="C809" s="4">
        <f t="shared" si="160"/>
        <v>2023</v>
      </c>
      <c r="D809" s="4">
        <f t="shared" si="161"/>
        <v>3</v>
      </c>
      <c r="E809" s="14">
        <v>45004</v>
      </c>
      <c r="F809" s="4">
        <f t="shared" si="162"/>
        <v>19</v>
      </c>
      <c r="G809">
        <v>454</v>
      </c>
      <c r="H809">
        <v>284</v>
      </c>
      <c r="I809" s="13">
        <f t="shared" si="163"/>
        <v>0.62</v>
      </c>
      <c r="J809">
        <f t="shared" si="156"/>
        <v>170</v>
      </c>
      <c r="K809" s="2">
        <v>1.3078703703703703E-3</v>
      </c>
      <c r="L809" s="11">
        <f t="shared" si="157"/>
        <v>534.86666666666667</v>
      </c>
      <c r="M809" s="3">
        <f t="shared" si="164"/>
        <v>1.8833333333333333</v>
      </c>
      <c r="N809" s="4">
        <f t="shared" si="165"/>
        <v>113</v>
      </c>
      <c r="O809" s="2">
        <v>2.476851851851852E-3</v>
      </c>
      <c r="P809" s="9">
        <f t="shared" si="158"/>
        <v>1012.9333333333333</v>
      </c>
      <c r="Q809" s="3">
        <f t="shared" si="166"/>
        <v>3.5666666666666664</v>
      </c>
      <c r="R809" s="4">
        <f t="shared" si="167"/>
        <v>214</v>
      </c>
      <c r="S809" s="3">
        <f t="shared" si="168"/>
        <v>69</v>
      </c>
      <c r="T809" s="1">
        <v>0.24440000000000001</v>
      </c>
      <c r="U809" s="6">
        <f t="shared" si="159"/>
        <v>69.409599999999998</v>
      </c>
    </row>
    <row r="810" spans="1:21" x14ac:dyDescent="0.35">
      <c r="A810">
        <v>809</v>
      </c>
      <c r="B810" s="5">
        <v>45005</v>
      </c>
      <c r="C810" s="4">
        <f t="shared" si="160"/>
        <v>2023</v>
      </c>
      <c r="D810" s="4">
        <f t="shared" si="161"/>
        <v>3</v>
      </c>
      <c r="E810" s="14">
        <v>45005</v>
      </c>
      <c r="F810" s="4">
        <f t="shared" si="162"/>
        <v>20</v>
      </c>
      <c r="G810">
        <v>244</v>
      </c>
      <c r="H810">
        <v>195</v>
      </c>
      <c r="I810" s="13">
        <f t="shared" si="163"/>
        <v>0.79</v>
      </c>
      <c r="J810">
        <f t="shared" si="156"/>
        <v>49</v>
      </c>
      <c r="K810" s="2">
        <v>9.837962962962962E-4</v>
      </c>
      <c r="L810" s="11">
        <f t="shared" si="157"/>
        <v>276.25</v>
      </c>
      <c r="M810" s="3">
        <f t="shared" si="164"/>
        <v>1.4166666666666667</v>
      </c>
      <c r="N810" s="4">
        <f t="shared" si="165"/>
        <v>85</v>
      </c>
      <c r="O810" s="2">
        <v>2.673611111111111E-3</v>
      </c>
      <c r="P810" s="9">
        <f t="shared" si="158"/>
        <v>750.75</v>
      </c>
      <c r="Q810" s="3">
        <f t="shared" si="166"/>
        <v>3.85</v>
      </c>
      <c r="R810" s="4">
        <f t="shared" si="167"/>
        <v>231</v>
      </c>
      <c r="S810" s="3">
        <f t="shared" si="168"/>
        <v>71</v>
      </c>
      <c r="T810" s="1">
        <v>0.36670000000000003</v>
      </c>
      <c r="U810" s="6">
        <f t="shared" si="159"/>
        <v>71.506500000000003</v>
      </c>
    </row>
    <row r="811" spans="1:21" x14ac:dyDescent="0.35">
      <c r="A811">
        <v>810</v>
      </c>
      <c r="B811" s="5">
        <v>45006</v>
      </c>
      <c r="C811" s="4">
        <f t="shared" si="160"/>
        <v>2023</v>
      </c>
      <c r="D811" s="4">
        <f t="shared" si="161"/>
        <v>3</v>
      </c>
      <c r="E811" s="14">
        <v>45006</v>
      </c>
      <c r="F811" s="4">
        <f t="shared" si="162"/>
        <v>21</v>
      </c>
      <c r="G811">
        <v>51</v>
      </c>
      <c r="H811">
        <v>48</v>
      </c>
      <c r="I811" s="13">
        <f t="shared" si="163"/>
        <v>0.94</v>
      </c>
      <c r="J811">
        <f t="shared" si="156"/>
        <v>3</v>
      </c>
      <c r="K811" s="2">
        <v>1.6203703703703703E-4</v>
      </c>
      <c r="L811" s="11">
        <f t="shared" si="157"/>
        <v>11.2</v>
      </c>
      <c r="M811" s="3">
        <f t="shared" si="164"/>
        <v>0.23333333333333334</v>
      </c>
      <c r="N811" s="4">
        <f t="shared" si="165"/>
        <v>14</v>
      </c>
      <c r="O811" s="2">
        <v>2.3842592592592591E-3</v>
      </c>
      <c r="P811" s="9">
        <f t="shared" si="158"/>
        <v>164.8</v>
      </c>
      <c r="Q811" s="3">
        <f t="shared" si="166"/>
        <v>3.4333333333333336</v>
      </c>
      <c r="R811" s="4">
        <f t="shared" si="167"/>
        <v>206</v>
      </c>
      <c r="S811" s="3">
        <f t="shared" si="168"/>
        <v>40</v>
      </c>
      <c r="T811" s="1">
        <v>0.84309999999999996</v>
      </c>
      <c r="U811" s="6">
        <f t="shared" si="159"/>
        <v>40.468800000000002</v>
      </c>
    </row>
    <row r="812" spans="1:21" x14ac:dyDescent="0.35">
      <c r="A812">
        <v>811</v>
      </c>
      <c r="B812" s="5">
        <v>45007</v>
      </c>
      <c r="C812" s="4">
        <f t="shared" si="160"/>
        <v>2023</v>
      </c>
      <c r="D812" s="4">
        <f t="shared" si="161"/>
        <v>3</v>
      </c>
      <c r="E812" s="14">
        <v>45007</v>
      </c>
      <c r="F812" s="4">
        <f t="shared" si="162"/>
        <v>22</v>
      </c>
      <c r="G812">
        <v>202</v>
      </c>
      <c r="H812">
        <v>176</v>
      </c>
      <c r="I812" s="13">
        <f t="shared" si="163"/>
        <v>0.87</v>
      </c>
      <c r="J812">
        <f t="shared" si="156"/>
        <v>26</v>
      </c>
      <c r="K812" s="2">
        <v>2.7777777777777778E-4</v>
      </c>
      <c r="L812" s="11">
        <f t="shared" si="157"/>
        <v>70.400000000000006</v>
      </c>
      <c r="M812" s="3">
        <f t="shared" si="164"/>
        <v>0.4</v>
      </c>
      <c r="N812" s="4">
        <f t="shared" si="165"/>
        <v>24</v>
      </c>
      <c r="O812" s="2">
        <v>2.5694444444444445E-3</v>
      </c>
      <c r="P812" s="9">
        <f t="shared" si="158"/>
        <v>651.20000000000005</v>
      </c>
      <c r="Q812" s="3">
        <f t="shared" si="166"/>
        <v>3.7</v>
      </c>
      <c r="R812" s="4">
        <f t="shared" si="167"/>
        <v>222</v>
      </c>
      <c r="S812" s="3">
        <f t="shared" si="168"/>
        <v>118</v>
      </c>
      <c r="T812" s="1">
        <v>0.67159999999999997</v>
      </c>
      <c r="U812" s="6">
        <f t="shared" si="159"/>
        <v>118.2016</v>
      </c>
    </row>
    <row r="813" spans="1:21" x14ac:dyDescent="0.35">
      <c r="A813">
        <v>812</v>
      </c>
      <c r="B813" s="5">
        <v>45008</v>
      </c>
      <c r="C813" s="4">
        <f t="shared" si="160"/>
        <v>2023</v>
      </c>
      <c r="D813" s="4">
        <f t="shared" si="161"/>
        <v>3</v>
      </c>
      <c r="E813" s="14">
        <v>45008</v>
      </c>
      <c r="F813" s="4">
        <f t="shared" si="162"/>
        <v>23</v>
      </c>
      <c r="G813">
        <v>128</v>
      </c>
      <c r="H813">
        <v>118</v>
      </c>
      <c r="I813" s="13">
        <f t="shared" si="163"/>
        <v>0.92</v>
      </c>
      <c r="J813">
        <f t="shared" si="156"/>
        <v>10</v>
      </c>
      <c r="K813" s="2">
        <v>3.4722222222222224E-4</v>
      </c>
      <c r="L813" s="11">
        <f t="shared" si="157"/>
        <v>59</v>
      </c>
      <c r="M813" s="3">
        <f t="shared" si="164"/>
        <v>0.5</v>
      </c>
      <c r="N813" s="4">
        <f t="shared" si="165"/>
        <v>30</v>
      </c>
      <c r="O813" s="2">
        <v>2.5694444444444445E-3</v>
      </c>
      <c r="P813" s="9">
        <f t="shared" si="158"/>
        <v>436.6</v>
      </c>
      <c r="Q813" s="3">
        <f t="shared" si="166"/>
        <v>3.7</v>
      </c>
      <c r="R813" s="4">
        <f t="shared" si="167"/>
        <v>222</v>
      </c>
      <c r="S813" s="3">
        <f t="shared" si="168"/>
        <v>87</v>
      </c>
      <c r="T813" s="1">
        <v>0.74019999999999997</v>
      </c>
      <c r="U813" s="6">
        <f t="shared" si="159"/>
        <v>87.343599999999995</v>
      </c>
    </row>
    <row r="814" spans="1:21" x14ac:dyDescent="0.35">
      <c r="A814">
        <v>813</v>
      </c>
      <c r="B814" s="5">
        <v>45009</v>
      </c>
      <c r="C814" s="4">
        <f t="shared" si="160"/>
        <v>2023</v>
      </c>
      <c r="D814" s="4">
        <f t="shared" si="161"/>
        <v>3</v>
      </c>
      <c r="E814" s="14">
        <v>45009</v>
      </c>
      <c r="F814" s="4">
        <f t="shared" si="162"/>
        <v>24</v>
      </c>
      <c r="G814">
        <v>102</v>
      </c>
      <c r="H814">
        <v>100</v>
      </c>
      <c r="I814" s="13">
        <f t="shared" si="163"/>
        <v>0.98</v>
      </c>
      <c r="J814">
        <f t="shared" si="156"/>
        <v>2</v>
      </c>
      <c r="K814" s="2">
        <v>1.6203703703703703E-4</v>
      </c>
      <c r="L814" s="11">
        <f t="shared" si="157"/>
        <v>23.333333333333332</v>
      </c>
      <c r="M814" s="3">
        <f t="shared" si="164"/>
        <v>0.23333333333333334</v>
      </c>
      <c r="N814" s="4">
        <f t="shared" si="165"/>
        <v>14</v>
      </c>
      <c r="O814" s="2">
        <v>2.4537037037037036E-3</v>
      </c>
      <c r="P814" s="9">
        <f t="shared" si="158"/>
        <v>353.33333333333331</v>
      </c>
      <c r="Q814" s="3">
        <f t="shared" si="166"/>
        <v>3.5333333333333332</v>
      </c>
      <c r="R814" s="4">
        <f t="shared" si="167"/>
        <v>212</v>
      </c>
      <c r="S814" s="3">
        <f t="shared" si="168"/>
        <v>85</v>
      </c>
      <c r="T814" s="1">
        <v>0.85289999999999999</v>
      </c>
      <c r="U814" s="6">
        <f t="shared" si="159"/>
        <v>85.289999999999992</v>
      </c>
    </row>
    <row r="815" spans="1:21" x14ac:dyDescent="0.35">
      <c r="A815">
        <v>814</v>
      </c>
      <c r="B815" s="5">
        <v>45010</v>
      </c>
      <c r="C815" s="4">
        <f t="shared" si="160"/>
        <v>2023</v>
      </c>
      <c r="D815" s="4">
        <f t="shared" si="161"/>
        <v>3</v>
      </c>
      <c r="E815" s="14">
        <v>45010</v>
      </c>
      <c r="F815" s="4">
        <f t="shared" si="162"/>
        <v>25</v>
      </c>
      <c r="G815">
        <v>201</v>
      </c>
      <c r="H815">
        <v>169</v>
      </c>
      <c r="I815" s="13">
        <f t="shared" si="163"/>
        <v>0.84</v>
      </c>
      <c r="J815">
        <f t="shared" si="156"/>
        <v>32</v>
      </c>
      <c r="K815" s="2">
        <v>3.7037037037037035E-4</v>
      </c>
      <c r="L815" s="11">
        <f t="shared" si="157"/>
        <v>90.133333333333326</v>
      </c>
      <c r="M815" s="3">
        <f t="shared" si="164"/>
        <v>0.53333333333333333</v>
      </c>
      <c r="N815" s="4">
        <f t="shared" si="165"/>
        <v>32</v>
      </c>
      <c r="O815" s="2">
        <v>2.3726851851851851E-3</v>
      </c>
      <c r="P815" s="9">
        <f t="shared" si="158"/>
        <v>577.41666666666663</v>
      </c>
      <c r="Q815" s="3">
        <f t="shared" si="166"/>
        <v>3.4166666666666665</v>
      </c>
      <c r="R815" s="4">
        <f t="shared" si="167"/>
        <v>205</v>
      </c>
      <c r="S815" s="3">
        <f t="shared" si="168"/>
        <v>98</v>
      </c>
      <c r="T815" s="1">
        <v>0.58079999999999998</v>
      </c>
      <c r="U815" s="6">
        <f t="shared" si="159"/>
        <v>98.155199999999994</v>
      </c>
    </row>
    <row r="816" spans="1:21" x14ac:dyDescent="0.35">
      <c r="A816">
        <v>815</v>
      </c>
      <c r="B816" s="5">
        <v>45011</v>
      </c>
      <c r="C816" s="4">
        <f t="shared" si="160"/>
        <v>2023</v>
      </c>
      <c r="D816" s="4">
        <f t="shared" si="161"/>
        <v>3</v>
      </c>
      <c r="E816" s="14">
        <v>45011</v>
      </c>
      <c r="F816" s="4">
        <f t="shared" si="162"/>
        <v>26</v>
      </c>
      <c r="G816">
        <v>261</v>
      </c>
      <c r="H816">
        <v>195</v>
      </c>
      <c r="I816" s="13">
        <f t="shared" si="163"/>
        <v>0.74</v>
      </c>
      <c r="J816">
        <f t="shared" si="156"/>
        <v>66</v>
      </c>
      <c r="K816" s="2">
        <v>7.0601851851851847E-4</v>
      </c>
      <c r="L816" s="11">
        <f t="shared" si="157"/>
        <v>198.25</v>
      </c>
      <c r="M816" s="3">
        <f t="shared" si="164"/>
        <v>1.0166666666666666</v>
      </c>
      <c r="N816" s="4">
        <f t="shared" si="165"/>
        <v>61</v>
      </c>
      <c r="O816" s="2">
        <v>2.3958333333333331E-3</v>
      </c>
      <c r="P816" s="9">
        <f t="shared" si="158"/>
        <v>672.75</v>
      </c>
      <c r="Q816" s="3">
        <f t="shared" si="166"/>
        <v>3.45</v>
      </c>
      <c r="R816" s="4">
        <f t="shared" si="167"/>
        <v>207</v>
      </c>
      <c r="S816" s="3">
        <f t="shared" si="168"/>
        <v>74</v>
      </c>
      <c r="T816" s="1">
        <v>0.37980000000000003</v>
      </c>
      <c r="U816" s="6">
        <f t="shared" si="159"/>
        <v>74.061000000000007</v>
      </c>
    </row>
    <row r="817" spans="1:21" x14ac:dyDescent="0.35">
      <c r="A817">
        <v>816</v>
      </c>
      <c r="B817" s="5">
        <v>45012</v>
      </c>
      <c r="C817" s="4">
        <f t="shared" si="160"/>
        <v>2023</v>
      </c>
      <c r="D817" s="4">
        <f t="shared" si="161"/>
        <v>3</v>
      </c>
      <c r="E817" s="14">
        <v>45012</v>
      </c>
      <c r="F817" s="4">
        <f t="shared" si="162"/>
        <v>27</v>
      </c>
      <c r="G817">
        <v>201</v>
      </c>
      <c r="H817">
        <v>173</v>
      </c>
      <c r="I817" s="13">
        <f t="shared" si="163"/>
        <v>0.86</v>
      </c>
      <c r="J817">
        <f t="shared" si="156"/>
        <v>28</v>
      </c>
      <c r="K817" s="2">
        <v>4.7453703703703704E-4</v>
      </c>
      <c r="L817" s="11">
        <f t="shared" si="157"/>
        <v>118.21666666666667</v>
      </c>
      <c r="M817" s="3">
        <f t="shared" si="164"/>
        <v>0.68333333333333335</v>
      </c>
      <c r="N817" s="4">
        <f t="shared" si="165"/>
        <v>41</v>
      </c>
      <c r="O817" s="2">
        <v>2.2569444444444442E-3</v>
      </c>
      <c r="P817" s="9">
        <f t="shared" si="158"/>
        <v>562.25</v>
      </c>
      <c r="Q817" s="3">
        <f t="shared" si="166"/>
        <v>3.25</v>
      </c>
      <c r="R817" s="4">
        <f t="shared" si="167"/>
        <v>195</v>
      </c>
      <c r="S817" s="3">
        <f t="shared" si="168"/>
        <v>102</v>
      </c>
      <c r="T817" s="1">
        <v>0.59499999999999997</v>
      </c>
      <c r="U817" s="6">
        <f t="shared" si="159"/>
        <v>102.935</v>
      </c>
    </row>
    <row r="818" spans="1:21" x14ac:dyDescent="0.35">
      <c r="A818">
        <v>817</v>
      </c>
      <c r="B818" s="5">
        <v>45013</v>
      </c>
      <c r="C818" s="4">
        <f t="shared" si="160"/>
        <v>2023</v>
      </c>
      <c r="D818" s="4">
        <f t="shared" si="161"/>
        <v>3</v>
      </c>
      <c r="E818" s="14">
        <v>45013</v>
      </c>
      <c r="F818" s="4">
        <f t="shared" si="162"/>
        <v>28</v>
      </c>
      <c r="G818">
        <v>64</v>
      </c>
      <c r="H818">
        <v>61</v>
      </c>
      <c r="I818" s="13">
        <f t="shared" si="163"/>
        <v>0.95</v>
      </c>
      <c r="J818">
        <f t="shared" si="156"/>
        <v>3</v>
      </c>
      <c r="K818" s="2">
        <v>1.0416666666666667E-4</v>
      </c>
      <c r="L818" s="11">
        <f t="shared" si="157"/>
        <v>9.15</v>
      </c>
      <c r="M818" s="3">
        <f t="shared" si="164"/>
        <v>0.15</v>
      </c>
      <c r="N818" s="4">
        <f t="shared" si="165"/>
        <v>9</v>
      </c>
      <c r="O818" s="2">
        <v>2.2569444444444442E-3</v>
      </c>
      <c r="P818" s="9">
        <f t="shared" si="158"/>
        <v>198.25</v>
      </c>
      <c r="Q818" s="3">
        <f t="shared" si="166"/>
        <v>3.25</v>
      </c>
      <c r="R818" s="4">
        <f t="shared" si="167"/>
        <v>195</v>
      </c>
      <c r="S818" s="3">
        <f t="shared" si="168"/>
        <v>56</v>
      </c>
      <c r="T818" s="1">
        <v>0.92059999999999997</v>
      </c>
      <c r="U818" s="6">
        <f t="shared" si="159"/>
        <v>56.156599999999997</v>
      </c>
    </row>
    <row r="819" spans="1:21" x14ac:dyDescent="0.35">
      <c r="A819">
        <v>818</v>
      </c>
      <c r="B819" s="5">
        <v>45014</v>
      </c>
      <c r="C819" s="4">
        <f t="shared" si="160"/>
        <v>2023</v>
      </c>
      <c r="D819" s="4">
        <f t="shared" si="161"/>
        <v>3</v>
      </c>
      <c r="E819" s="14">
        <v>45014</v>
      </c>
      <c r="F819" s="4">
        <f t="shared" si="162"/>
        <v>29</v>
      </c>
      <c r="G819">
        <v>200</v>
      </c>
      <c r="H819">
        <v>168</v>
      </c>
      <c r="I819" s="13">
        <f t="shared" si="163"/>
        <v>0.84</v>
      </c>
      <c r="J819">
        <f t="shared" si="156"/>
        <v>32</v>
      </c>
      <c r="K819" s="2">
        <v>5.9027777777777778E-4</v>
      </c>
      <c r="L819" s="11">
        <f t="shared" si="157"/>
        <v>142.79999999999998</v>
      </c>
      <c r="M819" s="3">
        <f t="shared" si="164"/>
        <v>0.85</v>
      </c>
      <c r="N819" s="4">
        <f t="shared" si="165"/>
        <v>51</v>
      </c>
      <c r="O819" s="2">
        <v>2.3495370370370371E-3</v>
      </c>
      <c r="P819" s="9">
        <f t="shared" si="158"/>
        <v>568.4</v>
      </c>
      <c r="Q819" s="3">
        <f t="shared" si="166"/>
        <v>3.3833333333333333</v>
      </c>
      <c r="R819" s="4">
        <f t="shared" si="167"/>
        <v>203</v>
      </c>
      <c r="S819" s="3">
        <f t="shared" si="168"/>
        <v>81</v>
      </c>
      <c r="T819" s="1">
        <v>0.4874</v>
      </c>
      <c r="U819" s="6">
        <f t="shared" si="159"/>
        <v>81.883200000000002</v>
      </c>
    </row>
    <row r="820" spans="1:21" x14ac:dyDescent="0.35">
      <c r="A820">
        <v>819</v>
      </c>
      <c r="B820" s="5">
        <v>45015</v>
      </c>
      <c r="C820" s="4">
        <f t="shared" si="160"/>
        <v>2023</v>
      </c>
      <c r="D820" s="4">
        <f t="shared" si="161"/>
        <v>3</v>
      </c>
      <c r="E820" s="14">
        <v>45015</v>
      </c>
      <c r="F820" s="4">
        <f t="shared" si="162"/>
        <v>30</v>
      </c>
      <c r="G820">
        <v>158</v>
      </c>
      <c r="H820">
        <v>148</v>
      </c>
      <c r="I820" s="13">
        <f t="shared" si="163"/>
        <v>0.93</v>
      </c>
      <c r="J820">
        <f t="shared" si="156"/>
        <v>10</v>
      </c>
      <c r="K820" s="2">
        <v>3.4722222222222224E-4</v>
      </c>
      <c r="L820" s="11">
        <f t="shared" si="157"/>
        <v>74</v>
      </c>
      <c r="M820" s="3">
        <f t="shared" si="164"/>
        <v>0.5</v>
      </c>
      <c r="N820" s="4">
        <f t="shared" si="165"/>
        <v>30</v>
      </c>
      <c r="O820" s="2">
        <v>2.2800925925925927E-3</v>
      </c>
      <c r="P820" s="9">
        <f t="shared" si="158"/>
        <v>485.93333333333334</v>
      </c>
      <c r="Q820" s="3">
        <f t="shared" si="166"/>
        <v>3.2833333333333332</v>
      </c>
      <c r="R820" s="4">
        <f t="shared" si="167"/>
        <v>197</v>
      </c>
      <c r="S820" s="3">
        <f t="shared" si="168"/>
        <v>83</v>
      </c>
      <c r="T820" s="1">
        <v>0.56689999999999996</v>
      </c>
      <c r="U820" s="6">
        <f t="shared" si="159"/>
        <v>83.901199999999989</v>
      </c>
    </row>
    <row r="821" spans="1:21" x14ac:dyDescent="0.35">
      <c r="A821">
        <v>820</v>
      </c>
      <c r="B821" s="5">
        <v>45016</v>
      </c>
      <c r="C821" s="4">
        <f t="shared" si="160"/>
        <v>2023</v>
      </c>
      <c r="D821" s="4">
        <f t="shared" si="161"/>
        <v>3</v>
      </c>
      <c r="E821" s="14">
        <v>45016</v>
      </c>
      <c r="F821" s="4">
        <f t="shared" si="162"/>
        <v>31</v>
      </c>
      <c r="G821">
        <v>174</v>
      </c>
      <c r="H821">
        <v>155</v>
      </c>
      <c r="I821" s="13">
        <f t="shared" si="163"/>
        <v>0.89</v>
      </c>
      <c r="J821">
        <f t="shared" si="156"/>
        <v>19</v>
      </c>
      <c r="K821" s="2">
        <v>3.0092592592592595E-4</v>
      </c>
      <c r="L821" s="11">
        <f t="shared" si="157"/>
        <v>67.166666666666671</v>
      </c>
      <c r="M821" s="3">
        <f t="shared" si="164"/>
        <v>0.43333333333333335</v>
      </c>
      <c r="N821" s="4">
        <f t="shared" si="165"/>
        <v>26</v>
      </c>
      <c r="O821" s="2">
        <v>2.0949074074074073E-3</v>
      </c>
      <c r="P821" s="9">
        <f t="shared" si="158"/>
        <v>467.58333333333331</v>
      </c>
      <c r="Q821" s="3">
        <f t="shared" si="166"/>
        <v>3.0166666666666666</v>
      </c>
      <c r="R821" s="4">
        <f t="shared" si="167"/>
        <v>181</v>
      </c>
      <c r="S821" s="3">
        <f t="shared" si="168"/>
        <v>96</v>
      </c>
      <c r="T821" s="1">
        <v>0.62350000000000005</v>
      </c>
      <c r="U821" s="6">
        <f t="shared" si="159"/>
        <v>96.642500000000013</v>
      </c>
    </row>
    <row r="822" spans="1:21" x14ac:dyDescent="0.35">
      <c r="A822">
        <v>821</v>
      </c>
      <c r="B822" s="5">
        <v>45017</v>
      </c>
      <c r="C822" s="4">
        <f t="shared" si="160"/>
        <v>2023</v>
      </c>
      <c r="D822" s="4">
        <f t="shared" si="161"/>
        <v>4</v>
      </c>
      <c r="E822" s="14">
        <v>45017</v>
      </c>
      <c r="F822" s="4">
        <f t="shared" si="162"/>
        <v>1</v>
      </c>
      <c r="G822">
        <v>67</v>
      </c>
      <c r="H822">
        <v>64</v>
      </c>
      <c r="I822" s="13">
        <f t="shared" si="163"/>
        <v>0.95</v>
      </c>
      <c r="J822">
        <f t="shared" si="156"/>
        <v>3</v>
      </c>
      <c r="K822" s="2">
        <v>3.0092592592592595E-4</v>
      </c>
      <c r="L822" s="11">
        <f t="shared" si="157"/>
        <v>27.733333333333334</v>
      </c>
      <c r="M822" s="3">
        <f t="shared" si="164"/>
        <v>0.43333333333333335</v>
      </c>
      <c r="N822" s="4">
        <f t="shared" si="165"/>
        <v>26</v>
      </c>
      <c r="O822" s="2">
        <v>2.4421296296296296E-3</v>
      </c>
      <c r="P822" s="9">
        <f t="shared" si="158"/>
        <v>225.06666666666666</v>
      </c>
      <c r="Q822" s="3">
        <f t="shared" si="166"/>
        <v>3.5166666666666666</v>
      </c>
      <c r="R822" s="4">
        <f t="shared" si="167"/>
        <v>211</v>
      </c>
      <c r="S822" s="3">
        <f t="shared" si="168"/>
        <v>45</v>
      </c>
      <c r="T822" s="1">
        <v>0.71209999999999996</v>
      </c>
      <c r="U822" s="6">
        <f t="shared" si="159"/>
        <v>45.574399999999997</v>
      </c>
    </row>
    <row r="823" spans="1:21" x14ac:dyDescent="0.35">
      <c r="A823">
        <v>822</v>
      </c>
      <c r="B823" s="5">
        <v>45018</v>
      </c>
      <c r="C823" s="4">
        <f t="shared" si="160"/>
        <v>2023</v>
      </c>
      <c r="D823" s="4">
        <f t="shared" si="161"/>
        <v>4</v>
      </c>
      <c r="E823" s="14">
        <v>45018</v>
      </c>
      <c r="F823" s="4">
        <f t="shared" si="162"/>
        <v>2</v>
      </c>
      <c r="G823">
        <v>24</v>
      </c>
      <c r="H823">
        <v>23</v>
      </c>
      <c r="I823" s="13">
        <f t="shared" si="163"/>
        <v>0.95</v>
      </c>
      <c r="J823">
        <f t="shared" si="156"/>
        <v>1</v>
      </c>
      <c r="K823" s="2">
        <v>2.6620370370370372E-4</v>
      </c>
      <c r="L823" s="11">
        <f t="shared" si="157"/>
        <v>8.8166666666666664</v>
      </c>
      <c r="M823" s="3">
        <f t="shared" si="164"/>
        <v>0.38333333333333336</v>
      </c>
      <c r="N823" s="4">
        <f t="shared" si="165"/>
        <v>23</v>
      </c>
      <c r="O823" s="2">
        <v>1.9675925925925924E-3</v>
      </c>
      <c r="P823" s="9">
        <f t="shared" si="158"/>
        <v>65.166666666666671</v>
      </c>
      <c r="Q823" s="3">
        <f t="shared" si="166"/>
        <v>2.8333333333333335</v>
      </c>
      <c r="R823" s="4">
        <f t="shared" si="167"/>
        <v>170</v>
      </c>
      <c r="S823" s="3">
        <f t="shared" si="168"/>
        <v>17</v>
      </c>
      <c r="T823" s="1">
        <v>0.75</v>
      </c>
      <c r="U823" s="6">
        <f t="shared" si="159"/>
        <v>17.25</v>
      </c>
    </row>
    <row r="824" spans="1:21" x14ac:dyDescent="0.35">
      <c r="A824">
        <v>823</v>
      </c>
      <c r="B824" s="5">
        <v>45019</v>
      </c>
      <c r="C824" s="4">
        <f t="shared" si="160"/>
        <v>2023</v>
      </c>
      <c r="D824" s="4">
        <f t="shared" si="161"/>
        <v>4</v>
      </c>
      <c r="E824" s="14">
        <v>45019</v>
      </c>
      <c r="F824" s="4">
        <f t="shared" si="162"/>
        <v>3</v>
      </c>
      <c r="G824">
        <v>106</v>
      </c>
      <c r="H824">
        <v>92</v>
      </c>
      <c r="I824" s="13">
        <f t="shared" si="163"/>
        <v>0.86</v>
      </c>
      <c r="J824">
        <f t="shared" si="156"/>
        <v>14</v>
      </c>
      <c r="K824" s="2">
        <v>5.0925925925925921E-4</v>
      </c>
      <c r="L824" s="11">
        <f t="shared" si="157"/>
        <v>67.466666666666669</v>
      </c>
      <c r="M824" s="3">
        <f t="shared" si="164"/>
        <v>0.73333333333333328</v>
      </c>
      <c r="N824" s="4">
        <f t="shared" si="165"/>
        <v>44</v>
      </c>
      <c r="O824" s="2">
        <v>2.1180555555555558E-3</v>
      </c>
      <c r="P824" s="9">
        <f t="shared" si="158"/>
        <v>280.59999999999997</v>
      </c>
      <c r="Q824" s="3">
        <f t="shared" si="166"/>
        <v>3.05</v>
      </c>
      <c r="R824" s="4">
        <f t="shared" si="167"/>
        <v>183</v>
      </c>
      <c r="S824" s="3">
        <f t="shared" si="168"/>
        <v>41</v>
      </c>
      <c r="T824" s="1">
        <v>0.45629999999999998</v>
      </c>
      <c r="U824" s="6">
        <f t="shared" si="159"/>
        <v>41.979599999999998</v>
      </c>
    </row>
    <row r="825" spans="1:21" x14ac:dyDescent="0.35">
      <c r="A825">
        <v>824</v>
      </c>
      <c r="B825" s="5">
        <v>45020</v>
      </c>
      <c r="C825" s="4">
        <f t="shared" si="160"/>
        <v>2023</v>
      </c>
      <c r="D825" s="4">
        <f t="shared" si="161"/>
        <v>4</v>
      </c>
      <c r="E825" s="14">
        <v>45020</v>
      </c>
      <c r="F825" s="4">
        <f t="shared" si="162"/>
        <v>4</v>
      </c>
      <c r="G825">
        <v>52</v>
      </c>
      <c r="H825">
        <v>50</v>
      </c>
      <c r="I825" s="13">
        <f t="shared" si="163"/>
        <v>0.96</v>
      </c>
      <c r="J825">
        <f t="shared" si="156"/>
        <v>2</v>
      </c>
      <c r="K825" s="2">
        <v>1.273148148148148E-4</v>
      </c>
      <c r="L825" s="11">
        <f t="shared" si="157"/>
        <v>9.1666666666666661</v>
      </c>
      <c r="M825" s="3">
        <f t="shared" si="164"/>
        <v>0.18333333333333332</v>
      </c>
      <c r="N825" s="4">
        <f t="shared" si="165"/>
        <v>11</v>
      </c>
      <c r="O825" s="2">
        <v>2.3032407407407407E-3</v>
      </c>
      <c r="P825" s="9">
        <f t="shared" si="158"/>
        <v>165.83333333333331</v>
      </c>
      <c r="Q825" s="3">
        <f t="shared" si="166"/>
        <v>3.3166666666666664</v>
      </c>
      <c r="R825" s="4">
        <f t="shared" si="167"/>
        <v>199</v>
      </c>
      <c r="S825" s="3">
        <f t="shared" si="168"/>
        <v>44</v>
      </c>
      <c r="T825" s="1">
        <v>0.88460000000000005</v>
      </c>
      <c r="U825" s="6">
        <f t="shared" si="159"/>
        <v>44.230000000000004</v>
      </c>
    </row>
    <row r="826" spans="1:21" x14ac:dyDescent="0.35">
      <c r="A826">
        <v>825</v>
      </c>
      <c r="B826" s="5">
        <v>45021</v>
      </c>
      <c r="C826" s="4">
        <f t="shared" si="160"/>
        <v>2023</v>
      </c>
      <c r="D826" s="4">
        <f t="shared" si="161"/>
        <v>4</v>
      </c>
      <c r="E826" s="14">
        <v>45021</v>
      </c>
      <c r="F826" s="4">
        <f t="shared" si="162"/>
        <v>5</v>
      </c>
      <c r="G826">
        <v>223</v>
      </c>
      <c r="H826">
        <v>203</v>
      </c>
      <c r="I826" s="13">
        <f t="shared" si="163"/>
        <v>0.91</v>
      </c>
      <c r="J826">
        <f t="shared" si="156"/>
        <v>20</v>
      </c>
      <c r="K826" s="2">
        <v>3.5879629629629629E-4</v>
      </c>
      <c r="L826" s="11">
        <f t="shared" si="157"/>
        <v>104.88333333333334</v>
      </c>
      <c r="M826" s="3">
        <f t="shared" si="164"/>
        <v>0.51666666666666672</v>
      </c>
      <c r="N826" s="4">
        <f t="shared" si="165"/>
        <v>31.000000000000004</v>
      </c>
      <c r="O826" s="2">
        <v>2.2916666666666667E-3</v>
      </c>
      <c r="P826" s="9">
        <f t="shared" si="158"/>
        <v>669.9</v>
      </c>
      <c r="Q826" s="3">
        <f t="shared" si="166"/>
        <v>3.3</v>
      </c>
      <c r="R826" s="4">
        <f t="shared" si="167"/>
        <v>198</v>
      </c>
      <c r="S826" s="3">
        <f t="shared" si="168"/>
        <v>126</v>
      </c>
      <c r="T826" s="1">
        <v>0.621</v>
      </c>
      <c r="U826" s="6">
        <f t="shared" si="159"/>
        <v>126.063</v>
      </c>
    </row>
    <row r="827" spans="1:21" x14ac:dyDescent="0.35">
      <c r="A827">
        <v>826</v>
      </c>
      <c r="B827" s="5">
        <v>45022</v>
      </c>
      <c r="C827" s="4">
        <f t="shared" si="160"/>
        <v>2023</v>
      </c>
      <c r="D827" s="4">
        <f t="shared" si="161"/>
        <v>4</v>
      </c>
      <c r="E827" s="14">
        <v>45022</v>
      </c>
      <c r="F827" s="4">
        <f t="shared" si="162"/>
        <v>6</v>
      </c>
      <c r="G827">
        <v>274</v>
      </c>
      <c r="H827">
        <v>233</v>
      </c>
      <c r="I827" s="13">
        <f t="shared" si="163"/>
        <v>0.85</v>
      </c>
      <c r="J827">
        <f t="shared" si="156"/>
        <v>41</v>
      </c>
      <c r="K827" s="2">
        <v>5.5555555555555556E-4</v>
      </c>
      <c r="L827" s="11">
        <f t="shared" si="157"/>
        <v>186.4</v>
      </c>
      <c r="M827" s="3">
        <f t="shared" si="164"/>
        <v>0.8</v>
      </c>
      <c r="N827" s="4">
        <f t="shared" si="165"/>
        <v>48</v>
      </c>
      <c r="O827" s="2">
        <v>2.3958333333333331E-3</v>
      </c>
      <c r="P827" s="9">
        <f t="shared" si="158"/>
        <v>803.85</v>
      </c>
      <c r="Q827" s="3">
        <f t="shared" si="166"/>
        <v>3.45</v>
      </c>
      <c r="R827" s="4">
        <f t="shared" si="167"/>
        <v>207</v>
      </c>
      <c r="S827" s="3">
        <f t="shared" si="168"/>
        <v>84</v>
      </c>
      <c r="T827" s="1">
        <v>0.36059999999999998</v>
      </c>
      <c r="U827" s="6">
        <f t="shared" si="159"/>
        <v>84.019799999999989</v>
      </c>
    </row>
    <row r="828" spans="1:21" x14ac:dyDescent="0.35">
      <c r="A828">
        <v>827</v>
      </c>
      <c r="B828" s="5">
        <v>45023</v>
      </c>
      <c r="C828" s="4">
        <f t="shared" si="160"/>
        <v>2023</v>
      </c>
      <c r="D828" s="4">
        <f t="shared" si="161"/>
        <v>4</v>
      </c>
      <c r="E828" s="14">
        <v>45023</v>
      </c>
      <c r="F828" s="4">
        <f t="shared" si="162"/>
        <v>7</v>
      </c>
      <c r="G828">
        <v>280</v>
      </c>
      <c r="H828">
        <v>263</v>
      </c>
      <c r="I828" s="13">
        <f t="shared" si="163"/>
        <v>0.93</v>
      </c>
      <c r="J828">
        <f t="shared" si="156"/>
        <v>17</v>
      </c>
      <c r="K828" s="2">
        <v>2.6620370370370372E-4</v>
      </c>
      <c r="L828" s="11">
        <f t="shared" si="157"/>
        <v>100.81666666666668</v>
      </c>
      <c r="M828" s="3">
        <f t="shared" si="164"/>
        <v>0.38333333333333336</v>
      </c>
      <c r="N828" s="4">
        <f t="shared" si="165"/>
        <v>23</v>
      </c>
      <c r="O828" s="2">
        <v>2.2337962962962962E-3</v>
      </c>
      <c r="P828" s="9">
        <f t="shared" si="158"/>
        <v>845.98333333333335</v>
      </c>
      <c r="Q828" s="3">
        <f t="shared" si="166"/>
        <v>3.2166666666666668</v>
      </c>
      <c r="R828" s="4">
        <f t="shared" si="167"/>
        <v>193</v>
      </c>
      <c r="S828" s="3">
        <f t="shared" si="168"/>
        <v>177</v>
      </c>
      <c r="T828" s="1">
        <v>0.6764</v>
      </c>
      <c r="U828" s="6">
        <f t="shared" si="159"/>
        <v>177.89320000000001</v>
      </c>
    </row>
    <row r="829" spans="1:21" x14ac:dyDescent="0.35">
      <c r="A829">
        <v>828</v>
      </c>
      <c r="B829" s="5">
        <v>45024</v>
      </c>
      <c r="C829" s="4">
        <f t="shared" si="160"/>
        <v>2023</v>
      </c>
      <c r="D829" s="4">
        <f t="shared" si="161"/>
        <v>4</v>
      </c>
      <c r="E829" s="14">
        <v>45024</v>
      </c>
      <c r="F829" s="4">
        <f t="shared" si="162"/>
        <v>8</v>
      </c>
      <c r="G829">
        <v>534</v>
      </c>
      <c r="H829">
        <v>468</v>
      </c>
      <c r="I829" s="13">
        <f t="shared" si="163"/>
        <v>0.87</v>
      </c>
      <c r="J829">
        <f t="shared" si="156"/>
        <v>66</v>
      </c>
      <c r="K829" s="2">
        <v>3.4722222222222224E-4</v>
      </c>
      <c r="L829" s="11">
        <f t="shared" si="157"/>
        <v>234</v>
      </c>
      <c r="M829" s="3">
        <f t="shared" si="164"/>
        <v>0.5</v>
      </c>
      <c r="N829" s="4">
        <f t="shared" si="165"/>
        <v>30</v>
      </c>
      <c r="O829" s="2">
        <v>1.9212962962962964E-3</v>
      </c>
      <c r="P829" s="9">
        <f t="shared" si="158"/>
        <v>1294.8</v>
      </c>
      <c r="Q829" s="3">
        <f t="shared" si="166"/>
        <v>2.7666666666666666</v>
      </c>
      <c r="R829" s="4">
        <f t="shared" si="167"/>
        <v>166</v>
      </c>
      <c r="S829" s="3">
        <f t="shared" si="168"/>
        <v>268</v>
      </c>
      <c r="T829" s="1">
        <v>0.57469999999999999</v>
      </c>
      <c r="U829" s="6">
        <f t="shared" si="159"/>
        <v>268.95960000000002</v>
      </c>
    </row>
    <row r="830" spans="1:21" x14ac:dyDescent="0.35">
      <c r="A830">
        <v>829</v>
      </c>
      <c r="B830" s="5">
        <v>45025</v>
      </c>
      <c r="C830" s="4">
        <f t="shared" si="160"/>
        <v>2023</v>
      </c>
      <c r="D830" s="4">
        <f t="shared" si="161"/>
        <v>4</v>
      </c>
      <c r="E830" s="14">
        <v>45025</v>
      </c>
      <c r="F830" s="4">
        <f t="shared" si="162"/>
        <v>9</v>
      </c>
      <c r="G830">
        <v>315</v>
      </c>
      <c r="H830">
        <v>300</v>
      </c>
      <c r="I830" s="13">
        <f t="shared" si="163"/>
        <v>0.95</v>
      </c>
      <c r="J830">
        <f t="shared" si="156"/>
        <v>15</v>
      </c>
      <c r="K830" s="2">
        <v>2.7777777777777778E-4</v>
      </c>
      <c r="L830" s="11">
        <f t="shared" si="157"/>
        <v>120</v>
      </c>
      <c r="M830" s="3">
        <f t="shared" si="164"/>
        <v>0.4</v>
      </c>
      <c r="N830" s="4">
        <f t="shared" si="165"/>
        <v>24</v>
      </c>
      <c r="O830" s="2">
        <v>2.2106481481481482E-3</v>
      </c>
      <c r="P830" s="9">
        <f t="shared" si="158"/>
        <v>954.99999999999989</v>
      </c>
      <c r="Q830" s="3">
        <f t="shared" si="166"/>
        <v>3.1833333333333331</v>
      </c>
      <c r="R830" s="4">
        <f t="shared" si="167"/>
        <v>191</v>
      </c>
      <c r="S830" s="3">
        <f t="shared" si="168"/>
        <v>210</v>
      </c>
      <c r="T830" s="1">
        <v>0.70230000000000004</v>
      </c>
      <c r="U830" s="6">
        <f t="shared" si="159"/>
        <v>210.69</v>
      </c>
    </row>
    <row r="831" spans="1:21" x14ac:dyDescent="0.35">
      <c r="A831">
        <v>830</v>
      </c>
      <c r="B831" s="5">
        <v>45026</v>
      </c>
      <c r="C831" s="4">
        <f t="shared" si="160"/>
        <v>2023</v>
      </c>
      <c r="D831" s="4">
        <f t="shared" si="161"/>
        <v>4</v>
      </c>
      <c r="E831" s="14">
        <v>45026</v>
      </c>
      <c r="F831" s="4">
        <f t="shared" si="162"/>
        <v>10</v>
      </c>
      <c r="G831">
        <v>122</v>
      </c>
      <c r="H831">
        <v>113</v>
      </c>
      <c r="I831" s="13">
        <f t="shared" si="163"/>
        <v>0.92</v>
      </c>
      <c r="J831">
        <f t="shared" si="156"/>
        <v>9</v>
      </c>
      <c r="K831" s="2">
        <v>2.3148148148148149E-4</v>
      </c>
      <c r="L831" s="11">
        <f t="shared" si="157"/>
        <v>37.666666666666664</v>
      </c>
      <c r="M831" s="3">
        <f t="shared" si="164"/>
        <v>0.33333333333333331</v>
      </c>
      <c r="N831" s="4">
        <f t="shared" si="165"/>
        <v>20</v>
      </c>
      <c r="O831" s="2">
        <v>2.0601851851851853E-3</v>
      </c>
      <c r="P831" s="9">
        <f t="shared" si="158"/>
        <v>335.23333333333335</v>
      </c>
      <c r="Q831" s="3">
        <f t="shared" si="166"/>
        <v>2.9666666666666668</v>
      </c>
      <c r="R831" s="4">
        <f t="shared" si="167"/>
        <v>178</v>
      </c>
      <c r="S831" s="3">
        <f t="shared" si="168"/>
        <v>86</v>
      </c>
      <c r="T831" s="1">
        <v>0.76670000000000005</v>
      </c>
      <c r="U831" s="6">
        <f t="shared" si="159"/>
        <v>86.637100000000004</v>
      </c>
    </row>
    <row r="832" spans="1:21" x14ac:dyDescent="0.35">
      <c r="A832">
        <v>831</v>
      </c>
      <c r="B832" s="5">
        <v>45027</v>
      </c>
      <c r="C832" s="4">
        <f t="shared" si="160"/>
        <v>2023</v>
      </c>
      <c r="D832" s="4">
        <f t="shared" si="161"/>
        <v>4</v>
      </c>
      <c r="E832" s="14">
        <v>45027</v>
      </c>
      <c r="F832" s="4">
        <f t="shared" si="162"/>
        <v>11</v>
      </c>
      <c r="G832">
        <v>63</v>
      </c>
      <c r="H832">
        <v>60</v>
      </c>
      <c r="I832" s="13">
        <f t="shared" si="163"/>
        <v>0.95</v>
      </c>
      <c r="J832">
        <f t="shared" si="156"/>
        <v>3</v>
      </c>
      <c r="K832" s="2">
        <v>2.4305555555555555E-4</v>
      </c>
      <c r="L832" s="11">
        <f t="shared" si="157"/>
        <v>21</v>
      </c>
      <c r="M832" s="3">
        <f t="shared" si="164"/>
        <v>0.35</v>
      </c>
      <c r="N832" s="4">
        <f t="shared" si="165"/>
        <v>21</v>
      </c>
      <c r="O832" s="2">
        <v>1.9791666666666668E-3</v>
      </c>
      <c r="P832" s="9">
        <f t="shared" si="158"/>
        <v>171</v>
      </c>
      <c r="Q832" s="3">
        <f t="shared" si="166"/>
        <v>2.85</v>
      </c>
      <c r="R832" s="4">
        <f t="shared" si="167"/>
        <v>171</v>
      </c>
      <c r="S832" s="3">
        <f t="shared" si="168"/>
        <v>44</v>
      </c>
      <c r="T832" s="1">
        <v>0.7419</v>
      </c>
      <c r="U832" s="6">
        <f t="shared" si="159"/>
        <v>44.514000000000003</v>
      </c>
    </row>
    <row r="833" spans="1:21" x14ac:dyDescent="0.35">
      <c r="A833">
        <v>832</v>
      </c>
      <c r="B833" s="5">
        <v>45028</v>
      </c>
      <c r="C833" s="4">
        <f t="shared" si="160"/>
        <v>2023</v>
      </c>
      <c r="D833" s="4">
        <f t="shared" si="161"/>
        <v>4</v>
      </c>
      <c r="E833" s="14">
        <v>45028</v>
      </c>
      <c r="F833" s="4">
        <f t="shared" si="162"/>
        <v>12</v>
      </c>
      <c r="G833">
        <v>402</v>
      </c>
      <c r="H833">
        <v>368</v>
      </c>
      <c r="I833" s="13">
        <f t="shared" si="163"/>
        <v>0.91</v>
      </c>
      <c r="J833">
        <f t="shared" si="156"/>
        <v>34</v>
      </c>
      <c r="K833" s="2">
        <v>3.7037037037037035E-4</v>
      </c>
      <c r="L833" s="11">
        <f t="shared" si="157"/>
        <v>196.26666666666665</v>
      </c>
      <c r="M833" s="3">
        <f t="shared" si="164"/>
        <v>0.53333333333333333</v>
      </c>
      <c r="N833" s="4">
        <f t="shared" si="165"/>
        <v>32</v>
      </c>
      <c r="O833" s="2">
        <v>2.1643518518518518E-3</v>
      </c>
      <c r="P833" s="9">
        <f t="shared" si="158"/>
        <v>1146.9333333333334</v>
      </c>
      <c r="Q833" s="3">
        <f t="shared" si="166"/>
        <v>3.1166666666666667</v>
      </c>
      <c r="R833" s="4">
        <f t="shared" si="167"/>
        <v>187</v>
      </c>
      <c r="S833" s="3">
        <f t="shared" si="168"/>
        <v>199</v>
      </c>
      <c r="T833" s="1">
        <v>0.54179999999999995</v>
      </c>
      <c r="U833" s="6">
        <f t="shared" si="159"/>
        <v>199.38239999999999</v>
      </c>
    </row>
    <row r="834" spans="1:21" x14ac:dyDescent="0.35">
      <c r="A834">
        <v>833</v>
      </c>
      <c r="B834" s="5">
        <v>45029</v>
      </c>
      <c r="C834" s="4">
        <f t="shared" si="160"/>
        <v>2023</v>
      </c>
      <c r="D834" s="4">
        <f t="shared" si="161"/>
        <v>4</v>
      </c>
      <c r="E834" s="14">
        <v>45029</v>
      </c>
      <c r="F834" s="4">
        <f t="shared" si="162"/>
        <v>13</v>
      </c>
      <c r="G834">
        <v>413</v>
      </c>
      <c r="H834">
        <v>370</v>
      </c>
      <c r="I834" s="13">
        <f t="shared" si="163"/>
        <v>0.89</v>
      </c>
      <c r="J834">
        <f t="shared" ref="J834:J897" si="169">G834-H834</f>
        <v>43</v>
      </c>
      <c r="K834" s="2">
        <v>3.3564814814814812E-4</v>
      </c>
      <c r="L834" s="11">
        <f t="shared" ref="L834:L897" si="170">H834*M834</f>
        <v>178.83333333333334</v>
      </c>
      <c r="M834" s="3">
        <f t="shared" si="164"/>
        <v>0.48333333333333334</v>
      </c>
      <c r="N834" s="4">
        <f t="shared" si="165"/>
        <v>29</v>
      </c>
      <c r="O834" s="2">
        <v>2.1990740740740742E-3</v>
      </c>
      <c r="P834" s="9">
        <f t="shared" ref="P834:P897" si="171">Q834*H834</f>
        <v>1171.6666666666665</v>
      </c>
      <c r="Q834" s="3">
        <f t="shared" si="166"/>
        <v>3.1666666666666665</v>
      </c>
      <c r="R834" s="4">
        <f t="shared" si="167"/>
        <v>190</v>
      </c>
      <c r="S834" s="3">
        <f t="shared" si="168"/>
        <v>216</v>
      </c>
      <c r="T834" s="1">
        <v>0.58420000000000005</v>
      </c>
      <c r="U834" s="6">
        <f t="shared" ref="U834:U897" si="172">T834*H834</f>
        <v>216.15400000000002</v>
      </c>
    </row>
    <row r="835" spans="1:21" x14ac:dyDescent="0.35">
      <c r="A835">
        <v>834</v>
      </c>
      <c r="B835" s="5">
        <v>45030</v>
      </c>
      <c r="C835" s="4">
        <f t="shared" ref="C835:C898" si="173">YEAR(B835)</f>
        <v>2023</v>
      </c>
      <c r="D835" s="4">
        <f t="shared" ref="D835:D898" si="174">MONTH(B835)</f>
        <v>4</v>
      </c>
      <c r="E835" s="14">
        <v>45030</v>
      </c>
      <c r="F835" s="4">
        <f t="shared" ref="F835:F898" si="175">DAY(B835)</f>
        <v>14</v>
      </c>
      <c r="G835">
        <v>389</v>
      </c>
      <c r="H835">
        <v>346</v>
      </c>
      <c r="I835" s="13">
        <f t="shared" ref="I835:I898" si="176">TRUNC(H835/G835,2)</f>
        <v>0.88</v>
      </c>
      <c r="J835">
        <f t="shared" si="169"/>
        <v>43</v>
      </c>
      <c r="K835" s="2">
        <v>4.1666666666666669E-4</v>
      </c>
      <c r="L835" s="11">
        <f t="shared" si="170"/>
        <v>207.6</v>
      </c>
      <c r="M835" s="3">
        <f t="shared" ref="M835:M898" si="177">MINUTE(K835)+SECOND(K835)/60</f>
        <v>0.6</v>
      </c>
      <c r="N835" s="4">
        <f t="shared" ref="N835:N898" si="178">M835*60</f>
        <v>36</v>
      </c>
      <c r="O835" s="2">
        <v>2.3263888888888887E-3</v>
      </c>
      <c r="P835" s="9">
        <f t="shared" si="171"/>
        <v>1159.1000000000001</v>
      </c>
      <c r="Q835" s="3">
        <f t="shared" ref="Q835:Q898" si="179">MINUTE(O835)+SECOND(O835)/60</f>
        <v>3.35</v>
      </c>
      <c r="R835" s="4">
        <f t="shared" ref="R835:R898" si="180">Q835*60</f>
        <v>201</v>
      </c>
      <c r="S835" s="3">
        <f t="shared" ref="S835:S898" si="181">TRUNC(U835,0)</f>
        <v>172</v>
      </c>
      <c r="T835" s="1">
        <v>0.49869999999999998</v>
      </c>
      <c r="U835" s="6">
        <f t="shared" si="172"/>
        <v>172.55019999999999</v>
      </c>
    </row>
    <row r="836" spans="1:21" x14ac:dyDescent="0.35">
      <c r="A836">
        <v>835</v>
      </c>
      <c r="B836" s="5">
        <v>45031</v>
      </c>
      <c r="C836" s="4">
        <f t="shared" si="173"/>
        <v>2023</v>
      </c>
      <c r="D836" s="4">
        <f t="shared" si="174"/>
        <v>4</v>
      </c>
      <c r="E836" s="14">
        <v>45031</v>
      </c>
      <c r="F836" s="4">
        <f t="shared" si="175"/>
        <v>15</v>
      </c>
      <c r="G836">
        <v>495</v>
      </c>
      <c r="H836">
        <v>308</v>
      </c>
      <c r="I836" s="13">
        <f t="shared" si="176"/>
        <v>0.62</v>
      </c>
      <c r="J836">
        <f t="shared" si="169"/>
        <v>187</v>
      </c>
      <c r="K836" s="2">
        <v>1.0532407407407407E-3</v>
      </c>
      <c r="L836" s="11">
        <f t="shared" si="170"/>
        <v>467.13333333333333</v>
      </c>
      <c r="M836" s="3">
        <f t="shared" si="177"/>
        <v>1.5166666666666666</v>
      </c>
      <c r="N836" s="4">
        <f t="shared" si="178"/>
        <v>91</v>
      </c>
      <c r="O836" s="2">
        <v>2.3726851851851851E-3</v>
      </c>
      <c r="P836" s="9">
        <f t="shared" si="171"/>
        <v>1052.3333333333333</v>
      </c>
      <c r="Q836" s="3">
        <f t="shared" si="179"/>
        <v>3.4166666666666665</v>
      </c>
      <c r="R836" s="4">
        <f t="shared" si="180"/>
        <v>205</v>
      </c>
      <c r="S836" s="3">
        <f t="shared" si="181"/>
        <v>57</v>
      </c>
      <c r="T836" s="1">
        <v>0.18559999999999999</v>
      </c>
      <c r="U836" s="6">
        <f t="shared" si="172"/>
        <v>57.1648</v>
      </c>
    </row>
    <row r="837" spans="1:21" x14ac:dyDescent="0.35">
      <c r="A837">
        <v>836</v>
      </c>
      <c r="B837" s="5">
        <v>45032</v>
      </c>
      <c r="C837" s="4">
        <f t="shared" si="173"/>
        <v>2023</v>
      </c>
      <c r="D837" s="4">
        <f t="shared" si="174"/>
        <v>4</v>
      </c>
      <c r="E837" s="14">
        <v>45032</v>
      </c>
      <c r="F837" s="4">
        <f t="shared" si="175"/>
        <v>16</v>
      </c>
      <c r="G837">
        <v>712</v>
      </c>
      <c r="H837">
        <v>340</v>
      </c>
      <c r="I837" s="13">
        <f t="shared" si="176"/>
        <v>0.47</v>
      </c>
      <c r="J837">
        <f t="shared" si="169"/>
        <v>372</v>
      </c>
      <c r="K837" s="2">
        <v>1.3888888888888889E-3</v>
      </c>
      <c r="L837" s="11">
        <f t="shared" si="170"/>
        <v>680</v>
      </c>
      <c r="M837" s="3">
        <f t="shared" si="177"/>
        <v>2</v>
      </c>
      <c r="N837" s="4">
        <f t="shared" si="178"/>
        <v>120</v>
      </c>
      <c r="O837" s="2">
        <v>2.3842592592592591E-3</v>
      </c>
      <c r="P837" s="9">
        <f t="shared" si="171"/>
        <v>1167.3333333333335</v>
      </c>
      <c r="Q837" s="3">
        <f t="shared" si="179"/>
        <v>3.4333333333333336</v>
      </c>
      <c r="R837" s="4">
        <f t="shared" si="180"/>
        <v>206</v>
      </c>
      <c r="S837" s="3">
        <f t="shared" si="181"/>
        <v>41</v>
      </c>
      <c r="T837" s="1">
        <v>0.1226</v>
      </c>
      <c r="U837" s="6">
        <f t="shared" si="172"/>
        <v>41.683999999999997</v>
      </c>
    </row>
    <row r="838" spans="1:21" x14ac:dyDescent="0.35">
      <c r="A838">
        <v>837</v>
      </c>
      <c r="B838" s="5">
        <v>45033</v>
      </c>
      <c r="C838" s="4">
        <f t="shared" si="173"/>
        <v>2023</v>
      </c>
      <c r="D838" s="4">
        <f t="shared" si="174"/>
        <v>4</v>
      </c>
      <c r="E838" s="14">
        <v>45033</v>
      </c>
      <c r="F838" s="4">
        <f t="shared" si="175"/>
        <v>17</v>
      </c>
      <c r="G838">
        <v>1057</v>
      </c>
      <c r="H838">
        <v>602</v>
      </c>
      <c r="I838" s="13">
        <f t="shared" si="176"/>
        <v>0.56000000000000005</v>
      </c>
      <c r="J838">
        <f t="shared" si="169"/>
        <v>455</v>
      </c>
      <c r="K838" s="2">
        <v>1.2037037037037038E-3</v>
      </c>
      <c r="L838" s="11">
        <f t="shared" si="170"/>
        <v>1043.4666666666667</v>
      </c>
      <c r="M838" s="3">
        <f t="shared" si="177"/>
        <v>1.7333333333333334</v>
      </c>
      <c r="N838" s="4">
        <f t="shared" si="178"/>
        <v>104</v>
      </c>
      <c r="O838" s="2">
        <v>1.7708333333333332E-3</v>
      </c>
      <c r="P838" s="9">
        <f t="shared" si="171"/>
        <v>1535.1</v>
      </c>
      <c r="Q838" s="3">
        <f t="shared" si="179"/>
        <v>2.5499999999999998</v>
      </c>
      <c r="R838" s="4">
        <f t="shared" si="180"/>
        <v>153</v>
      </c>
      <c r="S838" s="3">
        <f t="shared" si="181"/>
        <v>69</v>
      </c>
      <c r="T838" s="1">
        <v>0.1149</v>
      </c>
      <c r="U838" s="6">
        <f t="shared" si="172"/>
        <v>69.169799999999995</v>
      </c>
    </row>
    <row r="839" spans="1:21" x14ac:dyDescent="0.35">
      <c r="A839">
        <v>838</v>
      </c>
      <c r="B839" s="5">
        <v>45034</v>
      </c>
      <c r="C839" s="4">
        <f t="shared" si="173"/>
        <v>2023</v>
      </c>
      <c r="D839" s="4">
        <f t="shared" si="174"/>
        <v>4</v>
      </c>
      <c r="E839" s="14">
        <v>45034</v>
      </c>
      <c r="F839" s="4">
        <f t="shared" si="175"/>
        <v>18</v>
      </c>
      <c r="G839">
        <v>620</v>
      </c>
      <c r="H839">
        <v>321</v>
      </c>
      <c r="I839" s="13">
        <f t="shared" si="176"/>
        <v>0.51</v>
      </c>
      <c r="J839">
        <f t="shared" si="169"/>
        <v>299</v>
      </c>
      <c r="K839" s="2">
        <v>1.8749999999999999E-3</v>
      </c>
      <c r="L839" s="11">
        <f t="shared" si="170"/>
        <v>866.7</v>
      </c>
      <c r="M839" s="3">
        <f t="shared" si="177"/>
        <v>2.7</v>
      </c>
      <c r="N839" s="4">
        <f t="shared" si="178"/>
        <v>162</v>
      </c>
      <c r="O839" s="2">
        <v>2.2337962962962962E-3</v>
      </c>
      <c r="P839" s="9">
        <f t="shared" si="171"/>
        <v>1032.55</v>
      </c>
      <c r="Q839" s="3">
        <f t="shared" si="179"/>
        <v>3.2166666666666668</v>
      </c>
      <c r="R839" s="4">
        <f t="shared" si="180"/>
        <v>193</v>
      </c>
      <c r="S839" s="3">
        <f t="shared" si="181"/>
        <v>34</v>
      </c>
      <c r="T839" s="1">
        <v>0.1087</v>
      </c>
      <c r="U839" s="6">
        <f t="shared" si="172"/>
        <v>34.892700000000005</v>
      </c>
    </row>
    <row r="840" spans="1:21" x14ac:dyDescent="0.35">
      <c r="A840">
        <v>839</v>
      </c>
      <c r="B840" s="5">
        <v>45035</v>
      </c>
      <c r="C840" s="4">
        <f t="shared" si="173"/>
        <v>2023</v>
      </c>
      <c r="D840" s="4">
        <f t="shared" si="174"/>
        <v>4</v>
      </c>
      <c r="E840" s="14">
        <v>45035</v>
      </c>
      <c r="F840" s="4">
        <f t="shared" si="175"/>
        <v>19</v>
      </c>
      <c r="G840">
        <v>1575</v>
      </c>
      <c r="H840">
        <v>871</v>
      </c>
      <c r="I840" s="13">
        <f t="shared" si="176"/>
        <v>0.55000000000000004</v>
      </c>
      <c r="J840">
        <f t="shared" si="169"/>
        <v>704</v>
      </c>
      <c r="K840" s="2">
        <v>1.0648148148148149E-3</v>
      </c>
      <c r="L840" s="11">
        <f t="shared" si="170"/>
        <v>1335.5333333333333</v>
      </c>
      <c r="M840" s="3">
        <f t="shared" si="177"/>
        <v>1.5333333333333332</v>
      </c>
      <c r="N840" s="4">
        <f t="shared" si="178"/>
        <v>92</v>
      </c>
      <c r="O840" s="2">
        <v>1.7708333333333332E-3</v>
      </c>
      <c r="P840" s="9">
        <f t="shared" si="171"/>
        <v>2221.0499999999997</v>
      </c>
      <c r="Q840" s="3">
        <f t="shared" si="179"/>
        <v>2.5499999999999998</v>
      </c>
      <c r="R840" s="4">
        <f t="shared" si="180"/>
        <v>153</v>
      </c>
      <c r="S840" s="3">
        <f t="shared" si="181"/>
        <v>121</v>
      </c>
      <c r="T840" s="1">
        <v>0.13930000000000001</v>
      </c>
      <c r="U840" s="6">
        <f t="shared" si="172"/>
        <v>121.33030000000001</v>
      </c>
    </row>
    <row r="841" spans="1:21" x14ac:dyDescent="0.35">
      <c r="A841">
        <v>840</v>
      </c>
      <c r="B841" s="5">
        <v>45036</v>
      </c>
      <c r="C841" s="4">
        <f t="shared" si="173"/>
        <v>2023</v>
      </c>
      <c r="D841" s="4">
        <f t="shared" si="174"/>
        <v>4</v>
      </c>
      <c r="E841" s="14">
        <v>45036</v>
      </c>
      <c r="F841" s="4">
        <f t="shared" si="175"/>
        <v>20</v>
      </c>
      <c r="G841">
        <v>1349</v>
      </c>
      <c r="H841">
        <v>775</v>
      </c>
      <c r="I841" s="13">
        <f t="shared" si="176"/>
        <v>0.56999999999999995</v>
      </c>
      <c r="J841">
        <f t="shared" si="169"/>
        <v>574</v>
      </c>
      <c r="K841" s="2">
        <v>1.2268518518518518E-3</v>
      </c>
      <c r="L841" s="11">
        <f t="shared" si="170"/>
        <v>1369.1666666666665</v>
      </c>
      <c r="M841" s="3">
        <f t="shared" si="177"/>
        <v>1.7666666666666666</v>
      </c>
      <c r="N841" s="4">
        <f t="shared" si="178"/>
        <v>106</v>
      </c>
      <c r="O841" s="2">
        <v>2.1990740740740742E-3</v>
      </c>
      <c r="P841" s="9">
        <f t="shared" si="171"/>
        <v>2454.1666666666665</v>
      </c>
      <c r="Q841" s="3">
        <f t="shared" si="179"/>
        <v>3.1666666666666665</v>
      </c>
      <c r="R841" s="4">
        <f t="shared" si="180"/>
        <v>190</v>
      </c>
      <c r="S841" s="3">
        <f t="shared" si="181"/>
        <v>94</v>
      </c>
      <c r="T841" s="1">
        <v>0.1216</v>
      </c>
      <c r="U841" s="6">
        <f t="shared" si="172"/>
        <v>94.24</v>
      </c>
    </row>
    <row r="842" spans="1:21" x14ac:dyDescent="0.35">
      <c r="A842">
        <v>841</v>
      </c>
      <c r="B842" s="5">
        <v>45037</v>
      </c>
      <c r="C842" s="4">
        <f t="shared" si="173"/>
        <v>2023</v>
      </c>
      <c r="D842" s="4">
        <f t="shared" si="174"/>
        <v>4</v>
      </c>
      <c r="E842" s="14">
        <v>45037</v>
      </c>
      <c r="F842" s="4">
        <f t="shared" si="175"/>
        <v>21</v>
      </c>
      <c r="G842">
        <v>999</v>
      </c>
      <c r="H842">
        <v>454</v>
      </c>
      <c r="I842" s="13">
        <f t="shared" si="176"/>
        <v>0.45</v>
      </c>
      <c r="J842">
        <f t="shared" si="169"/>
        <v>545</v>
      </c>
      <c r="K842" s="2">
        <v>1.9444444444444444E-3</v>
      </c>
      <c r="L842" s="11">
        <f t="shared" si="170"/>
        <v>1271.1999999999998</v>
      </c>
      <c r="M842" s="3">
        <f t="shared" si="177"/>
        <v>2.8</v>
      </c>
      <c r="N842" s="4">
        <f t="shared" si="178"/>
        <v>168</v>
      </c>
      <c r="O842" s="2">
        <v>2.2453703703703702E-3</v>
      </c>
      <c r="P842" s="9">
        <f t="shared" si="171"/>
        <v>1467.9333333333334</v>
      </c>
      <c r="Q842" s="3">
        <f t="shared" si="179"/>
        <v>3.2333333333333334</v>
      </c>
      <c r="R842" s="4">
        <f t="shared" si="180"/>
        <v>194</v>
      </c>
      <c r="S842" s="3">
        <f t="shared" si="181"/>
        <v>18</v>
      </c>
      <c r="T842" s="1">
        <v>4.07E-2</v>
      </c>
      <c r="U842" s="6">
        <f t="shared" si="172"/>
        <v>18.477799999999998</v>
      </c>
    </row>
    <row r="843" spans="1:21" x14ac:dyDescent="0.35">
      <c r="A843">
        <v>842</v>
      </c>
      <c r="B843" s="5">
        <v>45038</v>
      </c>
      <c r="C843" s="4">
        <f t="shared" si="173"/>
        <v>2023</v>
      </c>
      <c r="D843" s="4">
        <f t="shared" si="174"/>
        <v>4</v>
      </c>
      <c r="E843" s="14">
        <v>45038</v>
      </c>
      <c r="F843" s="4">
        <f t="shared" si="175"/>
        <v>22</v>
      </c>
      <c r="G843">
        <v>968</v>
      </c>
      <c r="H843">
        <v>547</v>
      </c>
      <c r="I843" s="13">
        <f t="shared" si="176"/>
        <v>0.56000000000000005</v>
      </c>
      <c r="J843">
        <f t="shared" si="169"/>
        <v>421</v>
      </c>
      <c r="K843" s="2">
        <v>1.6898148148148148E-3</v>
      </c>
      <c r="L843" s="11">
        <f t="shared" si="170"/>
        <v>1331.0333333333335</v>
      </c>
      <c r="M843" s="3">
        <f t="shared" si="177"/>
        <v>2.4333333333333336</v>
      </c>
      <c r="N843" s="4">
        <f t="shared" si="178"/>
        <v>146</v>
      </c>
      <c r="O843" s="2">
        <v>2.2916666666666667E-3</v>
      </c>
      <c r="P843" s="9">
        <f t="shared" si="171"/>
        <v>1805.1</v>
      </c>
      <c r="Q843" s="3">
        <f t="shared" si="179"/>
        <v>3.3</v>
      </c>
      <c r="R843" s="4">
        <f t="shared" si="180"/>
        <v>198</v>
      </c>
      <c r="S843" s="3">
        <f t="shared" si="181"/>
        <v>64</v>
      </c>
      <c r="T843" s="1">
        <v>0.1171</v>
      </c>
      <c r="U843" s="6">
        <f t="shared" si="172"/>
        <v>64.053699999999992</v>
      </c>
    </row>
    <row r="844" spans="1:21" x14ac:dyDescent="0.35">
      <c r="A844">
        <v>843</v>
      </c>
      <c r="B844" s="5">
        <v>45039</v>
      </c>
      <c r="C844" s="4">
        <f t="shared" si="173"/>
        <v>2023</v>
      </c>
      <c r="D844" s="4">
        <f t="shared" si="174"/>
        <v>4</v>
      </c>
      <c r="E844" s="14">
        <v>45039</v>
      </c>
      <c r="F844" s="4">
        <f t="shared" si="175"/>
        <v>23</v>
      </c>
      <c r="G844">
        <v>1066</v>
      </c>
      <c r="H844">
        <v>453</v>
      </c>
      <c r="I844" s="13">
        <f t="shared" si="176"/>
        <v>0.42</v>
      </c>
      <c r="J844">
        <f t="shared" si="169"/>
        <v>613</v>
      </c>
      <c r="K844" s="2">
        <v>3.5185185185185185E-3</v>
      </c>
      <c r="L844" s="11">
        <f t="shared" si="170"/>
        <v>2295.1999999999998</v>
      </c>
      <c r="M844" s="3">
        <f t="shared" si="177"/>
        <v>5.0666666666666664</v>
      </c>
      <c r="N844" s="4">
        <f t="shared" si="178"/>
        <v>304</v>
      </c>
      <c r="O844" s="2">
        <v>2.5347222222222221E-3</v>
      </c>
      <c r="P844" s="9">
        <f t="shared" si="171"/>
        <v>1653.45</v>
      </c>
      <c r="Q844" s="3">
        <f t="shared" si="179"/>
        <v>3.65</v>
      </c>
      <c r="R844" s="4">
        <f t="shared" si="180"/>
        <v>219</v>
      </c>
      <c r="S844" s="3">
        <f t="shared" si="181"/>
        <v>10</v>
      </c>
      <c r="T844" s="1">
        <v>2.24E-2</v>
      </c>
      <c r="U844" s="6">
        <f t="shared" si="172"/>
        <v>10.1472</v>
      </c>
    </row>
    <row r="845" spans="1:21" x14ac:dyDescent="0.35">
      <c r="A845">
        <v>844</v>
      </c>
      <c r="B845" s="5">
        <v>45040</v>
      </c>
      <c r="C845" s="4">
        <f t="shared" si="173"/>
        <v>2023</v>
      </c>
      <c r="D845" s="4">
        <f t="shared" si="174"/>
        <v>4</v>
      </c>
      <c r="E845" s="14">
        <v>45040</v>
      </c>
      <c r="F845" s="4">
        <f t="shared" si="175"/>
        <v>24</v>
      </c>
      <c r="G845">
        <v>788</v>
      </c>
      <c r="H845">
        <v>633</v>
      </c>
      <c r="I845" s="13">
        <f t="shared" si="176"/>
        <v>0.8</v>
      </c>
      <c r="J845">
        <f t="shared" si="169"/>
        <v>155</v>
      </c>
      <c r="K845" s="2">
        <v>8.4490740740740739E-4</v>
      </c>
      <c r="L845" s="11">
        <f t="shared" si="170"/>
        <v>770.15000000000009</v>
      </c>
      <c r="M845" s="3">
        <f t="shared" si="177"/>
        <v>1.2166666666666668</v>
      </c>
      <c r="N845" s="4">
        <f t="shared" si="178"/>
        <v>73</v>
      </c>
      <c r="O845" s="2">
        <v>2.3495370370370371E-3</v>
      </c>
      <c r="P845" s="9">
        <f t="shared" si="171"/>
        <v>2141.65</v>
      </c>
      <c r="Q845" s="3">
        <f t="shared" si="179"/>
        <v>3.3833333333333333</v>
      </c>
      <c r="R845" s="4">
        <f t="shared" si="180"/>
        <v>203</v>
      </c>
      <c r="S845" s="3">
        <f t="shared" si="181"/>
        <v>132</v>
      </c>
      <c r="T845" s="1">
        <v>0.20880000000000001</v>
      </c>
      <c r="U845" s="6">
        <f t="shared" si="172"/>
        <v>132.1704</v>
      </c>
    </row>
    <row r="846" spans="1:21" x14ac:dyDescent="0.35">
      <c r="A846">
        <v>845</v>
      </c>
      <c r="B846" s="5">
        <v>45041</v>
      </c>
      <c r="C846" s="4">
        <f t="shared" si="173"/>
        <v>2023</v>
      </c>
      <c r="D846" s="4">
        <f t="shared" si="174"/>
        <v>4</v>
      </c>
      <c r="E846" s="14">
        <v>45041</v>
      </c>
      <c r="F846" s="4">
        <f t="shared" si="175"/>
        <v>25</v>
      </c>
      <c r="G846">
        <v>252</v>
      </c>
      <c r="H846">
        <v>213</v>
      </c>
      <c r="I846" s="13">
        <f t="shared" si="176"/>
        <v>0.84</v>
      </c>
      <c r="J846">
        <f t="shared" si="169"/>
        <v>39</v>
      </c>
      <c r="K846" s="2">
        <v>6.134259259259259E-4</v>
      </c>
      <c r="L846" s="11">
        <f t="shared" si="170"/>
        <v>188.15</v>
      </c>
      <c r="M846" s="3">
        <f t="shared" si="177"/>
        <v>0.8833333333333333</v>
      </c>
      <c r="N846" s="4">
        <f t="shared" si="178"/>
        <v>53</v>
      </c>
      <c r="O846" s="2">
        <v>2.4421296296296296E-3</v>
      </c>
      <c r="P846" s="9">
        <f t="shared" si="171"/>
        <v>749.05</v>
      </c>
      <c r="Q846" s="3">
        <f t="shared" si="179"/>
        <v>3.5166666666666666</v>
      </c>
      <c r="R846" s="4">
        <f t="shared" si="180"/>
        <v>211</v>
      </c>
      <c r="S846" s="3">
        <f t="shared" si="181"/>
        <v>93</v>
      </c>
      <c r="T846" s="1">
        <v>0.44080000000000003</v>
      </c>
      <c r="U846" s="6">
        <f t="shared" si="172"/>
        <v>93.8904</v>
      </c>
    </row>
    <row r="847" spans="1:21" x14ac:dyDescent="0.35">
      <c r="A847">
        <v>846</v>
      </c>
      <c r="B847" s="5">
        <v>45042</v>
      </c>
      <c r="C847" s="4">
        <f t="shared" si="173"/>
        <v>2023</v>
      </c>
      <c r="D847" s="4">
        <f t="shared" si="174"/>
        <v>4</v>
      </c>
      <c r="E847" s="14">
        <v>45042</v>
      </c>
      <c r="F847" s="4">
        <f t="shared" si="175"/>
        <v>26</v>
      </c>
      <c r="G847">
        <v>842</v>
      </c>
      <c r="H847">
        <v>625</v>
      </c>
      <c r="I847" s="13">
        <f t="shared" si="176"/>
        <v>0.74</v>
      </c>
      <c r="J847">
        <f t="shared" si="169"/>
        <v>217</v>
      </c>
      <c r="K847" s="2">
        <v>8.2175925925925927E-4</v>
      </c>
      <c r="L847" s="11">
        <f t="shared" si="170"/>
        <v>739.58333333333337</v>
      </c>
      <c r="M847" s="3">
        <f t="shared" si="177"/>
        <v>1.1833333333333333</v>
      </c>
      <c r="N847" s="4">
        <f t="shared" si="178"/>
        <v>71</v>
      </c>
      <c r="O847" s="2">
        <v>2.1990740740740742E-3</v>
      </c>
      <c r="P847" s="9">
        <f t="shared" si="171"/>
        <v>1979.1666666666665</v>
      </c>
      <c r="Q847" s="3">
        <f t="shared" si="179"/>
        <v>3.1666666666666665</v>
      </c>
      <c r="R847" s="4">
        <f t="shared" si="180"/>
        <v>190</v>
      </c>
      <c r="S847" s="3">
        <f t="shared" si="181"/>
        <v>168</v>
      </c>
      <c r="T847" s="1">
        <v>0.26929999999999998</v>
      </c>
      <c r="U847" s="6">
        <f t="shared" si="172"/>
        <v>168.3125</v>
      </c>
    </row>
    <row r="848" spans="1:21" x14ac:dyDescent="0.35">
      <c r="A848">
        <v>847</v>
      </c>
      <c r="B848" s="5">
        <v>45043</v>
      </c>
      <c r="C848" s="4">
        <f t="shared" si="173"/>
        <v>2023</v>
      </c>
      <c r="D848" s="4">
        <f t="shared" si="174"/>
        <v>4</v>
      </c>
      <c r="E848" s="14">
        <v>45043</v>
      </c>
      <c r="F848" s="4">
        <f t="shared" si="175"/>
        <v>27</v>
      </c>
      <c r="G848">
        <v>847</v>
      </c>
      <c r="H848">
        <v>722</v>
      </c>
      <c r="I848" s="13">
        <f t="shared" si="176"/>
        <v>0.85</v>
      </c>
      <c r="J848">
        <f t="shared" si="169"/>
        <v>125</v>
      </c>
      <c r="K848" s="2">
        <v>6.2500000000000001E-4</v>
      </c>
      <c r="L848" s="11">
        <f t="shared" si="170"/>
        <v>649.80000000000007</v>
      </c>
      <c r="M848" s="3">
        <f t="shared" si="177"/>
        <v>0.9</v>
      </c>
      <c r="N848" s="4">
        <f t="shared" si="178"/>
        <v>54</v>
      </c>
      <c r="O848" s="2">
        <v>2.1296296296296298E-3</v>
      </c>
      <c r="P848" s="9">
        <f t="shared" si="171"/>
        <v>2214.1333333333337</v>
      </c>
      <c r="Q848" s="3">
        <f t="shared" si="179"/>
        <v>3.0666666666666669</v>
      </c>
      <c r="R848" s="4">
        <f t="shared" si="180"/>
        <v>184</v>
      </c>
      <c r="S848" s="3">
        <f t="shared" si="181"/>
        <v>241</v>
      </c>
      <c r="T848" s="1">
        <v>0.33489999999999998</v>
      </c>
      <c r="U848" s="6">
        <f t="shared" si="172"/>
        <v>241.7978</v>
      </c>
    </row>
    <row r="849" spans="1:21" x14ac:dyDescent="0.35">
      <c r="A849">
        <v>848</v>
      </c>
      <c r="B849" s="5">
        <v>45044</v>
      </c>
      <c r="C849" s="4">
        <f t="shared" si="173"/>
        <v>2023</v>
      </c>
      <c r="D849" s="4">
        <f t="shared" si="174"/>
        <v>4</v>
      </c>
      <c r="E849" s="14">
        <v>45044</v>
      </c>
      <c r="F849" s="4">
        <f t="shared" si="175"/>
        <v>28</v>
      </c>
      <c r="G849">
        <v>800</v>
      </c>
      <c r="H849">
        <v>615</v>
      </c>
      <c r="I849" s="13">
        <f t="shared" si="176"/>
        <v>0.76</v>
      </c>
      <c r="J849">
        <f t="shared" si="169"/>
        <v>185</v>
      </c>
      <c r="K849" s="2">
        <v>7.7546296296296293E-4</v>
      </c>
      <c r="L849" s="11">
        <f t="shared" si="170"/>
        <v>686.75</v>
      </c>
      <c r="M849" s="3">
        <f t="shared" si="177"/>
        <v>1.1166666666666667</v>
      </c>
      <c r="N849" s="4">
        <f t="shared" si="178"/>
        <v>67</v>
      </c>
      <c r="O849" s="2">
        <v>2.3726851851851851E-3</v>
      </c>
      <c r="P849" s="9">
        <f t="shared" si="171"/>
        <v>2101.25</v>
      </c>
      <c r="Q849" s="3">
        <f t="shared" si="179"/>
        <v>3.4166666666666665</v>
      </c>
      <c r="R849" s="4">
        <f t="shared" si="180"/>
        <v>205</v>
      </c>
      <c r="S849" s="3">
        <f t="shared" si="181"/>
        <v>147</v>
      </c>
      <c r="T849" s="1">
        <v>0.23980000000000001</v>
      </c>
      <c r="U849" s="6">
        <f t="shared" si="172"/>
        <v>147.477</v>
      </c>
    </row>
    <row r="850" spans="1:21" x14ac:dyDescent="0.35">
      <c r="A850">
        <v>849</v>
      </c>
      <c r="B850" s="5">
        <v>45045</v>
      </c>
      <c r="C850" s="4">
        <f t="shared" si="173"/>
        <v>2023</v>
      </c>
      <c r="D850" s="4">
        <f t="shared" si="174"/>
        <v>4</v>
      </c>
      <c r="E850" s="14">
        <v>45045</v>
      </c>
      <c r="F850" s="4">
        <f t="shared" si="175"/>
        <v>29</v>
      </c>
      <c r="G850">
        <v>1100</v>
      </c>
      <c r="H850">
        <v>823</v>
      </c>
      <c r="I850" s="13">
        <f t="shared" si="176"/>
        <v>0.74</v>
      </c>
      <c r="J850">
        <f t="shared" si="169"/>
        <v>277</v>
      </c>
      <c r="K850" s="2">
        <v>7.8703703703703705E-4</v>
      </c>
      <c r="L850" s="11">
        <f t="shared" si="170"/>
        <v>932.73333333333335</v>
      </c>
      <c r="M850" s="3">
        <f t="shared" si="177"/>
        <v>1.1333333333333333</v>
      </c>
      <c r="N850" s="4">
        <f t="shared" si="178"/>
        <v>68</v>
      </c>
      <c r="O850" s="2">
        <v>2.2916666666666667E-3</v>
      </c>
      <c r="P850" s="9">
        <f t="shared" si="171"/>
        <v>2715.8999999999996</v>
      </c>
      <c r="Q850" s="3">
        <f t="shared" si="179"/>
        <v>3.3</v>
      </c>
      <c r="R850" s="4">
        <f t="shared" si="180"/>
        <v>198</v>
      </c>
      <c r="S850" s="3">
        <f t="shared" si="181"/>
        <v>244</v>
      </c>
      <c r="T850" s="1">
        <v>0.29649999999999999</v>
      </c>
      <c r="U850" s="6">
        <f t="shared" si="172"/>
        <v>244.01949999999999</v>
      </c>
    </row>
    <row r="851" spans="1:21" x14ac:dyDescent="0.35">
      <c r="A851">
        <v>850</v>
      </c>
      <c r="B851" s="5">
        <v>45046</v>
      </c>
      <c r="C851" s="4">
        <f t="shared" si="173"/>
        <v>2023</v>
      </c>
      <c r="D851" s="4">
        <f t="shared" si="174"/>
        <v>4</v>
      </c>
      <c r="E851" s="14">
        <v>45046</v>
      </c>
      <c r="F851" s="4">
        <f t="shared" si="175"/>
        <v>30</v>
      </c>
      <c r="G851">
        <v>1242</v>
      </c>
      <c r="H851">
        <v>909</v>
      </c>
      <c r="I851" s="13">
        <f t="shared" si="176"/>
        <v>0.73</v>
      </c>
      <c r="J851">
        <f t="shared" si="169"/>
        <v>333</v>
      </c>
      <c r="K851" s="2">
        <v>9.6064814814814819E-4</v>
      </c>
      <c r="L851" s="11">
        <f t="shared" si="170"/>
        <v>1257.45</v>
      </c>
      <c r="M851" s="3">
        <f t="shared" si="177"/>
        <v>1.3833333333333333</v>
      </c>
      <c r="N851" s="4">
        <f t="shared" si="178"/>
        <v>83</v>
      </c>
      <c r="O851" s="2">
        <v>2.1296296296296298E-3</v>
      </c>
      <c r="P851" s="9">
        <f t="shared" si="171"/>
        <v>2787.6000000000004</v>
      </c>
      <c r="Q851" s="3">
        <f t="shared" si="179"/>
        <v>3.0666666666666669</v>
      </c>
      <c r="R851" s="4">
        <f t="shared" si="180"/>
        <v>184</v>
      </c>
      <c r="S851" s="3">
        <f t="shared" si="181"/>
        <v>172</v>
      </c>
      <c r="T851" s="1">
        <v>0.19</v>
      </c>
      <c r="U851" s="6">
        <f t="shared" si="172"/>
        <v>172.71</v>
      </c>
    </row>
    <row r="852" spans="1:21" x14ac:dyDescent="0.35">
      <c r="A852">
        <v>851</v>
      </c>
      <c r="B852" s="5">
        <v>45047</v>
      </c>
      <c r="C852" s="4">
        <f t="shared" si="173"/>
        <v>2023</v>
      </c>
      <c r="D852" s="4">
        <f t="shared" si="174"/>
        <v>5</v>
      </c>
      <c r="E852" s="14">
        <v>45047</v>
      </c>
      <c r="F852" s="4">
        <f t="shared" si="175"/>
        <v>1</v>
      </c>
      <c r="G852">
        <v>732</v>
      </c>
      <c r="H852">
        <v>460</v>
      </c>
      <c r="I852" s="13">
        <f t="shared" si="176"/>
        <v>0.62</v>
      </c>
      <c r="J852">
        <f t="shared" si="169"/>
        <v>272</v>
      </c>
      <c r="K852" s="2">
        <v>1.0532407407407407E-3</v>
      </c>
      <c r="L852" s="11">
        <f t="shared" si="170"/>
        <v>697.66666666666663</v>
      </c>
      <c r="M852" s="3">
        <f t="shared" si="177"/>
        <v>1.5166666666666666</v>
      </c>
      <c r="N852" s="4">
        <f t="shared" si="178"/>
        <v>91</v>
      </c>
      <c r="O852" s="2">
        <v>2.2222222222222222E-3</v>
      </c>
      <c r="P852" s="9">
        <f t="shared" si="171"/>
        <v>1472</v>
      </c>
      <c r="Q852" s="3">
        <f t="shared" si="179"/>
        <v>3.2</v>
      </c>
      <c r="R852" s="4">
        <f t="shared" si="180"/>
        <v>192</v>
      </c>
      <c r="S852" s="3">
        <f t="shared" si="181"/>
        <v>82</v>
      </c>
      <c r="T852" s="1">
        <v>0.1792</v>
      </c>
      <c r="U852" s="6">
        <f t="shared" si="172"/>
        <v>82.432000000000002</v>
      </c>
    </row>
    <row r="853" spans="1:21" x14ac:dyDescent="0.35">
      <c r="A853">
        <v>852</v>
      </c>
      <c r="B853" s="5">
        <v>45048</v>
      </c>
      <c r="C853" s="4">
        <f t="shared" si="173"/>
        <v>2023</v>
      </c>
      <c r="D853" s="4">
        <f t="shared" si="174"/>
        <v>5</v>
      </c>
      <c r="E853" s="14">
        <v>45048</v>
      </c>
      <c r="F853" s="4">
        <f t="shared" si="175"/>
        <v>2</v>
      </c>
      <c r="G853">
        <v>112</v>
      </c>
      <c r="H853">
        <v>104</v>
      </c>
      <c r="I853" s="13">
        <f t="shared" si="176"/>
        <v>0.92</v>
      </c>
      <c r="J853">
        <f t="shared" si="169"/>
        <v>8</v>
      </c>
      <c r="K853" s="2">
        <v>3.9351851851851852E-4</v>
      </c>
      <c r="L853" s="11">
        <f t="shared" si="170"/>
        <v>58.93333333333333</v>
      </c>
      <c r="M853" s="3">
        <f t="shared" si="177"/>
        <v>0.56666666666666665</v>
      </c>
      <c r="N853" s="4">
        <f t="shared" si="178"/>
        <v>34</v>
      </c>
      <c r="O853" s="2">
        <v>2.3263888888888887E-3</v>
      </c>
      <c r="P853" s="9">
        <f t="shared" si="171"/>
        <v>348.40000000000003</v>
      </c>
      <c r="Q853" s="3">
        <f t="shared" si="179"/>
        <v>3.35</v>
      </c>
      <c r="R853" s="4">
        <f t="shared" si="180"/>
        <v>201</v>
      </c>
      <c r="S853" s="3">
        <f t="shared" si="181"/>
        <v>58</v>
      </c>
      <c r="T853" s="1">
        <v>0.56359999999999999</v>
      </c>
      <c r="U853" s="6">
        <f t="shared" si="172"/>
        <v>58.614399999999996</v>
      </c>
    </row>
    <row r="854" spans="1:21" x14ac:dyDescent="0.35">
      <c r="A854">
        <v>853</v>
      </c>
      <c r="B854" s="5">
        <v>45049</v>
      </c>
      <c r="C854" s="4">
        <f t="shared" si="173"/>
        <v>2023</v>
      </c>
      <c r="D854" s="4">
        <f t="shared" si="174"/>
        <v>5</v>
      </c>
      <c r="E854" s="14">
        <v>45049</v>
      </c>
      <c r="F854" s="4">
        <f t="shared" si="175"/>
        <v>3</v>
      </c>
      <c r="G854">
        <v>482</v>
      </c>
      <c r="H854">
        <v>434</v>
      </c>
      <c r="I854" s="13">
        <f t="shared" si="176"/>
        <v>0.9</v>
      </c>
      <c r="J854">
        <f t="shared" si="169"/>
        <v>48</v>
      </c>
      <c r="K854" s="2">
        <v>4.7453703703703704E-4</v>
      </c>
      <c r="L854" s="11">
        <f t="shared" si="170"/>
        <v>296.56666666666666</v>
      </c>
      <c r="M854" s="3">
        <f t="shared" si="177"/>
        <v>0.68333333333333335</v>
      </c>
      <c r="N854" s="4">
        <f t="shared" si="178"/>
        <v>41</v>
      </c>
      <c r="O854" s="2">
        <v>2.0949074074074073E-3</v>
      </c>
      <c r="P854" s="9">
        <f t="shared" si="171"/>
        <v>1309.2333333333333</v>
      </c>
      <c r="Q854" s="3">
        <f t="shared" si="179"/>
        <v>3.0166666666666666</v>
      </c>
      <c r="R854" s="4">
        <f t="shared" si="180"/>
        <v>181</v>
      </c>
      <c r="S854" s="3">
        <f t="shared" si="181"/>
        <v>205</v>
      </c>
      <c r="T854" s="1">
        <v>0.47439999999999999</v>
      </c>
      <c r="U854" s="6">
        <f t="shared" si="172"/>
        <v>205.8896</v>
      </c>
    </row>
    <row r="855" spans="1:21" x14ac:dyDescent="0.35">
      <c r="A855">
        <v>854</v>
      </c>
      <c r="B855" s="5">
        <v>45050</v>
      </c>
      <c r="C855" s="4">
        <f t="shared" si="173"/>
        <v>2023</v>
      </c>
      <c r="D855" s="4">
        <f t="shared" si="174"/>
        <v>5</v>
      </c>
      <c r="E855" s="14">
        <v>45050</v>
      </c>
      <c r="F855" s="4">
        <f t="shared" si="175"/>
        <v>4</v>
      </c>
      <c r="G855">
        <v>570</v>
      </c>
      <c r="H855">
        <v>484</v>
      </c>
      <c r="I855" s="13">
        <f t="shared" si="176"/>
        <v>0.84</v>
      </c>
      <c r="J855">
        <f t="shared" si="169"/>
        <v>86</v>
      </c>
      <c r="K855" s="2">
        <v>5.9027777777777778E-4</v>
      </c>
      <c r="L855" s="11">
        <f t="shared" si="170"/>
        <v>411.4</v>
      </c>
      <c r="M855" s="3">
        <f t="shared" si="177"/>
        <v>0.85</v>
      </c>
      <c r="N855" s="4">
        <f t="shared" si="178"/>
        <v>51</v>
      </c>
      <c r="O855" s="2">
        <v>2.1643518518518518E-3</v>
      </c>
      <c r="P855" s="9">
        <f t="shared" si="171"/>
        <v>1508.4666666666667</v>
      </c>
      <c r="Q855" s="3">
        <f t="shared" si="179"/>
        <v>3.1166666666666667</v>
      </c>
      <c r="R855" s="4">
        <f t="shared" si="180"/>
        <v>187</v>
      </c>
      <c r="S855" s="3">
        <f t="shared" si="181"/>
        <v>178</v>
      </c>
      <c r="T855" s="1">
        <v>0.36899999999999999</v>
      </c>
      <c r="U855" s="6">
        <f t="shared" si="172"/>
        <v>178.596</v>
      </c>
    </row>
    <row r="856" spans="1:21" x14ac:dyDescent="0.35">
      <c r="A856">
        <v>855</v>
      </c>
      <c r="B856" s="5">
        <v>45051</v>
      </c>
      <c r="C856" s="4">
        <f t="shared" si="173"/>
        <v>2023</v>
      </c>
      <c r="D856" s="4">
        <f t="shared" si="174"/>
        <v>5</v>
      </c>
      <c r="E856" s="14">
        <v>45051</v>
      </c>
      <c r="F856" s="4">
        <f t="shared" si="175"/>
        <v>5</v>
      </c>
      <c r="G856">
        <v>490</v>
      </c>
      <c r="H856">
        <v>398</v>
      </c>
      <c r="I856" s="13">
        <f t="shared" si="176"/>
        <v>0.81</v>
      </c>
      <c r="J856">
        <f t="shared" si="169"/>
        <v>92</v>
      </c>
      <c r="K856" s="2">
        <v>5.7870370370370367E-4</v>
      </c>
      <c r="L856" s="11">
        <f t="shared" si="170"/>
        <v>331.66666666666669</v>
      </c>
      <c r="M856" s="3">
        <f t="shared" si="177"/>
        <v>0.83333333333333337</v>
      </c>
      <c r="N856" s="4">
        <f t="shared" si="178"/>
        <v>50</v>
      </c>
      <c r="O856" s="2">
        <v>2.2800925925925927E-3</v>
      </c>
      <c r="P856" s="9">
        <f t="shared" si="171"/>
        <v>1306.7666666666667</v>
      </c>
      <c r="Q856" s="3">
        <f t="shared" si="179"/>
        <v>3.2833333333333332</v>
      </c>
      <c r="R856" s="4">
        <f t="shared" si="180"/>
        <v>197</v>
      </c>
      <c r="S856" s="3">
        <f t="shared" si="181"/>
        <v>143</v>
      </c>
      <c r="T856" s="1">
        <v>0.36099999999999999</v>
      </c>
      <c r="U856" s="6">
        <f t="shared" si="172"/>
        <v>143.678</v>
      </c>
    </row>
    <row r="857" spans="1:21" x14ac:dyDescent="0.35">
      <c r="A857">
        <v>856</v>
      </c>
      <c r="B857" s="5">
        <v>45052</v>
      </c>
      <c r="C857" s="4">
        <f t="shared" si="173"/>
        <v>2023</v>
      </c>
      <c r="D857" s="4">
        <f t="shared" si="174"/>
        <v>5</v>
      </c>
      <c r="E857" s="14">
        <v>45052</v>
      </c>
      <c r="F857" s="4">
        <f t="shared" si="175"/>
        <v>6</v>
      </c>
      <c r="G857">
        <v>462</v>
      </c>
      <c r="H857">
        <v>311</v>
      </c>
      <c r="I857" s="13">
        <f t="shared" si="176"/>
        <v>0.67</v>
      </c>
      <c r="J857">
        <f t="shared" si="169"/>
        <v>151</v>
      </c>
      <c r="K857" s="2">
        <v>8.2175925925925927E-4</v>
      </c>
      <c r="L857" s="11">
        <f t="shared" si="170"/>
        <v>368.01666666666665</v>
      </c>
      <c r="M857" s="3">
        <f t="shared" si="177"/>
        <v>1.1833333333333333</v>
      </c>
      <c r="N857" s="4">
        <f t="shared" si="178"/>
        <v>71</v>
      </c>
      <c r="O857" s="2">
        <v>2.2800925925925927E-3</v>
      </c>
      <c r="P857" s="9">
        <f t="shared" si="171"/>
        <v>1021.1166666666667</v>
      </c>
      <c r="Q857" s="3">
        <f t="shared" si="179"/>
        <v>3.2833333333333332</v>
      </c>
      <c r="R857" s="4">
        <f t="shared" si="180"/>
        <v>197</v>
      </c>
      <c r="S857" s="3">
        <f t="shared" si="181"/>
        <v>81</v>
      </c>
      <c r="T857" s="1">
        <v>0.26340000000000002</v>
      </c>
      <c r="U857" s="6">
        <f t="shared" si="172"/>
        <v>81.917400000000001</v>
      </c>
    </row>
    <row r="858" spans="1:21" x14ac:dyDescent="0.35">
      <c r="A858">
        <v>857</v>
      </c>
      <c r="B858" s="5">
        <v>45053</v>
      </c>
      <c r="C858" s="4">
        <f t="shared" si="173"/>
        <v>2023</v>
      </c>
      <c r="D858" s="4">
        <f t="shared" si="174"/>
        <v>5</v>
      </c>
      <c r="E858" s="14">
        <v>45053</v>
      </c>
      <c r="F858" s="4">
        <f t="shared" si="175"/>
        <v>7</v>
      </c>
      <c r="G858">
        <v>428</v>
      </c>
      <c r="H858">
        <v>373</v>
      </c>
      <c r="I858" s="13">
        <f t="shared" si="176"/>
        <v>0.87</v>
      </c>
      <c r="J858">
        <f t="shared" si="169"/>
        <v>55</v>
      </c>
      <c r="K858" s="2">
        <v>4.6296296296296298E-4</v>
      </c>
      <c r="L858" s="11">
        <f t="shared" si="170"/>
        <v>248.66666666666666</v>
      </c>
      <c r="M858" s="3">
        <f t="shared" si="177"/>
        <v>0.66666666666666663</v>
      </c>
      <c r="N858" s="4">
        <f t="shared" si="178"/>
        <v>40</v>
      </c>
      <c r="O858" s="2">
        <v>2.0601851851851853E-3</v>
      </c>
      <c r="P858" s="9">
        <f t="shared" si="171"/>
        <v>1106.5666666666666</v>
      </c>
      <c r="Q858" s="3">
        <f t="shared" si="179"/>
        <v>2.9666666666666668</v>
      </c>
      <c r="R858" s="4">
        <f t="shared" si="180"/>
        <v>178</v>
      </c>
      <c r="S858" s="3">
        <f t="shared" si="181"/>
        <v>188</v>
      </c>
      <c r="T858" s="1">
        <v>0.50600000000000001</v>
      </c>
      <c r="U858" s="6">
        <f t="shared" si="172"/>
        <v>188.738</v>
      </c>
    </row>
    <row r="859" spans="1:21" x14ac:dyDescent="0.35">
      <c r="A859">
        <v>858</v>
      </c>
      <c r="B859" s="5">
        <v>45054</v>
      </c>
      <c r="C859" s="4">
        <f t="shared" si="173"/>
        <v>2023</v>
      </c>
      <c r="D859" s="4">
        <f t="shared" si="174"/>
        <v>5</v>
      </c>
      <c r="E859" s="14">
        <v>45054</v>
      </c>
      <c r="F859" s="4">
        <f t="shared" si="175"/>
        <v>8</v>
      </c>
      <c r="G859">
        <v>393</v>
      </c>
      <c r="H859">
        <v>312</v>
      </c>
      <c r="I859" s="13">
        <f t="shared" si="176"/>
        <v>0.79</v>
      </c>
      <c r="J859">
        <f t="shared" si="169"/>
        <v>81</v>
      </c>
      <c r="K859" s="2">
        <v>7.1759259259259259E-4</v>
      </c>
      <c r="L859" s="11">
        <f t="shared" si="170"/>
        <v>322.40000000000003</v>
      </c>
      <c r="M859" s="3">
        <f t="shared" si="177"/>
        <v>1.0333333333333334</v>
      </c>
      <c r="N859" s="4">
        <f t="shared" si="178"/>
        <v>62.000000000000007</v>
      </c>
      <c r="O859" s="2">
        <v>2.2685185185185187E-3</v>
      </c>
      <c r="P859" s="9">
        <f t="shared" si="171"/>
        <v>1019.1999999999999</v>
      </c>
      <c r="Q859" s="3">
        <f t="shared" si="179"/>
        <v>3.2666666666666666</v>
      </c>
      <c r="R859" s="4">
        <f t="shared" si="180"/>
        <v>196</v>
      </c>
      <c r="S859" s="3">
        <f t="shared" si="181"/>
        <v>97</v>
      </c>
      <c r="T859" s="1">
        <v>0.314</v>
      </c>
      <c r="U859" s="6">
        <f t="shared" si="172"/>
        <v>97.968000000000004</v>
      </c>
    </row>
    <row r="860" spans="1:21" x14ac:dyDescent="0.35">
      <c r="A860">
        <v>859</v>
      </c>
      <c r="B860" s="5">
        <v>45055</v>
      </c>
      <c r="C860" s="4">
        <f t="shared" si="173"/>
        <v>2023</v>
      </c>
      <c r="D860" s="4">
        <f t="shared" si="174"/>
        <v>5</v>
      </c>
      <c r="E860" s="14">
        <v>45055</v>
      </c>
      <c r="F860" s="4">
        <f t="shared" si="175"/>
        <v>9</v>
      </c>
      <c r="G860">
        <v>58</v>
      </c>
      <c r="H860">
        <v>50</v>
      </c>
      <c r="I860" s="13">
        <f t="shared" si="176"/>
        <v>0.86</v>
      </c>
      <c r="J860">
        <f t="shared" si="169"/>
        <v>8</v>
      </c>
      <c r="K860" s="2">
        <v>3.3564814814814812E-4</v>
      </c>
      <c r="L860" s="11">
        <f t="shared" si="170"/>
        <v>24.166666666666668</v>
      </c>
      <c r="M860" s="3">
        <f t="shared" si="177"/>
        <v>0.48333333333333334</v>
      </c>
      <c r="N860" s="4">
        <f t="shared" si="178"/>
        <v>29</v>
      </c>
      <c r="O860" s="2">
        <v>2.1296296296296298E-3</v>
      </c>
      <c r="P860" s="9">
        <f t="shared" si="171"/>
        <v>153.33333333333334</v>
      </c>
      <c r="Q860" s="3">
        <f t="shared" si="179"/>
        <v>3.0666666666666669</v>
      </c>
      <c r="R860" s="4">
        <f t="shared" si="180"/>
        <v>184</v>
      </c>
      <c r="S860" s="3">
        <f t="shared" si="181"/>
        <v>33</v>
      </c>
      <c r="T860" s="1">
        <v>0.6724</v>
      </c>
      <c r="U860" s="6">
        <f t="shared" si="172"/>
        <v>33.619999999999997</v>
      </c>
    </row>
    <row r="861" spans="1:21" x14ac:dyDescent="0.35">
      <c r="A861">
        <v>860</v>
      </c>
      <c r="B861" s="5">
        <v>45056</v>
      </c>
      <c r="C861" s="4">
        <f t="shared" si="173"/>
        <v>2023</v>
      </c>
      <c r="D861" s="4">
        <f t="shared" si="174"/>
        <v>5</v>
      </c>
      <c r="E861" s="14">
        <v>45056</v>
      </c>
      <c r="F861" s="4">
        <f t="shared" si="175"/>
        <v>10</v>
      </c>
      <c r="G861">
        <v>316</v>
      </c>
      <c r="H861">
        <v>279</v>
      </c>
      <c r="I861" s="13">
        <f t="shared" si="176"/>
        <v>0.88</v>
      </c>
      <c r="J861">
        <f t="shared" si="169"/>
        <v>37</v>
      </c>
      <c r="K861" s="2">
        <v>4.6296296296296298E-4</v>
      </c>
      <c r="L861" s="11">
        <f t="shared" si="170"/>
        <v>186</v>
      </c>
      <c r="M861" s="3">
        <f t="shared" si="177"/>
        <v>0.66666666666666663</v>
      </c>
      <c r="N861" s="4">
        <f t="shared" si="178"/>
        <v>40</v>
      </c>
      <c r="O861" s="2">
        <v>2.0601851851851853E-3</v>
      </c>
      <c r="P861" s="9">
        <f t="shared" si="171"/>
        <v>827.7</v>
      </c>
      <c r="Q861" s="3">
        <f t="shared" si="179"/>
        <v>2.9666666666666668</v>
      </c>
      <c r="R861" s="4">
        <f t="shared" si="180"/>
        <v>178</v>
      </c>
      <c r="S861" s="3">
        <f t="shared" si="181"/>
        <v>123</v>
      </c>
      <c r="T861" s="1">
        <v>0.44159999999999999</v>
      </c>
      <c r="U861" s="6">
        <f t="shared" si="172"/>
        <v>123.2064</v>
      </c>
    </row>
    <row r="862" spans="1:21" x14ac:dyDescent="0.35">
      <c r="A862">
        <v>861</v>
      </c>
      <c r="B862" s="5">
        <v>45057</v>
      </c>
      <c r="C862" s="4">
        <f t="shared" si="173"/>
        <v>2023</v>
      </c>
      <c r="D862" s="4">
        <f t="shared" si="174"/>
        <v>5</v>
      </c>
      <c r="E862" s="14">
        <v>45057</v>
      </c>
      <c r="F862" s="4">
        <f t="shared" si="175"/>
        <v>11</v>
      </c>
      <c r="G862">
        <v>298</v>
      </c>
      <c r="H862">
        <v>274</v>
      </c>
      <c r="I862" s="13">
        <f t="shared" si="176"/>
        <v>0.91</v>
      </c>
      <c r="J862">
        <f t="shared" si="169"/>
        <v>24</v>
      </c>
      <c r="K862" s="2">
        <v>3.4722222222222224E-4</v>
      </c>
      <c r="L862" s="11">
        <f t="shared" si="170"/>
        <v>137</v>
      </c>
      <c r="M862" s="3">
        <f t="shared" si="177"/>
        <v>0.5</v>
      </c>
      <c r="N862" s="4">
        <f t="shared" si="178"/>
        <v>30</v>
      </c>
      <c r="O862" s="2">
        <v>2.0717592592592593E-3</v>
      </c>
      <c r="P862" s="9">
        <f t="shared" si="171"/>
        <v>817.43333333333339</v>
      </c>
      <c r="Q862" s="3">
        <f t="shared" si="179"/>
        <v>2.9833333333333334</v>
      </c>
      <c r="R862" s="4">
        <f t="shared" si="180"/>
        <v>179</v>
      </c>
      <c r="S862" s="3">
        <f t="shared" si="181"/>
        <v>152</v>
      </c>
      <c r="T862" s="1">
        <v>0.55779999999999996</v>
      </c>
      <c r="U862" s="6">
        <f t="shared" si="172"/>
        <v>152.8372</v>
      </c>
    </row>
    <row r="863" spans="1:21" x14ac:dyDescent="0.35">
      <c r="A863">
        <v>862</v>
      </c>
      <c r="B863" s="5">
        <v>45058</v>
      </c>
      <c r="C863" s="4">
        <f t="shared" si="173"/>
        <v>2023</v>
      </c>
      <c r="D863" s="4">
        <f t="shared" si="174"/>
        <v>5</v>
      </c>
      <c r="E863" s="14">
        <v>45058</v>
      </c>
      <c r="F863" s="4">
        <f t="shared" si="175"/>
        <v>12</v>
      </c>
      <c r="G863">
        <v>308</v>
      </c>
      <c r="H863">
        <v>275</v>
      </c>
      <c r="I863" s="13">
        <f t="shared" si="176"/>
        <v>0.89</v>
      </c>
      <c r="J863">
        <f t="shared" si="169"/>
        <v>33</v>
      </c>
      <c r="K863" s="2">
        <v>4.6296296296296298E-4</v>
      </c>
      <c r="L863" s="11">
        <f t="shared" si="170"/>
        <v>183.33333333333331</v>
      </c>
      <c r="M863" s="3">
        <f t="shared" si="177"/>
        <v>0.66666666666666663</v>
      </c>
      <c r="N863" s="4">
        <f t="shared" si="178"/>
        <v>40</v>
      </c>
      <c r="O863" s="2">
        <v>2.0370370370370369E-3</v>
      </c>
      <c r="P863" s="9">
        <f t="shared" si="171"/>
        <v>806.66666666666674</v>
      </c>
      <c r="Q863" s="3">
        <f t="shared" si="179"/>
        <v>2.9333333333333336</v>
      </c>
      <c r="R863" s="4">
        <f t="shared" si="180"/>
        <v>176</v>
      </c>
      <c r="S863" s="3">
        <f t="shared" si="181"/>
        <v>141</v>
      </c>
      <c r="T863" s="1">
        <v>0.51629999999999998</v>
      </c>
      <c r="U863" s="6">
        <f t="shared" si="172"/>
        <v>141.98249999999999</v>
      </c>
    </row>
    <row r="864" spans="1:21" x14ac:dyDescent="0.35">
      <c r="A864">
        <v>863</v>
      </c>
      <c r="B864" s="5">
        <v>45059</v>
      </c>
      <c r="C864" s="4">
        <f t="shared" si="173"/>
        <v>2023</v>
      </c>
      <c r="D864" s="4">
        <f t="shared" si="174"/>
        <v>5</v>
      </c>
      <c r="E864" s="14">
        <v>45059</v>
      </c>
      <c r="F864" s="4">
        <f t="shared" si="175"/>
        <v>13</v>
      </c>
      <c r="G864">
        <v>259</v>
      </c>
      <c r="H864">
        <v>242</v>
      </c>
      <c r="I864" s="13">
        <f t="shared" si="176"/>
        <v>0.93</v>
      </c>
      <c r="J864">
        <f t="shared" si="169"/>
        <v>17</v>
      </c>
      <c r="K864" s="2">
        <v>1.8518518518518518E-4</v>
      </c>
      <c r="L864" s="11">
        <f t="shared" si="170"/>
        <v>64.533333333333331</v>
      </c>
      <c r="M864" s="3">
        <f t="shared" si="177"/>
        <v>0.26666666666666666</v>
      </c>
      <c r="N864" s="4">
        <f t="shared" si="178"/>
        <v>16</v>
      </c>
      <c r="O864" s="2">
        <v>2.0138888888888888E-3</v>
      </c>
      <c r="P864" s="9">
        <f t="shared" si="171"/>
        <v>701.8</v>
      </c>
      <c r="Q864" s="3">
        <f t="shared" si="179"/>
        <v>2.9</v>
      </c>
      <c r="R864" s="4">
        <f t="shared" si="180"/>
        <v>174</v>
      </c>
      <c r="S864" s="3">
        <f t="shared" si="181"/>
        <v>189</v>
      </c>
      <c r="T864" s="1">
        <v>0.78259999999999996</v>
      </c>
      <c r="U864" s="6">
        <f t="shared" si="172"/>
        <v>189.38919999999999</v>
      </c>
    </row>
    <row r="865" spans="1:21" x14ac:dyDescent="0.35">
      <c r="A865">
        <v>864</v>
      </c>
      <c r="B865" s="5">
        <v>45060</v>
      </c>
      <c r="C865" s="4">
        <f t="shared" si="173"/>
        <v>2023</v>
      </c>
      <c r="D865" s="4">
        <f t="shared" si="174"/>
        <v>5</v>
      </c>
      <c r="E865" s="14">
        <v>45060</v>
      </c>
      <c r="F865" s="4">
        <f t="shared" si="175"/>
        <v>14</v>
      </c>
      <c r="G865">
        <v>464</v>
      </c>
      <c r="H865">
        <v>391</v>
      </c>
      <c r="I865" s="13">
        <f t="shared" si="176"/>
        <v>0.84</v>
      </c>
      <c r="J865">
        <f t="shared" si="169"/>
        <v>73</v>
      </c>
      <c r="K865" s="2">
        <v>6.3657407407407413E-4</v>
      </c>
      <c r="L865" s="11">
        <f t="shared" si="170"/>
        <v>358.41666666666663</v>
      </c>
      <c r="M865" s="3">
        <f t="shared" si="177"/>
        <v>0.91666666666666663</v>
      </c>
      <c r="N865" s="4">
        <f t="shared" si="178"/>
        <v>55</v>
      </c>
      <c r="O865" s="2">
        <v>2.4421296296296296E-3</v>
      </c>
      <c r="P865" s="9">
        <f t="shared" si="171"/>
        <v>1375.0166666666667</v>
      </c>
      <c r="Q865" s="3">
        <f t="shared" si="179"/>
        <v>3.5166666666666666</v>
      </c>
      <c r="R865" s="4">
        <f t="shared" si="180"/>
        <v>211</v>
      </c>
      <c r="S865" s="3">
        <f t="shared" si="181"/>
        <v>138</v>
      </c>
      <c r="T865" s="1">
        <v>0.35449999999999998</v>
      </c>
      <c r="U865" s="6">
        <f t="shared" si="172"/>
        <v>138.6095</v>
      </c>
    </row>
    <row r="866" spans="1:21" x14ac:dyDescent="0.35">
      <c r="A866">
        <v>865</v>
      </c>
      <c r="B866" s="5">
        <v>45061</v>
      </c>
      <c r="C866" s="4">
        <f t="shared" si="173"/>
        <v>2023</v>
      </c>
      <c r="D866" s="4">
        <f t="shared" si="174"/>
        <v>5</v>
      </c>
      <c r="E866" s="14">
        <v>45061</v>
      </c>
      <c r="F866" s="4">
        <f t="shared" si="175"/>
        <v>15</v>
      </c>
      <c r="G866">
        <v>302</v>
      </c>
      <c r="H866">
        <v>275</v>
      </c>
      <c r="I866" s="13">
        <f t="shared" si="176"/>
        <v>0.91</v>
      </c>
      <c r="J866">
        <f t="shared" si="169"/>
        <v>27</v>
      </c>
      <c r="K866" s="2">
        <v>3.4722222222222224E-4</v>
      </c>
      <c r="L866" s="11">
        <f t="shared" si="170"/>
        <v>137.5</v>
      </c>
      <c r="M866" s="3">
        <f t="shared" si="177"/>
        <v>0.5</v>
      </c>
      <c r="N866" s="4">
        <f t="shared" si="178"/>
        <v>30</v>
      </c>
      <c r="O866" s="2">
        <v>2.1064814814814813E-3</v>
      </c>
      <c r="P866" s="9">
        <f t="shared" si="171"/>
        <v>834.16666666666663</v>
      </c>
      <c r="Q866" s="3">
        <f t="shared" si="179"/>
        <v>3.0333333333333332</v>
      </c>
      <c r="R866" s="4">
        <f t="shared" si="180"/>
        <v>182</v>
      </c>
      <c r="S866" s="3">
        <f t="shared" si="181"/>
        <v>154</v>
      </c>
      <c r="T866" s="1">
        <v>0.56040000000000001</v>
      </c>
      <c r="U866" s="6">
        <f t="shared" si="172"/>
        <v>154.11000000000001</v>
      </c>
    </row>
    <row r="867" spans="1:21" x14ac:dyDescent="0.35">
      <c r="A867">
        <v>866</v>
      </c>
      <c r="B867" s="5">
        <v>45062</v>
      </c>
      <c r="C867" s="4">
        <f t="shared" si="173"/>
        <v>2023</v>
      </c>
      <c r="D867" s="4">
        <f t="shared" si="174"/>
        <v>5</v>
      </c>
      <c r="E867" s="14">
        <v>45062</v>
      </c>
      <c r="F867" s="4">
        <f t="shared" si="175"/>
        <v>16</v>
      </c>
      <c r="G867">
        <v>47</v>
      </c>
      <c r="H867">
        <v>45</v>
      </c>
      <c r="I867" s="13">
        <f t="shared" si="176"/>
        <v>0.95</v>
      </c>
      <c r="J867">
        <f t="shared" si="169"/>
        <v>2</v>
      </c>
      <c r="K867" s="2">
        <v>1.3888888888888889E-4</v>
      </c>
      <c r="L867" s="11">
        <f t="shared" si="170"/>
        <v>9</v>
      </c>
      <c r="M867" s="3">
        <f t="shared" si="177"/>
        <v>0.2</v>
      </c>
      <c r="N867" s="4">
        <f t="shared" si="178"/>
        <v>12</v>
      </c>
      <c r="O867" s="2">
        <v>1.8634259259259259E-3</v>
      </c>
      <c r="P867" s="9">
        <f t="shared" si="171"/>
        <v>120.75000000000001</v>
      </c>
      <c r="Q867" s="3">
        <f t="shared" si="179"/>
        <v>2.6833333333333336</v>
      </c>
      <c r="R867" s="4">
        <f t="shared" si="180"/>
        <v>161</v>
      </c>
      <c r="S867" s="3">
        <f t="shared" si="181"/>
        <v>38</v>
      </c>
      <c r="T867" s="1">
        <v>0.85109999999999997</v>
      </c>
      <c r="U867" s="6">
        <f t="shared" si="172"/>
        <v>38.299500000000002</v>
      </c>
    </row>
    <row r="868" spans="1:21" x14ac:dyDescent="0.35">
      <c r="A868">
        <v>867</v>
      </c>
      <c r="B868" s="5">
        <v>45063</v>
      </c>
      <c r="C868" s="4">
        <f t="shared" si="173"/>
        <v>2023</v>
      </c>
      <c r="D868" s="4">
        <f t="shared" si="174"/>
        <v>5</v>
      </c>
      <c r="E868" s="14">
        <v>45063</v>
      </c>
      <c r="F868" s="4">
        <f t="shared" si="175"/>
        <v>17</v>
      </c>
      <c r="G868">
        <v>293</v>
      </c>
      <c r="H868">
        <v>279</v>
      </c>
      <c r="I868" s="13">
        <f t="shared" si="176"/>
        <v>0.95</v>
      </c>
      <c r="J868">
        <f t="shared" si="169"/>
        <v>14</v>
      </c>
      <c r="K868" s="2">
        <v>2.5462962962962961E-4</v>
      </c>
      <c r="L868" s="11">
        <f t="shared" si="170"/>
        <v>102.3</v>
      </c>
      <c r="M868" s="3">
        <f t="shared" si="177"/>
        <v>0.36666666666666664</v>
      </c>
      <c r="N868" s="4">
        <f t="shared" si="178"/>
        <v>22</v>
      </c>
      <c r="O868" s="2">
        <v>2.0023148148148148E-3</v>
      </c>
      <c r="P868" s="9">
        <f t="shared" si="171"/>
        <v>804.45</v>
      </c>
      <c r="Q868" s="3">
        <f t="shared" si="179"/>
        <v>2.8833333333333333</v>
      </c>
      <c r="R868" s="4">
        <f t="shared" si="180"/>
        <v>173</v>
      </c>
      <c r="S868" s="3">
        <f t="shared" si="181"/>
        <v>188</v>
      </c>
      <c r="T868" s="1">
        <v>0.67469999999999997</v>
      </c>
      <c r="U868" s="6">
        <f t="shared" si="172"/>
        <v>188.2413</v>
      </c>
    </row>
    <row r="869" spans="1:21" x14ac:dyDescent="0.35">
      <c r="A869">
        <v>868</v>
      </c>
      <c r="B869" s="5">
        <v>45064</v>
      </c>
      <c r="C869" s="4">
        <f t="shared" si="173"/>
        <v>2023</v>
      </c>
      <c r="D869" s="4">
        <f t="shared" si="174"/>
        <v>5</v>
      </c>
      <c r="E869" s="14">
        <v>45064</v>
      </c>
      <c r="F869" s="4">
        <f t="shared" si="175"/>
        <v>18</v>
      </c>
      <c r="G869">
        <v>245</v>
      </c>
      <c r="H869">
        <v>225</v>
      </c>
      <c r="I869" s="13">
        <f t="shared" si="176"/>
        <v>0.91</v>
      </c>
      <c r="J869">
        <f t="shared" si="169"/>
        <v>20</v>
      </c>
      <c r="K869" s="2">
        <v>2.0833333333333335E-4</v>
      </c>
      <c r="L869" s="11">
        <f t="shared" si="170"/>
        <v>67.5</v>
      </c>
      <c r="M869" s="3">
        <f t="shared" si="177"/>
        <v>0.3</v>
      </c>
      <c r="N869" s="4">
        <f t="shared" si="178"/>
        <v>18</v>
      </c>
      <c r="O869" s="2">
        <v>2.0254629629629629E-3</v>
      </c>
      <c r="P869" s="9">
        <f t="shared" si="171"/>
        <v>656.25</v>
      </c>
      <c r="Q869" s="3">
        <f t="shared" si="179"/>
        <v>2.9166666666666665</v>
      </c>
      <c r="R869" s="4">
        <f t="shared" si="180"/>
        <v>175</v>
      </c>
      <c r="S869" s="3">
        <f t="shared" si="181"/>
        <v>165</v>
      </c>
      <c r="T869" s="1">
        <v>0.73550000000000004</v>
      </c>
      <c r="U869" s="6">
        <f t="shared" si="172"/>
        <v>165.48750000000001</v>
      </c>
    </row>
    <row r="870" spans="1:21" x14ac:dyDescent="0.35">
      <c r="A870">
        <v>869</v>
      </c>
      <c r="B870" s="5">
        <v>45065</v>
      </c>
      <c r="C870" s="4">
        <f t="shared" si="173"/>
        <v>2023</v>
      </c>
      <c r="D870" s="4">
        <f t="shared" si="174"/>
        <v>5</v>
      </c>
      <c r="E870" s="14">
        <v>45065</v>
      </c>
      <c r="F870" s="4">
        <f t="shared" si="175"/>
        <v>19</v>
      </c>
      <c r="G870">
        <v>295</v>
      </c>
      <c r="H870">
        <v>227</v>
      </c>
      <c r="I870" s="13">
        <f t="shared" si="176"/>
        <v>0.76</v>
      </c>
      <c r="J870">
        <f t="shared" si="169"/>
        <v>68</v>
      </c>
      <c r="K870" s="2">
        <v>5.5555555555555556E-4</v>
      </c>
      <c r="L870" s="11">
        <f t="shared" si="170"/>
        <v>181.60000000000002</v>
      </c>
      <c r="M870" s="3">
        <f t="shared" si="177"/>
        <v>0.8</v>
      </c>
      <c r="N870" s="4">
        <f t="shared" si="178"/>
        <v>48</v>
      </c>
      <c r="O870" s="2">
        <v>2.3032407407407407E-3</v>
      </c>
      <c r="P870" s="9">
        <f t="shared" si="171"/>
        <v>752.88333333333333</v>
      </c>
      <c r="Q870" s="3">
        <f t="shared" si="179"/>
        <v>3.3166666666666664</v>
      </c>
      <c r="R870" s="4">
        <f t="shared" si="180"/>
        <v>199</v>
      </c>
      <c r="S870" s="3">
        <f t="shared" si="181"/>
        <v>101</v>
      </c>
      <c r="T870" s="1">
        <v>0.44790000000000002</v>
      </c>
      <c r="U870" s="6">
        <f t="shared" si="172"/>
        <v>101.6733</v>
      </c>
    </row>
    <row r="871" spans="1:21" x14ac:dyDescent="0.35">
      <c r="A871">
        <v>870</v>
      </c>
      <c r="B871" s="5">
        <v>45066</v>
      </c>
      <c r="C871" s="4">
        <f t="shared" si="173"/>
        <v>2023</v>
      </c>
      <c r="D871" s="4">
        <f t="shared" si="174"/>
        <v>5</v>
      </c>
      <c r="E871" s="14">
        <v>45066</v>
      </c>
      <c r="F871" s="4">
        <f t="shared" si="175"/>
        <v>20</v>
      </c>
      <c r="G871">
        <v>205</v>
      </c>
      <c r="H871">
        <v>196</v>
      </c>
      <c r="I871" s="13">
        <f t="shared" si="176"/>
        <v>0.95</v>
      </c>
      <c r="J871">
        <f t="shared" si="169"/>
        <v>9</v>
      </c>
      <c r="K871" s="2">
        <v>2.3148148148148149E-4</v>
      </c>
      <c r="L871" s="11">
        <f t="shared" si="170"/>
        <v>65.333333333333329</v>
      </c>
      <c r="M871" s="3">
        <f t="shared" si="177"/>
        <v>0.33333333333333331</v>
      </c>
      <c r="N871" s="4">
        <f t="shared" si="178"/>
        <v>20</v>
      </c>
      <c r="O871" s="2">
        <v>2.1527777777777778E-3</v>
      </c>
      <c r="P871" s="9">
        <f t="shared" si="171"/>
        <v>607.6</v>
      </c>
      <c r="Q871" s="3">
        <f t="shared" si="179"/>
        <v>3.1</v>
      </c>
      <c r="R871" s="4">
        <f t="shared" si="180"/>
        <v>186</v>
      </c>
      <c r="S871" s="3">
        <f t="shared" si="181"/>
        <v>144</v>
      </c>
      <c r="T871" s="1">
        <v>0.73660000000000003</v>
      </c>
      <c r="U871" s="6">
        <f t="shared" si="172"/>
        <v>144.37360000000001</v>
      </c>
    </row>
    <row r="872" spans="1:21" x14ac:dyDescent="0.35">
      <c r="A872">
        <v>871</v>
      </c>
      <c r="B872" s="5">
        <v>45067</v>
      </c>
      <c r="C872" s="4">
        <f t="shared" si="173"/>
        <v>2023</v>
      </c>
      <c r="D872" s="4">
        <f t="shared" si="174"/>
        <v>5</v>
      </c>
      <c r="E872" s="14">
        <v>45067</v>
      </c>
      <c r="F872" s="4">
        <f t="shared" si="175"/>
        <v>21</v>
      </c>
      <c r="G872">
        <v>249</v>
      </c>
      <c r="H872">
        <v>215</v>
      </c>
      <c r="I872" s="13">
        <f t="shared" si="176"/>
        <v>0.86</v>
      </c>
      <c r="J872">
        <f t="shared" si="169"/>
        <v>34</v>
      </c>
      <c r="K872" s="2">
        <v>4.6296296296296298E-4</v>
      </c>
      <c r="L872" s="11">
        <f t="shared" si="170"/>
        <v>143.33333333333331</v>
      </c>
      <c r="M872" s="3">
        <f t="shared" si="177"/>
        <v>0.66666666666666663</v>
      </c>
      <c r="N872" s="4">
        <f t="shared" si="178"/>
        <v>40</v>
      </c>
      <c r="O872" s="2">
        <v>2.0601851851851853E-3</v>
      </c>
      <c r="P872" s="9">
        <f t="shared" si="171"/>
        <v>637.83333333333337</v>
      </c>
      <c r="Q872" s="3">
        <f t="shared" si="179"/>
        <v>2.9666666666666668</v>
      </c>
      <c r="R872" s="4">
        <f t="shared" si="180"/>
        <v>178</v>
      </c>
      <c r="S872" s="3">
        <f t="shared" si="181"/>
        <v>99</v>
      </c>
      <c r="T872" s="1">
        <v>0.46089999999999998</v>
      </c>
      <c r="U872" s="6">
        <f t="shared" si="172"/>
        <v>99.093499999999992</v>
      </c>
    </row>
    <row r="873" spans="1:21" x14ac:dyDescent="0.35">
      <c r="A873">
        <v>872</v>
      </c>
      <c r="B873" s="5">
        <v>45068</v>
      </c>
      <c r="C873" s="4">
        <f t="shared" si="173"/>
        <v>2023</v>
      </c>
      <c r="D873" s="4">
        <f t="shared" si="174"/>
        <v>5</v>
      </c>
      <c r="E873" s="14">
        <v>45068</v>
      </c>
      <c r="F873" s="4">
        <f t="shared" si="175"/>
        <v>22</v>
      </c>
      <c r="G873">
        <v>236</v>
      </c>
      <c r="H873">
        <v>213</v>
      </c>
      <c r="I873" s="13">
        <f t="shared" si="176"/>
        <v>0.9</v>
      </c>
      <c r="J873">
        <f t="shared" si="169"/>
        <v>23</v>
      </c>
      <c r="K873" s="2">
        <v>3.0092592592592595E-4</v>
      </c>
      <c r="L873" s="11">
        <f t="shared" si="170"/>
        <v>92.3</v>
      </c>
      <c r="M873" s="3">
        <f t="shared" si="177"/>
        <v>0.43333333333333335</v>
      </c>
      <c r="N873" s="4">
        <f t="shared" si="178"/>
        <v>26</v>
      </c>
      <c r="O873" s="2">
        <v>2.2453703703703702E-3</v>
      </c>
      <c r="P873" s="9">
        <f t="shared" si="171"/>
        <v>688.7</v>
      </c>
      <c r="Q873" s="3">
        <f t="shared" si="179"/>
        <v>3.2333333333333334</v>
      </c>
      <c r="R873" s="4">
        <f t="shared" si="180"/>
        <v>194</v>
      </c>
      <c r="S873" s="3">
        <f t="shared" si="181"/>
        <v>134</v>
      </c>
      <c r="T873" s="1">
        <v>0.63360000000000005</v>
      </c>
      <c r="U873" s="6">
        <f t="shared" si="172"/>
        <v>134.95680000000002</v>
      </c>
    </row>
    <row r="874" spans="1:21" x14ac:dyDescent="0.35">
      <c r="A874">
        <v>873</v>
      </c>
      <c r="B874" s="5">
        <v>45069</v>
      </c>
      <c r="C874" s="4">
        <f t="shared" si="173"/>
        <v>2023</v>
      </c>
      <c r="D874" s="4">
        <f t="shared" si="174"/>
        <v>5</v>
      </c>
      <c r="E874" s="14">
        <v>45069</v>
      </c>
      <c r="F874" s="4">
        <f t="shared" si="175"/>
        <v>23</v>
      </c>
      <c r="G874">
        <v>39</v>
      </c>
      <c r="H874">
        <v>39</v>
      </c>
      <c r="I874" s="13">
        <f t="shared" si="176"/>
        <v>1</v>
      </c>
      <c r="J874">
        <f t="shared" si="169"/>
        <v>0</v>
      </c>
      <c r="K874" s="2">
        <v>1.6203703703703703E-4</v>
      </c>
      <c r="L874" s="11">
        <f t="shared" si="170"/>
        <v>9.1</v>
      </c>
      <c r="M874" s="3">
        <f t="shared" si="177"/>
        <v>0.23333333333333334</v>
      </c>
      <c r="N874" s="4">
        <f t="shared" si="178"/>
        <v>14</v>
      </c>
      <c r="O874" s="2">
        <v>1.736111111111111E-3</v>
      </c>
      <c r="P874" s="9">
        <f t="shared" si="171"/>
        <v>97.5</v>
      </c>
      <c r="Q874" s="3">
        <f t="shared" si="179"/>
        <v>2.5</v>
      </c>
      <c r="R874" s="4">
        <f t="shared" si="180"/>
        <v>150</v>
      </c>
      <c r="S874" s="3">
        <f t="shared" si="181"/>
        <v>34</v>
      </c>
      <c r="T874" s="1">
        <v>0.87180000000000002</v>
      </c>
      <c r="U874" s="6">
        <f t="shared" si="172"/>
        <v>34.0002</v>
      </c>
    </row>
    <row r="875" spans="1:21" x14ac:dyDescent="0.35">
      <c r="A875">
        <v>874</v>
      </c>
      <c r="B875" s="5">
        <v>45070</v>
      </c>
      <c r="C875" s="4">
        <f t="shared" si="173"/>
        <v>2023</v>
      </c>
      <c r="D875" s="4">
        <f t="shared" si="174"/>
        <v>5</v>
      </c>
      <c r="E875" s="14">
        <v>45070</v>
      </c>
      <c r="F875" s="4">
        <f t="shared" si="175"/>
        <v>24</v>
      </c>
      <c r="G875">
        <v>208</v>
      </c>
      <c r="H875">
        <v>194</v>
      </c>
      <c r="I875" s="13">
        <f t="shared" si="176"/>
        <v>0.93</v>
      </c>
      <c r="J875">
        <f t="shared" si="169"/>
        <v>14</v>
      </c>
      <c r="K875" s="2">
        <v>1.9675925925925926E-4</v>
      </c>
      <c r="L875" s="11">
        <f t="shared" si="170"/>
        <v>54.966666666666669</v>
      </c>
      <c r="M875" s="3">
        <f t="shared" si="177"/>
        <v>0.28333333333333333</v>
      </c>
      <c r="N875" s="4">
        <f t="shared" si="178"/>
        <v>17</v>
      </c>
      <c r="O875" s="2">
        <v>2.0138888888888888E-3</v>
      </c>
      <c r="P875" s="9">
        <f t="shared" si="171"/>
        <v>562.6</v>
      </c>
      <c r="Q875" s="3">
        <f t="shared" si="179"/>
        <v>2.9</v>
      </c>
      <c r="R875" s="4">
        <f t="shared" si="180"/>
        <v>174</v>
      </c>
      <c r="S875" s="3">
        <f t="shared" si="181"/>
        <v>149</v>
      </c>
      <c r="T875" s="1">
        <v>0.76959999999999995</v>
      </c>
      <c r="U875" s="6">
        <f t="shared" si="172"/>
        <v>149.30239999999998</v>
      </c>
    </row>
    <row r="876" spans="1:21" x14ac:dyDescent="0.35">
      <c r="A876">
        <v>875</v>
      </c>
      <c r="B876" s="5">
        <v>45071</v>
      </c>
      <c r="C876" s="4">
        <f t="shared" si="173"/>
        <v>2023</v>
      </c>
      <c r="D876" s="4">
        <f t="shared" si="174"/>
        <v>5</v>
      </c>
      <c r="E876" s="14">
        <v>45071</v>
      </c>
      <c r="F876" s="4">
        <f t="shared" si="175"/>
        <v>25</v>
      </c>
      <c r="G876">
        <v>39</v>
      </c>
      <c r="H876">
        <v>38</v>
      </c>
      <c r="I876" s="13">
        <f t="shared" si="176"/>
        <v>0.97</v>
      </c>
      <c r="J876">
        <f t="shared" si="169"/>
        <v>1</v>
      </c>
      <c r="K876" s="2">
        <v>4.6296296296296294E-5</v>
      </c>
      <c r="L876" s="11">
        <f t="shared" si="170"/>
        <v>2.5333333333333332</v>
      </c>
      <c r="M876" s="3">
        <f t="shared" si="177"/>
        <v>6.6666666666666666E-2</v>
      </c>
      <c r="N876" s="4">
        <f t="shared" si="178"/>
        <v>4</v>
      </c>
      <c r="O876" s="2">
        <v>1.6319444444444445E-3</v>
      </c>
      <c r="P876" s="9">
        <f t="shared" si="171"/>
        <v>89.3</v>
      </c>
      <c r="Q876" s="3">
        <f t="shared" si="179"/>
        <v>2.35</v>
      </c>
      <c r="R876" s="4">
        <f t="shared" si="180"/>
        <v>141</v>
      </c>
      <c r="S876" s="3">
        <f t="shared" si="181"/>
        <v>36</v>
      </c>
      <c r="T876" s="1">
        <v>0.94869999999999999</v>
      </c>
      <c r="U876" s="6">
        <f t="shared" si="172"/>
        <v>36.050600000000003</v>
      </c>
    </row>
    <row r="877" spans="1:21" x14ac:dyDescent="0.35">
      <c r="A877">
        <v>876</v>
      </c>
      <c r="B877" s="5">
        <v>45072</v>
      </c>
      <c r="C877" s="4">
        <f t="shared" si="173"/>
        <v>2023</v>
      </c>
      <c r="D877" s="4">
        <f t="shared" si="174"/>
        <v>5</v>
      </c>
      <c r="E877" s="14">
        <v>45072</v>
      </c>
      <c r="F877" s="4">
        <f t="shared" si="175"/>
        <v>26</v>
      </c>
      <c r="G877">
        <v>115</v>
      </c>
      <c r="H877">
        <v>110</v>
      </c>
      <c r="I877" s="13">
        <f t="shared" si="176"/>
        <v>0.95</v>
      </c>
      <c r="J877">
        <f t="shared" si="169"/>
        <v>5</v>
      </c>
      <c r="K877" s="2">
        <v>9.2592592592592588E-5</v>
      </c>
      <c r="L877" s="11">
        <f t="shared" si="170"/>
        <v>14.666666666666666</v>
      </c>
      <c r="M877" s="3">
        <f t="shared" si="177"/>
        <v>0.13333333333333333</v>
      </c>
      <c r="N877" s="4">
        <f t="shared" si="178"/>
        <v>8</v>
      </c>
      <c r="O877" s="2">
        <v>1.9212962962962964E-3</v>
      </c>
      <c r="P877" s="9">
        <f t="shared" si="171"/>
        <v>304.33333333333331</v>
      </c>
      <c r="Q877" s="3">
        <f t="shared" si="179"/>
        <v>2.7666666666666666</v>
      </c>
      <c r="R877" s="4">
        <f t="shared" si="180"/>
        <v>166</v>
      </c>
      <c r="S877" s="3">
        <f t="shared" si="181"/>
        <v>99</v>
      </c>
      <c r="T877" s="1">
        <v>0.90429999999999999</v>
      </c>
      <c r="U877" s="6">
        <f t="shared" si="172"/>
        <v>99.472999999999999</v>
      </c>
    </row>
    <row r="878" spans="1:21" x14ac:dyDescent="0.35">
      <c r="A878">
        <v>877</v>
      </c>
      <c r="B878" s="5">
        <v>45073</v>
      </c>
      <c r="C878" s="4">
        <f t="shared" si="173"/>
        <v>2023</v>
      </c>
      <c r="D878" s="4">
        <f t="shared" si="174"/>
        <v>5</v>
      </c>
      <c r="E878" s="14">
        <v>45073</v>
      </c>
      <c r="F878" s="4">
        <f t="shared" si="175"/>
        <v>27</v>
      </c>
      <c r="G878">
        <v>338</v>
      </c>
      <c r="H878">
        <v>308</v>
      </c>
      <c r="I878" s="13">
        <f t="shared" si="176"/>
        <v>0.91</v>
      </c>
      <c r="J878">
        <f t="shared" si="169"/>
        <v>30</v>
      </c>
      <c r="K878" s="2">
        <v>3.1250000000000001E-4</v>
      </c>
      <c r="L878" s="11">
        <f t="shared" si="170"/>
        <v>138.6</v>
      </c>
      <c r="M878" s="3">
        <f t="shared" si="177"/>
        <v>0.45</v>
      </c>
      <c r="N878" s="4">
        <f t="shared" si="178"/>
        <v>27</v>
      </c>
      <c r="O878" s="2">
        <v>1.9675925925925924E-3</v>
      </c>
      <c r="P878" s="9">
        <f t="shared" si="171"/>
        <v>872.66666666666674</v>
      </c>
      <c r="Q878" s="3">
        <f t="shared" si="179"/>
        <v>2.8333333333333335</v>
      </c>
      <c r="R878" s="4">
        <f t="shared" si="180"/>
        <v>170</v>
      </c>
      <c r="S878" s="3">
        <f t="shared" si="181"/>
        <v>194</v>
      </c>
      <c r="T878" s="1">
        <v>0.63100000000000001</v>
      </c>
      <c r="U878" s="6">
        <f t="shared" si="172"/>
        <v>194.34800000000001</v>
      </c>
    </row>
    <row r="879" spans="1:21" x14ac:dyDescent="0.35">
      <c r="A879">
        <v>878</v>
      </c>
      <c r="B879" s="5">
        <v>45074</v>
      </c>
      <c r="C879" s="4">
        <f t="shared" si="173"/>
        <v>2023</v>
      </c>
      <c r="D879" s="4">
        <f t="shared" si="174"/>
        <v>5</v>
      </c>
      <c r="E879" s="14">
        <v>45074</v>
      </c>
      <c r="F879" s="4">
        <f t="shared" si="175"/>
        <v>28</v>
      </c>
      <c r="G879">
        <v>404</v>
      </c>
      <c r="H879">
        <v>320</v>
      </c>
      <c r="I879" s="13">
        <f t="shared" si="176"/>
        <v>0.79</v>
      </c>
      <c r="J879">
        <f t="shared" si="169"/>
        <v>84</v>
      </c>
      <c r="K879" s="2">
        <v>5.2083333333333333E-4</v>
      </c>
      <c r="L879" s="11">
        <f t="shared" si="170"/>
        <v>240</v>
      </c>
      <c r="M879" s="3">
        <f t="shared" si="177"/>
        <v>0.75</v>
      </c>
      <c r="N879" s="4">
        <f t="shared" si="178"/>
        <v>45</v>
      </c>
      <c r="O879" s="2">
        <v>2.0601851851851853E-3</v>
      </c>
      <c r="P879" s="9">
        <f t="shared" si="171"/>
        <v>949.33333333333337</v>
      </c>
      <c r="Q879" s="3">
        <f t="shared" si="179"/>
        <v>2.9666666666666668</v>
      </c>
      <c r="R879" s="4">
        <f t="shared" si="180"/>
        <v>178</v>
      </c>
      <c r="S879" s="3">
        <f t="shared" si="181"/>
        <v>164</v>
      </c>
      <c r="T879" s="1">
        <v>0.51390000000000002</v>
      </c>
      <c r="U879" s="6">
        <f t="shared" si="172"/>
        <v>164.44800000000001</v>
      </c>
    </row>
    <row r="880" spans="1:21" x14ac:dyDescent="0.35">
      <c r="A880">
        <v>879</v>
      </c>
      <c r="B880" s="5">
        <v>45075</v>
      </c>
      <c r="C880" s="4">
        <f t="shared" si="173"/>
        <v>2023</v>
      </c>
      <c r="D880" s="4">
        <f t="shared" si="174"/>
        <v>5</v>
      </c>
      <c r="E880" s="14">
        <v>45075</v>
      </c>
      <c r="F880" s="4">
        <f t="shared" si="175"/>
        <v>29</v>
      </c>
      <c r="G880">
        <v>436</v>
      </c>
      <c r="H880">
        <v>393</v>
      </c>
      <c r="I880" s="13">
        <f t="shared" si="176"/>
        <v>0.9</v>
      </c>
      <c r="J880">
        <f t="shared" si="169"/>
        <v>43</v>
      </c>
      <c r="K880" s="2">
        <v>3.0092592592592595E-4</v>
      </c>
      <c r="L880" s="11">
        <f t="shared" si="170"/>
        <v>170.3</v>
      </c>
      <c r="M880" s="3">
        <f t="shared" si="177"/>
        <v>0.43333333333333335</v>
      </c>
      <c r="N880" s="4">
        <f t="shared" si="178"/>
        <v>26</v>
      </c>
      <c r="O880" s="2">
        <v>1.9791666666666668E-3</v>
      </c>
      <c r="P880" s="9">
        <f t="shared" si="171"/>
        <v>1120.05</v>
      </c>
      <c r="Q880" s="3">
        <f t="shared" si="179"/>
        <v>2.85</v>
      </c>
      <c r="R880" s="4">
        <f t="shared" si="180"/>
        <v>171</v>
      </c>
      <c r="S880" s="3">
        <f t="shared" si="181"/>
        <v>256</v>
      </c>
      <c r="T880" s="1">
        <v>0.65259999999999996</v>
      </c>
      <c r="U880" s="6">
        <f t="shared" si="172"/>
        <v>256.47179999999997</v>
      </c>
    </row>
    <row r="881" spans="1:21" x14ac:dyDescent="0.35">
      <c r="A881">
        <v>880</v>
      </c>
      <c r="B881" s="5">
        <v>45076</v>
      </c>
      <c r="C881" s="4">
        <f t="shared" si="173"/>
        <v>2023</v>
      </c>
      <c r="D881" s="4">
        <f t="shared" si="174"/>
        <v>5</v>
      </c>
      <c r="E881" s="14">
        <v>45076</v>
      </c>
      <c r="F881" s="4">
        <f t="shared" si="175"/>
        <v>30</v>
      </c>
      <c r="G881">
        <v>73</v>
      </c>
      <c r="H881">
        <v>72</v>
      </c>
      <c r="I881" s="13">
        <f t="shared" si="176"/>
        <v>0.98</v>
      </c>
      <c r="J881">
        <f t="shared" si="169"/>
        <v>1</v>
      </c>
      <c r="K881" s="2">
        <v>8.1018518518518516E-5</v>
      </c>
      <c r="L881" s="11">
        <f t="shared" si="170"/>
        <v>8.4</v>
      </c>
      <c r="M881" s="3">
        <f t="shared" si="177"/>
        <v>0.11666666666666667</v>
      </c>
      <c r="N881" s="4">
        <f t="shared" si="178"/>
        <v>7</v>
      </c>
      <c r="O881" s="2">
        <v>1.9212962962962964E-3</v>
      </c>
      <c r="P881" s="9">
        <f t="shared" si="171"/>
        <v>199.2</v>
      </c>
      <c r="Q881" s="3">
        <f t="shared" si="179"/>
        <v>2.7666666666666666</v>
      </c>
      <c r="R881" s="4">
        <f t="shared" si="180"/>
        <v>166</v>
      </c>
      <c r="S881" s="3">
        <f t="shared" si="181"/>
        <v>67</v>
      </c>
      <c r="T881" s="1">
        <v>0.93149999999999999</v>
      </c>
      <c r="U881" s="6">
        <f t="shared" si="172"/>
        <v>67.067999999999998</v>
      </c>
    </row>
    <row r="882" spans="1:21" x14ac:dyDescent="0.35">
      <c r="A882">
        <v>881</v>
      </c>
      <c r="B882" s="5">
        <v>45077</v>
      </c>
      <c r="C882" s="4">
        <f t="shared" si="173"/>
        <v>2023</v>
      </c>
      <c r="D882" s="4">
        <f t="shared" si="174"/>
        <v>5</v>
      </c>
      <c r="E882" s="14">
        <v>45077</v>
      </c>
      <c r="F882" s="4">
        <f t="shared" si="175"/>
        <v>31</v>
      </c>
      <c r="G882">
        <v>521</v>
      </c>
      <c r="H882">
        <v>492</v>
      </c>
      <c r="I882" s="13">
        <f t="shared" si="176"/>
        <v>0.94</v>
      </c>
      <c r="J882">
        <f t="shared" si="169"/>
        <v>29</v>
      </c>
      <c r="K882" s="2">
        <v>1.9675925925925926E-4</v>
      </c>
      <c r="L882" s="11">
        <f t="shared" si="170"/>
        <v>139.4</v>
      </c>
      <c r="M882" s="3">
        <f t="shared" si="177"/>
        <v>0.28333333333333333</v>
      </c>
      <c r="N882" s="4">
        <f t="shared" si="178"/>
        <v>17</v>
      </c>
      <c r="O882" s="2">
        <v>1.9097222222222222E-3</v>
      </c>
      <c r="P882" s="9">
        <f t="shared" si="171"/>
        <v>1353</v>
      </c>
      <c r="Q882" s="3">
        <f t="shared" si="179"/>
        <v>2.75</v>
      </c>
      <c r="R882" s="4">
        <f t="shared" si="180"/>
        <v>165</v>
      </c>
      <c r="S882" s="3">
        <f t="shared" si="181"/>
        <v>388</v>
      </c>
      <c r="T882" s="1">
        <v>0.78939999999999999</v>
      </c>
      <c r="U882" s="6">
        <f t="shared" si="172"/>
        <v>388.38479999999998</v>
      </c>
    </row>
    <row r="883" spans="1:21" x14ac:dyDescent="0.35">
      <c r="A883">
        <v>882</v>
      </c>
      <c r="B883" s="5">
        <v>45078</v>
      </c>
      <c r="C883" s="4">
        <f t="shared" si="173"/>
        <v>2023</v>
      </c>
      <c r="D883" s="4">
        <f t="shared" si="174"/>
        <v>6</v>
      </c>
      <c r="E883" s="14">
        <v>45078</v>
      </c>
      <c r="F883" s="4">
        <f t="shared" si="175"/>
        <v>1</v>
      </c>
      <c r="G883">
        <v>648</v>
      </c>
      <c r="H883">
        <v>564</v>
      </c>
      <c r="I883" s="13">
        <f t="shared" si="176"/>
        <v>0.87</v>
      </c>
      <c r="J883">
        <f t="shared" si="169"/>
        <v>84</v>
      </c>
      <c r="K883" s="2">
        <v>3.1250000000000001E-4</v>
      </c>
      <c r="L883" s="11">
        <f t="shared" si="170"/>
        <v>253.8</v>
      </c>
      <c r="M883" s="3">
        <f t="shared" si="177"/>
        <v>0.45</v>
      </c>
      <c r="N883" s="4">
        <f t="shared" si="178"/>
        <v>27</v>
      </c>
      <c r="O883" s="2">
        <v>1.9212962962962964E-3</v>
      </c>
      <c r="P883" s="9">
        <f t="shared" si="171"/>
        <v>1560.3999999999999</v>
      </c>
      <c r="Q883" s="3">
        <f t="shared" si="179"/>
        <v>2.7666666666666666</v>
      </c>
      <c r="R883" s="4">
        <f t="shared" si="180"/>
        <v>166</v>
      </c>
      <c r="S883" s="3">
        <f t="shared" si="181"/>
        <v>346</v>
      </c>
      <c r="T883" s="1">
        <v>0.61360000000000003</v>
      </c>
      <c r="U883" s="6">
        <f t="shared" si="172"/>
        <v>346.07040000000001</v>
      </c>
    </row>
    <row r="884" spans="1:21" x14ac:dyDescent="0.35">
      <c r="A884">
        <v>883</v>
      </c>
      <c r="B884" s="5">
        <v>45079</v>
      </c>
      <c r="C884" s="4">
        <f t="shared" si="173"/>
        <v>2023</v>
      </c>
      <c r="D884" s="4">
        <f t="shared" si="174"/>
        <v>6</v>
      </c>
      <c r="E884" s="14">
        <v>45079</v>
      </c>
      <c r="F884" s="4">
        <f t="shared" si="175"/>
        <v>2</v>
      </c>
      <c r="G884">
        <v>729</v>
      </c>
      <c r="H884">
        <v>592</v>
      </c>
      <c r="I884" s="13">
        <f t="shared" si="176"/>
        <v>0.81</v>
      </c>
      <c r="J884">
        <f t="shared" si="169"/>
        <v>137</v>
      </c>
      <c r="K884" s="2">
        <v>6.3657407407407413E-4</v>
      </c>
      <c r="L884" s="11">
        <f t="shared" si="170"/>
        <v>542.66666666666663</v>
      </c>
      <c r="M884" s="3">
        <f t="shared" si="177"/>
        <v>0.91666666666666663</v>
      </c>
      <c r="N884" s="4">
        <f t="shared" si="178"/>
        <v>55</v>
      </c>
      <c r="O884" s="2">
        <v>2.0023148148148148E-3</v>
      </c>
      <c r="P884" s="9">
        <f t="shared" si="171"/>
        <v>1706.9333333333334</v>
      </c>
      <c r="Q884" s="3">
        <f t="shared" si="179"/>
        <v>2.8833333333333333</v>
      </c>
      <c r="R884" s="4">
        <f t="shared" si="180"/>
        <v>173</v>
      </c>
      <c r="S884" s="3">
        <f t="shared" si="181"/>
        <v>212</v>
      </c>
      <c r="T884" s="1">
        <v>0.35830000000000001</v>
      </c>
      <c r="U884" s="6">
        <f t="shared" si="172"/>
        <v>212.11359999999999</v>
      </c>
    </row>
    <row r="885" spans="1:21" x14ac:dyDescent="0.35">
      <c r="A885">
        <v>884</v>
      </c>
      <c r="B885" s="5">
        <v>45080</v>
      </c>
      <c r="C885" s="4">
        <f t="shared" si="173"/>
        <v>2023</v>
      </c>
      <c r="D885" s="4">
        <f t="shared" si="174"/>
        <v>6</v>
      </c>
      <c r="E885" s="14">
        <v>45080</v>
      </c>
      <c r="F885" s="4">
        <f t="shared" si="175"/>
        <v>3</v>
      </c>
      <c r="G885">
        <v>1196</v>
      </c>
      <c r="H885">
        <v>718</v>
      </c>
      <c r="I885" s="13">
        <f t="shared" si="176"/>
        <v>0.6</v>
      </c>
      <c r="J885">
        <f t="shared" si="169"/>
        <v>478</v>
      </c>
      <c r="K885" s="2">
        <v>1.2962962962962963E-3</v>
      </c>
      <c r="L885" s="11">
        <f t="shared" si="170"/>
        <v>1340.2666666666667</v>
      </c>
      <c r="M885" s="3">
        <f t="shared" si="177"/>
        <v>1.8666666666666667</v>
      </c>
      <c r="N885" s="4">
        <f t="shared" si="178"/>
        <v>112</v>
      </c>
      <c r="O885" s="2">
        <v>2.1875000000000002E-3</v>
      </c>
      <c r="P885" s="9">
        <f t="shared" si="171"/>
        <v>2261.6999999999998</v>
      </c>
      <c r="Q885" s="3">
        <f t="shared" si="179"/>
        <v>3.15</v>
      </c>
      <c r="R885" s="4">
        <f t="shared" si="180"/>
        <v>189</v>
      </c>
      <c r="S885" s="3">
        <f t="shared" si="181"/>
        <v>104</v>
      </c>
      <c r="T885" s="1">
        <v>0.1462</v>
      </c>
      <c r="U885" s="6">
        <f t="shared" si="172"/>
        <v>104.9716</v>
      </c>
    </row>
    <row r="886" spans="1:21" x14ac:dyDescent="0.35">
      <c r="A886">
        <v>885</v>
      </c>
      <c r="B886" s="5">
        <v>45081</v>
      </c>
      <c r="C886" s="4">
        <f t="shared" si="173"/>
        <v>2023</v>
      </c>
      <c r="D886" s="4">
        <f t="shared" si="174"/>
        <v>6</v>
      </c>
      <c r="E886" s="14">
        <v>45081</v>
      </c>
      <c r="F886" s="4">
        <f t="shared" si="175"/>
        <v>4</v>
      </c>
      <c r="G886">
        <v>436</v>
      </c>
      <c r="H886">
        <v>323</v>
      </c>
      <c r="I886" s="13">
        <f t="shared" si="176"/>
        <v>0.74</v>
      </c>
      <c r="J886">
        <f t="shared" si="169"/>
        <v>113</v>
      </c>
      <c r="K886" s="2">
        <v>5.0925925925925921E-4</v>
      </c>
      <c r="L886" s="11">
        <f t="shared" si="170"/>
        <v>236.86666666666665</v>
      </c>
      <c r="M886" s="3">
        <f t="shared" si="177"/>
        <v>0.73333333333333328</v>
      </c>
      <c r="N886" s="4">
        <f t="shared" si="178"/>
        <v>44</v>
      </c>
      <c r="O886" s="2">
        <v>2.1064814814814813E-3</v>
      </c>
      <c r="P886" s="9">
        <f t="shared" si="171"/>
        <v>979.76666666666665</v>
      </c>
      <c r="Q886" s="3">
        <f t="shared" si="179"/>
        <v>3.0333333333333332</v>
      </c>
      <c r="R886" s="4">
        <f t="shared" si="180"/>
        <v>182</v>
      </c>
      <c r="S886" s="3">
        <f t="shared" si="181"/>
        <v>141</v>
      </c>
      <c r="T886" s="1">
        <v>0.4375</v>
      </c>
      <c r="U886" s="6">
        <f t="shared" si="172"/>
        <v>141.3125</v>
      </c>
    </row>
    <row r="887" spans="1:21" x14ac:dyDescent="0.35">
      <c r="A887">
        <v>886</v>
      </c>
      <c r="B887" s="5">
        <v>45082</v>
      </c>
      <c r="C887" s="4">
        <f t="shared" si="173"/>
        <v>2023</v>
      </c>
      <c r="D887" s="4">
        <f t="shared" si="174"/>
        <v>6</v>
      </c>
      <c r="E887" s="14">
        <v>45082</v>
      </c>
      <c r="F887" s="4">
        <f t="shared" si="175"/>
        <v>5</v>
      </c>
      <c r="G887">
        <v>191</v>
      </c>
      <c r="H887">
        <v>178</v>
      </c>
      <c r="I887" s="13">
        <f t="shared" si="176"/>
        <v>0.93</v>
      </c>
      <c r="J887">
        <f t="shared" si="169"/>
        <v>13</v>
      </c>
      <c r="K887" s="2">
        <v>1.8518518518518518E-4</v>
      </c>
      <c r="L887" s="11">
        <f t="shared" si="170"/>
        <v>47.466666666666669</v>
      </c>
      <c r="M887" s="3">
        <f t="shared" si="177"/>
        <v>0.26666666666666666</v>
      </c>
      <c r="N887" s="4">
        <f t="shared" si="178"/>
        <v>16</v>
      </c>
      <c r="O887" s="2">
        <v>1.9791666666666668E-3</v>
      </c>
      <c r="P887" s="9">
        <f t="shared" si="171"/>
        <v>507.3</v>
      </c>
      <c r="Q887" s="3">
        <f t="shared" si="179"/>
        <v>2.85</v>
      </c>
      <c r="R887" s="4">
        <f t="shared" si="180"/>
        <v>171</v>
      </c>
      <c r="S887" s="3">
        <f t="shared" si="181"/>
        <v>143</v>
      </c>
      <c r="T887" s="1">
        <v>0.80530000000000002</v>
      </c>
      <c r="U887" s="6">
        <f t="shared" si="172"/>
        <v>143.3434</v>
      </c>
    </row>
    <row r="888" spans="1:21" x14ac:dyDescent="0.35">
      <c r="A888">
        <v>887</v>
      </c>
      <c r="B888" s="5">
        <v>45083</v>
      </c>
      <c r="C888" s="4">
        <f t="shared" si="173"/>
        <v>2023</v>
      </c>
      <c r="D888" s="4">
        <f t="shared" si="174"/>
        <v>6</v>
      </c>
      <c r="E888" s="14">
        <v>45083</v>
      </c>
      <c r="F888" s="4">
        <f t="shared" si="175"/>
        <v>6</v>
      </c>
      <c r="G888">
        <v>68</v>
      </c>
      <c r="H888">
        <v>68</v>
      </c>
      <c r="I888" s="13">
        <f t="shared" si="176"/>
        <v>1</v>
      </c>
      <c r="J888">
        <f t="shared" si="169"/>
        <v>0</v>
      </c>
      <c r="K888" s="2">
        <v>5.7870370370370373E-5</v>
      </c>
      <c r="L888" s="11">
        <f t="shared" si="170"/>
        <v>5.6666666666666661</v>
      </c>
      <c r="M888" s="3">
        <f t="shared" si="177"/>
        <v>8.3333333333333329E-2</v>
      </c>
      <c r="N888" s="4">
        <f t="shared" si="178"/>
        <v>5</v>
      </c>
      <c r="O888" s="2">
        <v>2.0370370370370369E-3</v>
      </c>
      <c r="P888" s="9">
        <f t="shared" si="171"/>
        <v>199.4666666666667</v>
      </c>
      <c r="Q888" s="3">
        <f t="shared" si="179"/>
        <v>2.9333333333333336</v>
      </c>
      <c r="R888" s="4">
        <f t="shared" si="180"/>
        <v>176</v>
      </c>
      <c r="S888" s="3">
        <f t="shared" si="181"/>
        <v>67</v>
      </c>
      <c r="T888" s="1">
        <v>0.98529999999999995</v>
      </c>
      <c r="U888" s="6">
        <f t="shared" si="172"/>
        <v>67.000399999999999</v>
      </c>
    </row>
    <row r="889" spans="1:21" x14ac:dyDescent="0.35">
      <c r="A889">
        <v>888</v>
      </c>
      <c r="B889" s="5">
        <v>45084</v>
      </c>
      <c r="C889" s="4">
        <f t="shared" si="173"/>
        <v>2023</v>
      </c>
      <c r="D889" s="4">
        <f t="shared" si="174"/>
        <v>6</v>
      </c>
      <c r="E889" s="14">
        <v>45084</v>
      </c>
      <c r="F889" s="4">
        <f t="shared" si="175"/>
        <v>7</v>
      </c>
      <c r="G889">
        <v>498</v>
      </c>
      <c r="H889">
        <v>429</v>
      </c>
      <c r="I889" s="13">
        <f t="shared" si="176"/>
        <v>0.86</v>
      </c>
      <c r="J889">
        <f t="shared" si="169"/>
        <v>69</v>
      </c>
      <c r="K889" s="2">
        <v>3.9351851851851852E-4</v>
      </c>
      <c r="L889" s="11">
        <f t="shared" si="170"/>
        <v>243.1</v>
      </c>
      <c r="M889" s="3">
        <f t="shared" si="177"/>
        <v>0.56666666666666665</v>
      </c>
      <c r="N889" s="4">
        <f t="shared" si="178"/>
        <v>34</v>
      </c>
      <c r="O889" s="2">
        <v>2.1875000000000002E-3</v>
      </c>
      <c r="P889" s="9">
        <f t="shared" si="171"/>
        <v>1351.35</v>
      </c>
      <c r="Q889" s="3">
        <f t="shared" si="179"/>
        <v>3.15</v>
      </c>
      <c r="R889" s="4">
        <f t="shared" si="180"/>
        <v>189</v>
      </c>
      <c r="S889" s="3">
        <f t="shared" si="181"/>
        <v>217</v>
      </c>
      <c r="T889" s="1">
        <v>0.5071</v>
      </c>
      <c r="U889" s="6">
        <f t="shared" si="172"/>
        <v>217.54589999999999</v>
      </c>
    </row>
    <row r="890" spans="1:21" x14ac:dyDescent="0.35">
      <c r="A890">
        <v>889</v>
      </c>
      <c r="B890" s="5">
        <v>45085</v>
      </c>
      <c r="C890" s="4">
        <f t="shared" si="173"/>
        <v>2023</v>
      </c>
      <c r="D890" s="4">
        <f t="shared" si="174"/>
        <v>6</v>
      </c>
      <c r="E890" s="14">
        <v>45085</v>
      </c>
      <c r="F890" s="4">
        <f t="shared" si="175"/>
        <v>8</v>
      </c>
      <c r="G890">
        <v>358</v>
      </c>
      <c r="H890">
        <v>329</v>
      </c>
      <c r="I890" s="13">
        <f t="shared" si="176"/>
        <v>0.91</v>
      </c>
      <c r="J890">
        <f t="shared" si="169"/>
        <v>29</v>
      </c>
      <c r="K890" s="2">
        <v>2.4305555555555555E-4</v>
      </c>
      <c r="L890" s="11">
        <f t="shared" si="170"/>
        <v>115.14999999999999</v>
      </c>
      <c r="M890" s="3">
        <f t="shared" si="177"/>
        <v>0.35</v>
      </c>
      <c r="N890" s="4">
        <f t="shared" si="178"/>
        <v>21</v>
      </c>
      <c r="O890" s="2">
        <v>2.1180555555555558E-3</v>
      </c>
      <c r="P890" s="9">
        <f t="shared" si="171"/>
        <v>1003.4499999999999</v>
      </c>
      <c r="Q890" s="3">
        <f t="shared" si="179"/>
        <v>3.05</v>
      </c>
      <c r="R890" s="4">
        <f t="shared" si="180"/>
        <v>183</v>
      </c>
      <c r="S890" s="3">
        <f t="shared" si="181"/>
        <v>220</v>
      </c>
      <c r="T890" s="1">
        <v>0.66949999999999998</v>
      </c>
      <c r="U890" s="6">
        <f t="shared" si="172"/>
        <v>220.2655</v>
      </c>
    </row>
    <row r="891" spans="1:21" x14ac:dyDescent="0.35">
      <c r="A891">
        <v>890</v>
      </c>
      <c r="B891" s="5">
        <v>45086</v>
      </c>
      <c r="C891" s="4">
        <f t="shared" si="173"/>
        <v>2023</v>
      </c>
      <c r="D891" s="4">
        <f t="shared" si="174"/>
        <v>6</v>
      </c>
      <c r="E891" s="14">
        <v>45086</v>
      </c>
      <c r="F891" s="4">
        <f t="shared" si="175"/>
        <v>9</v>
      </c>
      <c r="G891">
        <v>340</v>
      </c>
      <c r="H891">
        <v>302</v>
      </c>
      <c r="I891" s="13">
        <f t="shared" si="176"/>
        <v>0.88</v>
      </c>
      <c r="J891">
        <f t="shared" si="169"/>
        <v>38</v>
      </c>
      <c r="K891" s="2">
        <v>2.7777777777777778E-4</v>
      </c>
      <c r="L891" s="11">
        <f t="shared" si="170"/>
        <v>120.80000000000001</v>
      </c>
      <c r="M891" s="3">
        <f t="shared" si="177"/>
        <v>0.4</v>
      </c>
      <c r="N891" s="4">
        <f t="shared" si="178"/>
        <v>24</v>
      </c>
      <c r="O891" s="2">
        <v>1.9675925925925924E-3</v>
      </c>
      <c r="P891" s="9">
        <f t="shared" si="171"/>
        <v>855.66666666666674</v>
      </c>
      <c r="Q891" s="3">
        <f t="shared" si="179"/>
        <v>2.8333333333333335</v>
      </c>
      <c r="R891" s="4">
        <f t="shared" si="180"/>
        <v>170</v>
      </c>
      <c r="S891" s="3">
        <f t="shared" si="181"/>
        <v>198</v>
      </c>
      <c r="T891" s="1">
        <v>0.65669999999999995</v>
      </c>
      <c r="U891" s="6">
        <f t="shared" si="172"/>
        <v>198.32339999999999</v>
      </c>
    </row>
    <row r="892" spans="1:21" x14ac:dyDescent="0.35">
      <c r="A892">
        <v>891</v>
      </c>
      <c r="B892" s="5">
        <v>45087</v>
      </c>
      <c r="C892" s="4">
        <f t="shared" si="173"/>
        <v>2023</v>
      </c>
      <c r="D892" s="4">
        <f t="shared" si="174"/>
        <v>6</v>
      </c>
      <c r="E892" s="14">
        <v>45087</v>
      </c>
      <c r="F892" s="4">
        <f t="shared" si="175"/>
        <v>10</v>
      </c>
      <c r="G892">
        <v>322</v>
      </c>
      <c r="H892">
        <v>306</v>
      </c>
      <c r="I892" s="13">
        <f t="shared" si="176"/>
        <v>0.95</v>
      </c>
      <c r="J892">
        <f t="shared" si="169"/>
        <v>16</v>
      </c>
      <c r="K892" s="2">
        <v>1.8518518518518518E-4</v>
      </c>
      <c r="L892" s="11">
        <f t="shared" si="170"/>
        <v>81.599999999999994</v>
      </c>
      <c r="M892" s="3">
        <f t="shared" si="177"/>
        <v>0.26666666666666666</v>
      </c>
      <c r="N892" s="4">
        <f t="shared" si="178"/>
        <v>16</v>
      </c>
      <c r="O892" s="2">
        <v>1.8402777777777777E-3</v>
      </c>
      <c r="P892" s="9">
        <f t="shared" si="171"/>
        <v>810.9</v>
      </c>
      <c r="Q892" s="3">
        <f t="shared" si="179"/>
        <v>2.65</v>
      </c>
      <c r="R892" s="4">
        <f t="shared" si="180"/>
        <v>159</v>
      </c>
      <c r="S892" s="3">
        <f t="shared" si="181"/>
        <v>237</v>
      </c>
      <c r="T892" s="1">
        <v>0.77739999999999998</v>
      </c>
      <c r="U892" s="6">
        <f t="shared" si="172"/>
        <v>237.8844</v>
      </c>
    </row>
    <row r="893" spans="1:21" x14ac:dyDescent="0.35">
      <c r="A893">
        <v>892</v>
      </c>
      <c r="B893" s="5">
        <v>45088</v>
      </c>
      <c r="C893" s="4">
        <f t="shared" si="173"/>
        <v>2023</v>
      </c>
      <c r="D893" s="4">
        <f t="shared" si="174"/>
        <v>6</v>
      </c>
      <c r="E893" s="14">
        <v>45088</v>
      </c>
      <c r="F893" s="4">
        <f t="shared" si="175"/>
        <v>11</v>
      </c>
      <c r="G893">
        <v>296</v>
      </c>
      <c r="H893">
        <v>282</v>
      </c>
      <c r="I893" s="13">
        <f t="shared" si="176"/>
        <v>0.95</v>
      </c>
      <c r="J893">
        <f t="shared" si="169"/>
        <v>14</v>
      </c>
      <c r="K893" s="2">
        <v>2.0833333333333335E-4</v>
      </c>
      <c r="L893" s="11">
        <f t="shared" si="170"/>
        <v>84.6</v>
      </c>
      <c r="M893" s="3">
        <f t="shared" si="177"/>
        <v>0.3</v>
      </c>
      <c r="N893" s="4">
        <f t="shared" si="178"/>
        <v>18</v>
      </c>
      <c r="O893" s="2">
        <v>1.8171296296296297E-3</v>
      </c>
      <c r="P893" s="9">
        <f t="shared" si="171"/>
        <v>737.9</v>
      </c>
      <c r="Q893" s="3">
        <f t="shared" si="179"/>
        <v>2.6166666666666667</v>
      </c>
      <c r="R893" s="4">
        <f t="shared" si="180"/>
        <v>157</v>
      </c>
      <c r="S893" s="3">
        <f t="shared" si="181"/>
        <v>215</v>
      </c>
      <c r="T893" s="1">
        <v>0.76529999999999998</v>
      </c>
      <c r="U893" s="6">
        <f t="shared" si="172"/>
        <v>215.81459999999998</v>
      </c>
    </row>
    <row r="894" spans="1:21" x14ac:dyDescent="0.35">
      <c r="A894">
        <v>893</v>
      </c>
      <c r="B894" s="5">
        <v>45089</v>
      </c>
      <c r="C894" s="4">
        <f t="shared" si="173"/>
        <v>2023</v>
      </c>
      <c r="D894" s="4">
        <f t="shared" si="174"/>
        <v>6</v>
      </c>
      <c r="E894" s="14">
        <v>45089</v>
      </c>
      <c r="F894" s="4">
        <f t="shared" si="175"/>
        <v>12</v>
      </c>
      <c r="G894">
        <v>264</v>
      </c>
      <c r="H894">
        <v>234</v>
      </c>
      <c r="I894" s="13">
        <f t="shared" si="176"/>
        <v>0.88</v>
      </c>
      <c r="J894">
        <f t="shared" si="169"/>
        <v>30</v>
      </c>
      <c r="K894" s="2">
        <v>2.3148148148148149E-4</v>
      </c>
      <c r="L894" s="11">
        <f t="shared" si="170"/>
        <v>78</v>
      </c>
      <c r="M894" s="3">
        <f t="shared" si="177"/>
        <v>0.33333333333333331</v>
      </c>
      <c r="N894" s="4">
        <f t="shared" si="178"/>
        <v>20</v>
      </c>
      <c r="O894" s="2">
        <v>1.7824074074074075E-3</v>
      </c>
      <c r="P894" s="9">
        <f t="shared" si="171"/>
        <v>600.59999999999991</v>
      </c>
      <c r="Q894" s="3">
        <f t="shared" si="179"/>
        <v>2.5666666666666664</v>
      </c>
      <c r="R894" s="4">
        <f t="shared" si="180"/>
        <v>154</v>
      </c>
      <c r="S894" s="3">
        <f t="shared" si="181"/>
        <v>163</v>
      </c>
      <c r="T894" s="1">
        <v>0.69879999999999998</v>
      </c>
      <c r="U894" s="6">
        <f t="shared" si="172"/>
        <v>163.51919999999998</v>
      </c>
    </row>
    <row r="895" spans="1:21" x14ac:dyDescent="0.35">
      <c r="A895">
        <v>894</v>
      </c>
      <c r="B895" s="5">
        <v>45090</v>
      </c>
      <c r="C895" s="4">
        <f t="shared" si="173"/>
        <v>2023</v>
      </c>
      <c r="D895" s="4">
        <f t="shared" si="174"/>
        <v>6</v>
      </c>
      <c r="E895" s="14">
        <v>45090</v>
      </c>
      <c r="F895" s="4">
        <f t="shared" si="175"/>
        <v>13</v>
      </c>
      <c r="G895">
        <v>52</v>
      </c>
      <c r="H895">
        <v>51</v>
      </c>
      <c r="I895" s="13">
        <f t="shared" si="176"/>
        <v>0.98</v>
      </c>
      <c r="J895">
        <f t="shared" si="169"/>
        <v>1</v>
      </c>
      <c r="K895" s="2">
        <v>6.9444444444444444E-5</v>
      </c>
      <c r="L895" s="11">
        <f t="shared" si="170"/>
        <v>5.1000000000000005</v>
      </c>
      <c r="M895" s="3">
        <f t="shared" si="177"/>
        <v>0.1</v>
      </c>
      <c r="N895" s="4">
        <f t="shared" si="178"/>
        <v>6</v>
      </c>
      <c r="O895" s="2">
        <v>1.8055555555555555E-3</v>
      </c>
      <c r="P895" s="9">
        <f t="shared" si="171"/>
        <v>132.6</v>
      </c>
      <c r="Q895" s="3">
        <f t="shared" si="179"/>
        <v>2.6</v>
      </c>
      <c r="R895" s="4">
        <f t="shared" si="180"/>
        <v>156</v>
      </c>
      <c r="S895" s="3">
        <f t="shared" si="181"/>
        <v>48</v>
      </c>
      <c r="T895" s="1">
        <v>0.94120000000000004</v>
      </c>
      <c r="U895" s="6">
        <f t="shared" si="172"/>
        <v>48.001200000000004</v>
      </c>
    </row>
    <row r="896" spans="1:21" x14ac:dyDescent="0.35">
      <c r="A896">
        <v>895</v>
      </c>
      <c r="B896" s="5">
        <v>45091</v>
      </c>
      <c r="C896" s="4">
        <f t="shared" si="173"/>
        <v>2023</v>
      </c>
      <c r="D896" s="4">
        <f t="shared" si="174"/>
        <v>6</v>
      </c>
      <c r="E896" s="14">
        <v>45091</v>
      </c>
      <c r="F896" s="4">
        <f t="shared" si="175"/>
        <v>14</v>
      </c>
      <c r="G896">
        <v>266</v>
      </c>
      <c r="H896">
        <v>264</v>
      </c>
      <c r="I896" s="13">
        <f t="shared" si="176"/>
        <v>0.99</v>
      </c>
      <c r="J896">
        <f t="shared" si="169"/>
        <v>2</v>
      </c>
      <c r="K896" s="2">
        <v>1.0416666666666667E-4</v>
      </c>
      <c r="L896" s="11">
        <f t="shared" si="170"/>
        <v>39.6</v>
      </c>
      <c r="M896" s="3">
        <f t="shared" si="177"/>
        <v>0.15</v>
      </c>
      <c r="N896" s="4">
        <f t="shared" si="178"/>
        <v>9</v>
      </c>
      <c r="O896" s="2">
        <v>1.8402777777777777E-3</v>
      </c>
      <c r="P896" s="9">
        <f t="shared" si="171"/>
        <v>699.6</v>
      </c>
      <c r="Q896" s="3">
        <f t="shared" si="179"/>
        <v>2.65</v>
      </c>
      <c r="R896" s="4">
        <f t="shared" si="180"/>
        <v>159</v>
      </c>
      <c r="S896" s="3">
        <f t="shared" si="181"/>
        <v>240</v>
      </c>
      <c r="T896" s="1">
        <v>0.90980000000000005</v>
      </c>
      <c r="U896" s="6">
        <f t="shared" si="172"/>
        <v>240.18720000000002</v>
      </c>
    </row>
    <row r="897" spans="1:21" x14ac:dyDescent="0.35">
      <c r="A897">
        <v>896</v>
      </c>
      <c r="B897" s="5">
        <v>45092</v>
      </c>
      <c r="C897" s="4">
        <f t="shared" si="173"/>
        <v>2023</v>
      </c>
      <c r="D897" s="4">
        <f t="shared" si="174"/>
        <v>6</v>
      </c>
      <c r="E897" s="14">
        <v>45092</v>
      </c>
      <c r="F897" s="4">
        <f t="shared" si="175"/>
        <v>15</v>
      </c>
      <c r="G897">
        <v>242</v>
      </c>
      <c r="H897">
        <v>238</v>
      </c>
      <c r="I897" s="13">
        <f t="shared" si="176"/>
        <v>0.98</v>
      </c>
      <c r="J897">
        <f t="shared" si="169"/>
        <v>4</v>
      </c>
      <c r="K897" s="2">
        <v>1.0416666666666667E-4</v>
      </c>
      <c r="L897" s="11">
        <f t="shared" si="170"/>
        <v>35.699999999999996</v>
      </c>
      <c r="M897" s="3">
        <f t="shared" si="177"/>
        <v>0.15</v>
      </c>
      <c r="N897" s="4">
        <f t="shared" si="178"/>
        <v>9</v>
      </c>
      <c r="O897" s="2">
        <v>1.9097222222222222E-3</v>
      </c>
      <c r="P897" s="9">
        <f t="shared" si="171"/>
        <v>654.5</v>
      </c>
      <c r="Q897" s="3">
        <f t="shared" si="179"/>
        <v>2.75</v>
      </c>
      <c r="R897" s="4">
        <f t="shared" si="180"/>
        <v>165</v>
      </c>
      <c r="S897" s="3">
        <f t="shared" si="181"/>
        <v>215</v>
      </c>
      <c r="T897" s="1">
        <v>0.90459999999999996</v>
      </c>
      <c r="U897" s="6">
        <f t="shared" si="172"/>
        <v>215.29479999999998</v>
      </c>
    </row>
    <row r="898" spans="1:21" x14ac:dyDescent="0.35">
      <c r="A898">
        <v>897</v>
      </c>
      <c r="B898" s="5">
        <v>45093</v>
      </c>
      <c r="C898" s="4">
        <f t="shared" si="173"/>
        <v>2023</v>
      </c>
      <c r="D898" s="4">
        <f t="shared" si="174"/>
        <v>6</v>
      </c>
      <c r="E898" s="14">
        <v>45093</v>
      </c>
      <c r="F898" s="4">
        <f t="shared" si="175"/>
        <v>16</v>
      </c>
      <c r="G898">
        <v>241</v>
      </c>
      <c r="H898">
        <v>228</v>
      </c>
      <c r="I898" s="13">
        <f t="shared" si="176"/>
        <v>0.94</v>
      </c>
      <c r="J898">
        <f t="shared" ref="J898:J961" si="182">G898-H898</f>
        <v>13</v>
      </c>
      <c r="K898" s="2">
        <v>2.199074074074074E-4</v>
      </c>
      <c r="L898" s="11">
        <f t="shared" ref="L898:L961" si="183">H898*M898</f>
        <v>72.2</v>
      </c>
      <c r="M898" s="3">
        <f t="shared" si="177"/>
        <v>0.31666666666666665</v>
      </c>
      <c r="N898" s="4">
        <f t="shared" si="178"/>
        <v>19</v>
      </c>
      <c r="O898" s="2">
        <v>1.9444444444444444E-3</v>
      </c>
      <c r="P898" s="9">
        <f t="shared" ref="P898:P961" si="184">Q898*H898</f>
        <v>638.4</v>
      </c>
      <c r="Q898" s="3">
        <f t="shared" si="179"/>
        <v>2.8</v>
      </c>
      <c r="R898" s="4">
        <f t="shared" si="180"/>
        <v>168</v>
      </c>
      <c r="S898" s="3">
        <f t="shared" si="181"/>
        <v>181</v>
      </c>
      <c r="T898" s="1">
        <v>0.79579999999999995</v>
      </c>
      <c r="U898" s="6">
        <f t="shared" ref="U898:U961" si="185">T898*H898</f>
        <v>181.44239999999999</v>
      </c>
    </row>
    <row r="899" spans="1:21" x14ac:dyDescent="0.35">
      <c r="A899">
        <v>898</v>
      </c>
      <c r="B899" s="5">
        <v>45094</v>
      </c>
      <c r="C899" s="4">
        <f t="shared" ref="C899:C962" si="186">YEAR(B899)</f>
        <v>2023</v>
      </c>
      <c r="D899" s="4">
        <f t="shared" ref="D899:D962" si="187">MONTH(B899)</f>
        <v>6</v>
      </c>
      <c r="E899" s="14">
        <v>45094</v>
      </c>
      <c r="F899" s="4">
        <f t="shared" ref="F899:F962" si="188">DAY(B899)</f>
        <v>17</v>
      </c>
      <c r="G899">
        <v>279</v>
      </c>
      <c r="H899">
        <v>269</v>
      </c>
      <c r="I899" s="13">
        <f t="shared" ref="I899:I962" si="189">TRUNC(H899/G899,2)</f>
        <v>0.96</v>
      </c>
      <c r="J899">
        <f t="shared" si="182"/>
        <v>10</v>
      </c>
      <c r="K899" s="2">
        <v>9.2592592592592588E-5</v>
      </c>
      <c r="L899" s="11">
        <f t="shared" si="183"/>
        <v>35.866666666666667</v>
      </c>
      <c r="M899" s="3">
        <f t="shared" ref="M899:M962" si="190">MINUTE(K899)+SECOND(K899)/60</f>
        <v>0.13333333333333333</v>
      </c>
      <c r="N899" s="4">
        <f t="shared" ref="N899:N962" si="191">M899*60</f>
        <v>8</v>
      </c>
      <c r="O899" s="2">
        <v>1.8865740740740742E-3</v>
      </c>
      <c r="P899" s="9">
        <f t="shared" si="184"/>
        <v>730.78333333333342</v>
      </c>
      <c r="Q899" s="3">
        <f t="shared" ref="Q899:Q962" si="192">MINUTE(O899)+SECOND(O899)/60</f>
        <v>2.7166666666666668</v>
      </c>
      <c r="R899" s="4">
        <f t="shared" ref="R899:R962" si="193">Q899*60</f>
        <v>163</v>
      </c>
      <c r="S899" s="3">
        <f t="shared" ref="S899:S962" si="194">TRUNC(U899,0)</f>
        <v>245</v>
      </c>
      <c r="T899" s="1">
        <v>0.91300000000000003</v>
      </c>
      <c r="U899" s="6">
        <f t="shared" si="185"/>
        <v>245.59700000000001</v>
      </c>
    </row>
    <row r="900" spans="1:21" x14ac:dyDescent="0.35">
      <c r="A900">
        <v>899</v>
      </c>
      <c r="B900" s="5">
        <v>45095</v>
      </c>
      <c r="C900" s="4">
        <f t="shared" si="186"/>
        <v>2023</v>
      </c>
      <c r="D900" s="4">
        <f t="shared" si="187"/>
        <v>6</v>
      </c>
      <c r="E900" s="14">
        <v>45095</v>
      </c>
      <c r="F900" s="4">
        <f t="shared" si="188"/>
        <v>18</v>
      </c>
      <c r="G900">
        <v>73</v>
      </c>
      <c r="H900">
        <v>72</v>
      </c>
      <c r="I900" s="13">
        <f t="shared" si="189"/>
        <v>0.98</v>
      </c>
      <c r="J900">
        <f t="shared" si="182"/>
        <v>1</v>
      </c>
      <c r="K900" s="2">
        <v>9.2592592592592588E-5</v>
      </c>
      <c r="L900" s="11">
        <f t="shared" si="183"/>
        <v>9.6</v>
      </c>
      <c r="M900" s="3">
        <f t="shared" si="190"/>
        <v>0.13333333333333333</v>
      </c>
      <c r="N900" s="4">
        <f t="shared" si="191"/>
        <v>8</v>
      </c>
      <c r="O900" s="2">
        <v>2.1296296296296298E-3</v>
      </c>
      <c r="P900" s="9">
        <f t="shared" si="184"/>
        <v>220.8</v>
      </c>
      <c r="Q900" s="3">
        <f t="shared" si="192"/>
        <v>3.0666666666666669</v>
      </c>
      <c r="R900" s="4">
        <f t="shared" si="193"/>
        <v>184</v>
      </c>
      <c r="S900" s="3">
        <f t="shared" si="194"/>
        <v>66</v>
      </c>
      <c r="T900" s="1">
        <v>0.91779999999999995</v>
      </c>
      <c r="U900" s="6">
        <f t="shared" si="185"/>
        <v>66.081599999999995</v>
      </c>
    </row>
    <row r="901" spans="1:21" x14ac:dyDescent="0.35">
      <c r="A901">
        <v>900</v>
      </c>
      <c r="B901" s="5">
        <v>45096</v>
      </c>
      <c r="C901" s="4">
        <f t="shared" si="186"/>
        <v>2023</v>
      </c>
      <c r="D901" s="4">
        <f t="shared" si="187"/>
        <v>6</v>
      </c>
      <c r="E901" s="14">
        <v>45096</v>
      </c>
      <c r="F901" s="4">
        <f t="shared" si="188"/>
        <v>19</v>
      </c>
      <c r="G901">
        <v>226</v>
      </c>
      <c r="H901">
        <v>218</v>
      </c>
      <c r="I901" s="13">
        <f t="shared" si="189"/>
        <v>0.96</v>
      </c>
      <c r="J901">
        <f t="shared" si="182"/>
        <v>8</v>
      </c>
      <c r="K901" s="2">
        <v>9.2592592592592588E-5</v>
      </c>
      <c r="L901" s="11">
        <f t="shared" si="183"/>
        <v>29.066666666666666</v>
      </c>
      <c r="M901" s="3">
        <f t="shared" si="190"/>
        <v>0.13333333333333333</v>
      </c>
      <c r="N901" s="4">
        <f t="shared" si="191"/>
        <v>8</v>
      </c>
      <c r="O901" s="2">
        <v>2.0138888888888888E-3</v>
      </c>
      <c r="P901" s="9">
        <f t="shared" si="184"/>
        <v>632.19999999999993</v>
      </c>
      <c r="Q901" s="3">
        <f t="shared" si="192"/>
        <v>2.9</v>
      </c>
      <c r="R901" s="4">
        <f t="shared" si="193"/>
        <v>174</v>
      </c>
      <c r="S901" s="3">
        <f t="shared" si="194"/>
        <v>200</v>
      </c>
      <c r="T901" s="1">
        <v>0.91859999999999997</v>
      </c>
      <c r="U901" s="6">
        <f t="shared" si="185"/>
        <v>200.25479999999999</v>
      </c>
    </row>
    <row r="902" spans="1:21" x14ac:dyDescent="0.35">
      <c r="A902">
        <v>901</v>
      </c>
      <c r="B902" s="5">
        <v>45097</v>
      </c>
      <c r="C902" s="4">
        <f t="shared" si="186"/>
        <v>2023</v>
      </c>
      <c r="D902" s="4">
        <f t="shared" si="187"/>
        <v>6</v>
      </c>
      <c r="E902" s="14">
        <v>45097</v>
      </c>
      <c r="F902" s="4">
        <f t="shared" si="188"/>
        <v>20</v>
      </c>
      <c r="G902">
        <v>43</v>
      </c>
      <c r="H902">
        <v>42</v>
      </c>
      <c r="I902" s="13">
        <f t="shared" si="189"/>
        <v>0.97</v>
      </c>
      <c r="J902">
        <f t="shared" si="182"/>
        <v>1</v>
      </c>
      <c r="K902" s="2">
        <v>1.273148148148148E-4</v>
      </c>
      <c r="L902" s="11">
        <f t="shared" si="183"/>
        <v>7.6999999999999993</v>
      </c>
      <c r="M902" s="3">
        <f t="shared" si="190"/>
        <v>0.18333333333333332</v>
      </c>
      <c r="N902" s="4">
        <f t="shared" si="191"/>
        <v>11</v>
      </c>
      <c r="O902" s="2">
        <v>1.8287037037037037E-3</v>
      </c>
      <c r="P902" s="9">
        <f t="shared" si="184"/>
        <v>110.6</v>
      </c>
      <c r="Q902" s="3">
        <f t="shared" si="192"/>
        <v>2.6333333333333333</v>
      </c>
      <c r="R902" s="4">
        <f t="shared" si="193"/>
        <v>158</v>
      </c>
      <c r="S902" s="3">
        <f t="shared" si="194"/>
        <v>35</v>
      </c>
      <c r="T902" s="1">
        <v>0.83720000000000006</v>
      </c>
      <c r="U902" s="6">
        <f t="shared" si="185"/>
        <v>35.162400000000005</v>
      </c>
    </row>
    <row r="903" spans="1:21" x14ac:dyDescent="0.35">
      <c r="A903">
        <v>902</v>
      </c>
      <c r="B903" s="5">
        <v>45098</v>
      </c>
      <c r="C903" s="4">
        <f t="shared" si="186"/>
        <v>2023</v>
      </c>
      <c r="D903" s="4">
        <f t="shared" si="187"/>
        <v>6</v>
      </c>
      <c r="E903" s="14">
        <v>45098</v>
      </c>
      <c r="F903" s="4">
        <f t="shared" si="188"/>
        <v>21</v>
      </c>
      <c r="G903">
        <v>311</v>
      </c>
      <c r="H903">
        <v>255</v>
      </c>
      <c r="I903" s="13">
        <f t="shared" si="189"/>
        <v>0.81</v>
      </c>
      <c r="J903">
        <f t="shared" si="182"/>
        <v>56</v>
      </c>
      <c r="K903" s="2">
        <v>5.2083333333333333E-4</v>
      </c>
      <c r="L903" s="11">
        <f t="shared" si="183"/>
        <v>191.25</v>
      </c>
      <c r="M903" s="3">
        <f t="shared" si="190"/>
        <v>0.75</v>
      </c>
      <c r="N903" s="4">
        <f t="shared" si="191"/>
        <v>45</v>
      </c>
      <c r="O903" s="2">
        <v>2.0254629629629629E-3</v>
      </c>
      <c r="P903" s="9">
        <f t="shared" si="184"/>
        <v>743.75</v>
      </c>
      <c r="Q903" s="3">
        <f t="shared" si="192"/>
        <v>2.9166666666666665</v>
      </c>
      <c r="R903" s="4">
        <f t="shared" si="193"/>
        <v>175</v>
      </c>
      <c r="S903" s="3">
        <f t="shared" si="194"/>
        <v>120</v>
      </c>
      <c r="T903" s="1">
        <v>0.4718</v>
      </c>
      <c r="U903" s="6">
        <f t="shared" si="185"/>
        <v>120.309</v>
      </c>
    </row>
    <row r="904" spans="1:21" x14ac:dyDescent="0.35">
      <c r="A904">
        <v>903</v>
      </c>
      <c r="B904" s="5">
        <v>45099</v>
      </c>
      <c r="C904" s="4">
        <f t="shared" si="186"/>
        <v>2023</v>
      </c>
      <c r="D904" s="4">
        <f t="shared" si="187"/>
        <v>6</v>
      </c>
      <c r="E904" s="14">
        <v>45099</v>
      </c>
      <c r="F904" s="4">
        <f t="shared" si="188"/>
        <v>22</v>
      </c>
      <c r="G904">
        <v>251</v>
      </c>
      <c r="H904">
        <v>210</v>
      </c>
      <c r="I904" s="13">
        <f t="shared" si="189"/>
        <v>0.83</v>
      </c>
      <c r="J904">
        <f t="shared" si="182"/>
        <v>41</v>
      </c>
      <c r="K904" s="2">
        <v>3.0092592592592595E-4</v>
      </c>
      <c r="L904" s="11">
        <f t="shared" si="183"/>
        <v>91</v>
      </c>
      <c r="M904" s="3">
        <f t="shared" si="190"/>
        <v>0.43333333333333335</v>
      </c>
      <c r="N904" s="4">
        <f t="shared" si="191"/>
        <v>26</v>
      </c>
      <c r="O904" s="2">
        <v>2.0138888888888888E-3</v>
      </c>
      <c r="P904" s="9">
        <f t="shared" si="184"/>
        <v>609</v>
      </c>
      <c r="Q904" s="3">
        <f t="shared" si="192"/>
        <v>2.9</v>
      </c>
      <c r="R904" s="4">
        <f t="shared" si="193"/>
        <v>174</v>
      </c>
      <c r="S904" s="3">
        <f t="shared" si="194"/>
        <v>133</v>
      </c>
      <c r="T904" s="1">
        <v>0.63519999999999999</v>
      </c>
      <c r="U904" s="6">
        <f t="shared" si="185"/>
        <v>133.392</v>
      </c>
    </row>
    <row r="905" spans="1:21" x14ac:dyDescent="0.35">
      <c r="A905">
        <v>904</v>
      </c>
      <c r="B905" s="5">
        <v>45100</v>
      </c>
      <c r="C905" s="4">
        <f t="shared" si="186"/>
        <v>2023</v>
      </c>
      <c r="D905" s="4">
        <f t="shared" si="187"/>
        <v>6</v>
      </c>
      <c r="E905" s="14">
        <v>45100</v>
      </c>
      <c r="F905" s="4">
        <f t="shared" si="188"/>
        <v>23</v>
      </c>
      <c r="G905">
        <v>339</v>
      </c>
      <c r="H905">
        <v>313</v>
      </c>
      <c r="I905" s="13">
        <f t="shared" si="189"/>
        <v>0.92</v>
      </c>
      <c r="J905">
        <f t="shared" si="182"/>
        <v>26</v>
      </c>
      <c r="K905" s="2">
        <v>1.3888888888888889E-4</v>
      </c>
      <c r="L905" s="11">
        <f t="shared" si="183"/>
        <v>62.6</v>
      </c>
      <c r="M905" s="3">
        <f t="shared" si="190"/>
        <v>0.2</v>
      </c>
      <c r="N905" s="4">
        <f t="shared" si="191"/>
        <v>12</v>
      </c>
      <c r="O905" s="2">
        <v>1.4120370370370369E-3</v>
      </c>
      <c r="P905" s="9">
        <f t="shared" si="184"/>
        <v>636.43333333333328</v>
      </c>
      <c r="Q905" s="3">
        <f t="shared" si="192"/>
        <v>2.0333333333333332</v>
      </c>
      <c r="R905" s="4">
        <f t="shared" si="193"/>
        <v>122</v>
      </c>
      <c r="S905" s="3">
        <f t="shared" si="194"/>
        <v>256</v>
      </c>
      <c r="T905" s="1">
        <v>0.82089999999999996</v>
      </c>
      <c r="U905" s="6">
        <f t="shared" si="185"/>
        <v>256.94169999999997</v>
      </c>
    </row>
    <row r="906" spans="1:21" x14ac:dyDescent="0.35">
      <c r="A906">
        <v>905</v>
      </c>
      <c r="B906" s="5">
        <v>45101</v>
      </c>
      <c r="C906" s="4">
        <f t="shared" si="186"/>
        <v>2023</v>
      </c>
      <c r="D906" s="4">
        <f t="shared" si="187"/>
        <v>6</v>
      </c>
      <c r="E906" s="14">
        <v>45101</v>
      </c>
      <c r="F906" s="4">
        <f t="shared" si="188"/>
        <v>24</v>
      </c>
      <c r="G906">
        <v>323</v>
      </c>
      <c r="H906">
        <v>261</v>
      </c>
      <c r="I906" s="13">
        <f t="shared" si="189"/>
        <v>0.8</v>
      </c>
      <c r="J906">
        <f t="shared" si="182"/>
        <v>62</v>
      </c>
      <c r="K906" s="2">
        <v>4.7453703703703704E-4</v>
      </c>
      <c r="L906" s="11">
        <f t="shared" si="183"/>
        <v>178.35</v>
      </c>
      <c r="M906" s="3">
        <f t="shared" si="190"/>
        <v>0.68333333333333335</v>
      </c>
      <c r="N906" s="4">
        <f t="shared" si="191"/>
        <v>41</v>
      </c>
      <c r="O906" s="2">
        <v>2.0486111111111113E-3</v>
      </c>
      <c r="P906" s="9">
        <f t="shared" si="184"/>
        <v>769.95</v>
      </c>
      <c r="Q906" s="3">
        <f t="shared" si="192"/>
        <v>2.95</v>
      </c>
      <c r="R906" s="4">
        <f t="shared" si="193"/>
        <v>177</v>
      </c>
      <c r="S906" s="3">
        <f t="shared" si="194"/>
        <v>140</v>
      </c>
      <c r="T906" s="1">
        <v>0.53990000000000005</v>
      </c>
      <c r="U906" s="6">
        <f t="shared" si="185"/>
        <v>140.91390000000001</v>
      </c>
    </row>
    <row r="907" spans="1:21" x14ac:dyDescent="0.35">
      <c r="A907">
        <v>906</v>
      </c>
      <c r="B907" s="5">
        <v>45102</v>
      </c>
      <c r="C907" s="4">
        <f t="shared" si="186"/>
        <v>2023</v>
      </c>
      <c r="D907" s="4">
        <f t="shared" si="187"/>
        <v>6</v>
      </c>
      <c r="E907" s="14">
        <v>45102</v>
      </c>
      <c r="F907" s="4">
        <f t="shared" si="188"/>
        <v>25</v>
      </c>
      <c r="G907">
        <v>289</v>
      </c>
      <c r="H907">
        <v>265</v>
      </c>
      <c r="I907" s="13">
        <f t="shared" si="189"/>
        <v>0.91</v>
      </c>
      <c r="J907">
        <f t="shared" si="182"/>
        <v>24</v>
      </c>
      <c r="K907" s="2">
        <v>1.273148148148148E-4</v>
      </c>
      <c r="L907" s="11">
        <f t="shared" si="183"/>
        <v>48.583333333333329</v>
      </c>
      <c r="M907" s="3">
        <f t="shared" si="190"/>
        <v>0.18333333333333332</v>
      </c>
      <c r="N907" s="4">
        <f t="shared" si="191"/>
        <v>11</v>
      </c>
      <c r="O907" s="2">
        <v>2.0833333333333333E-3</v>
      </c>
      <c r="P907" s="9">
        <f t="shared" si="184"/>
        <v>795</v>
      </c>
      <c r="Q907" s="3">
        <f t="shared" si="192"/>
        <v>3</v>
      </c>
      <c r="R907" s="4">
        <f t="shared" si="193"/>
        <v>180</v>
      </c>
      <c r="S907" s="3">
        <f t="shared" si="194"/>
        <v>220</v>
      </c>
      <c r="T907" s="1">
        <v>0.8327</v>
      </c>
      <c r="U907" s="6">
        <f t="shared" si="185"/>
        <v>220.66550000000001</v>
      </c>
    </row>
    <row r="908" spans="1:21" x14ac:dyDescent="0.35">
      <c r="A908">
        <v>907</v>
      </c>
      <c r="B908" s="5">
        <v>45103</v>
      </c>
      <c r="C908" s="4">
        <f t="shared" si="186"/>
        <v>2023</v>
      </c>
      <c r="D908" s="4">
        <f t="shared" si="187"/>
        <v>6</v>
      </c>
      <c r="E908" s="14">
        <v>45103</v>
      </c>
      <c r="F908" s="4">
        <f t="shared" si="188"/>
        <v>26</v>
      </c>
      <c r="G908">
        <v>310</v>
      </c>
      <c r="H908">
        <v>281</v>
      </c>
      <c r="I908" s="13">
        <f t="shared" si="189"/>
        <v>0.9</v>
      </c>
      <c r="J908">
        <f t="shared" si="182"/>
        <v>29</v>
      </c>
      <c r="K908" s="2">
        <v>1.7361111111111112E-4</v>
      </c>
      <c r="L908" s="11">
        <f t="shared" si="183"/>
        <v>70.25</v>
      </c>
      <c r="M908" s="3">
        <f t="shared" si="190"/>
        <v>0.25</v>
      </c>
      <c r="N908" s="4">
        <f t="shared" si="191"/>
        <v>15</v>
      </c>
      <c r="O908" s="2">
        <v>1.8634259259259259E-3</v>
      </c>
      <c r="P908" s="9">
        <f t="shared" si="184"/>
        <v>754.01666666666677</v>
      </c>
      <c r="Q908" s="3">
        <f t="shared" si="192"/>
        <v>2.6833333333333336</v>
      </c>
      <c r="R908" s="4">
        <f t="shared" si="193"/>
        <v>161</v>
      </c>
      <c r="S908" s="3">
        <f t="shared" si="194"/>
        <v>222</v>
      </c>
      <c r="T908" s="1">
        <v>0.79120000000000001</v>
      </c>
      <c r="U908" s="6">
        <f t="shared" si="185"/>
        <v>222.3272</v>
      </c>
    </row>
    <row r="909" spans="1:21" x14ac:dyDescent="0.35">
      <c r="A909">
        <v>908</v>
      </c>
      <c r="B909" s="5">
        <v>45104</v>
      </c>
      <c r="C909" s="4">
        <f t="shared" si="186"/>
        <v>2023</v>
      </c>
      <c r="D909" s="4">
        <f t="shared" si="187"/>
        <v>6</v>
      </c>
      <c r="E909" s="14">
        <v>45104</v>
      </c>
      <c r="F909" s="4">
        <f t="shared" si="188"/>
        <v>27</v>
      </c>
      <c r="G909">
        <v>33</v>
      </c>
      <c r="H909">
        <v>31</v>
      </c>
      <c r="I909" s="13">
        <f t="shared" si="189"/>
        <v>0.93</v>
      </c>
      <c r="J909">
        <f t="shared" si="182"/>
        <v>2</v>
      </c>
      <c r="K909" s="2">
        <v>1.6203703703703703E-4</v>
      </c>
      <c r="L909" s="11">
        <f t="shared" si="183"/>
        <v>7.2333333333333334</v>
      </c>
      <c r="M909" s="3">
        <f t="shared" si="190"/>
        <v>0.23333333333333334</v>
      </c>
      <c r="N909" s="4">
        <f t="shared" si="191"/>
        <v>14</v>
      </c>
      <c r="O909" s="2">
        <v>2.0023148148148148E-3</v>
      </c>
      <c r="P909" s="9">
        <f t="shared" si="184"/>
        <v>89.383333333333326</v>
      </c>
      <c r="Q909" s="3">
        <f t="shared" si="192"/>
        <v>2.8833333333333333</v>
      </c>
      <c r="R909" s="4">
        <f t="shared" si="193"/>
        <v>173</v>
      </c>
      <c r="S909" s="3">
        <f t="shared" si="194"/>
        <v>26</v>
      </c>
      <c r="T909" s="1">
        <v>0.84850000000000003</v>
      </c>
      <c r="U909" s="6">
        <f t="shared" si="185"/>
        <v>26.3035</v>
      </c>
    </row>
    <row r="910" spans="1:21" x14ac:dyDescent="0.35">
      <c r="A910">
        <v>909</v>
      </c>
      <c r="B910" s="5">
        <v>45105</v>
      </c>
      <c r="C910" s="4">
        <f t="shared" si="186"/>
        <v>2023</v>
      </c>
      <c r="D910" s="4">
        <f t="shared" si="187"/>
        <v>6</v>
      </c>
      <c r="E910" s="14">
        <v>45105</v>
      </c>
      <c r="F910" s="4">
        <f t="shared" si="188"/>
        <v>28</v>
      </c>
      <c r="G910">
        <v>346</v>
      </c>
      <c r="H910">
        <v>318</v>
      </c>
      <c r="I910" s="13">
        <f t="shared" si="189"/>
        <v>0.91</v>
      </c>
      <c r="J910">
        <f t="shared" si="182"/>
        <v>28</v>
      </c>
      <c r="K910" s="2">
        <v>1.3888888888888889E-4</v>
      </c>
      <c r="L910" s="11">
        <f t="shared" si="183"/>
        <v>63.6</v>
      </c>
      <c r="M910" s="3">
        <f t="shared" si="190"/>
        <v>0.2</v>
      </c>
      <c r="N910" s="4">
        <f t="shared" si="191"/>
        <v>12</v>
      </c>
      <c r="O910" s="2">
        <v>1.8055555555555555E-3</v>
      </c>
      <c r="P910" s="9">
        <f t="shared" si="184"/>
        <v>826.80000000000007</v>
      </c>
      <c r="Q910" s="3">
        <f t="shared" si="192"/>
        <v>2.6</v>
      </c>
      <c r="R910" s="4">
        <f t="shared" si="193"/>
        <v>156</v>
      </c>
      <c r="S910" s="3">
        <f t="shared" si="194"/>
        <v>262</v>
      </c>
      <c r="T910" s="1">
        <v>0.82489999999999997</v>
      </c>
      <c r="U910" s="6">
        <f t="shared" si="185"/>
        <v>262.31819999999999</v>
      </c>
    </row>
    <row r="911" spans="1:21" x14ac:dyDescent="0.35">
      <c r="A911">
        <v>910</v>
      </c>
      <c r="B911" s="5">
        <v>45106</v>
      </c>
      <c r="C911" s="4">
        <f t="shared" si="186"/>
        <v>2023</v>
      </c>
      <c r="D911" s="4">
        <f t="shared" si="187"/>
        <v>6</v>
      </c>
      <c r="E911" s="14">
        <v>45106</v>
      </c>
      <c r="F911" s="4">
        <f t="shared" si="188"/>
        <v>29</v>
      </c>
      <c r="G911">
        <v>325</v>
      </c>
      <c r="H911">
        <v>285</v>
      </c>
      <c r="I911" s="13">
        <f t="shared" si="189"/>
        <v>0.87</v>
      </c>
      <c r="J911">
        <f t="shared" si="182"/>
        <v>40</v>
      </c>
      <c r="K911" s="2">
        <v>3.7037037037037035E-4</v>
      </c>
      <c r="L911" s="11">
        <f t="shared" si="183"/>
        <v>152</v>
      </c>
      <c r="M911" s="3">
        <f t="shared" si="190"/>
        <v>0.53333333333333333</v>
      </c>
      <c r="N911" s="4">
        <f t="shared" si="191"/>
        <v>32</v>
      </c>
      <c r="O911" s="2">
        <v>1.9097222222222222E-3</v>
      </c>
      <c r="P911" s="9">
        <f t="shared" si="184"/>
        <v>783.75</v>
      </c>
      <c r="Q911" s="3">
        <f t="shared" si="192"/>
        <v>2.75</v>
      </c>
      <c r="R911" s="4">
        <f t="shared" si="193"/>
        <v>165</v>
      </c>
      <c r="S911" s="3">
        <f t="shared" si="194"/>
        <v>173</v>
      </c>
      <c r="T911" s="1">
        <v>0.60819999999999996</v>
      </c>
      <c r="U911" s="6">
        <f t="shared" si="185"/>
        <v>173.33699999999999</v>
      </c>
    </row>
    <row r="912" spans="1:21" x14ac:dyDescent="0.35">
      <c r="A912">
        <v>911</v>
      </c>
      <c r="B912" s="5">
        <v>45107</v>
      </c>
      <c r="C912" s="4">
        <f t="shared" si="186"/>
        <v>2023</v>
      </c>
      <c r="D912" s="4">
        <f t="shared" si="187"/>
        <v>6</v>
      </c>
      <c r="E912" s="14">
        <v>45107</v>
      </c>
      <c r="F912" s="4">
        <f t="shared" si="188"/>
        <v>30</v>
      </c>
      <c r="G912">
        <v>627</v>
      </c>
      <c r="H912">
        <v>504</v>
      </c>
      <c r="I912" s="13">
        <f t="shared" si="189"/>
        <v>0.8</v>
      </c>
      <c r="J912">
        <f t="shared" si="182"/>
        <v>123</v>
      </c>
      <c r="K912" s="2">
        <v>4.2824074074074075E-4</v>
      </c>
      <c r="L912" s="11">
        <f t="shared" si="183"/>
        <v>310.8</v>
      </c>
      <c r="M912" s="3">
        <f t="shared" si="190"/>
        <v>0.6166666666666667</v>
      </c>
      <c r="N912" s="4">
        <f t="shared" si="191"/>
        <v>37</v>
      </c>
      <c r="O912" s="2">
        <v>2.3148148148148147E-3</v>
      </c>
      <c r="P912" s="9">
        <f t="shared" si="184"/>
        <v>1680</v>
      </c>
      <c r="Q912" s="3">
        <f t="shared" si="192"/>
        <v>3.3333333333333335</v>
      </c>
      <c r="R912" s="4">
        <f t="shared" si="193"/>
        <v>200</v>
      </c>
      <c r="S912" s="3">
        <f t="shared" si="194"/>
        <v>286</v>
      </c>
      <c r="T912" s="1">
        <v>0.56930000000000003</v>
      </c>
      <c r="U912" s="6">
        <f t="shared" si="185"/>
        <v>286.92720000000003</v>
      </c>
    </row>
    <row r="913" spans="1:21" x14ac:dyDescent="0.35">
      <c r="A913">
        <v>912</v>
      </c>
      <c r="B913" s="5">
        <v>45108</v>
      </c>
      <c r="C913" s="4">
        <f t="shared" si="186"/>
        <v>2023</v>
      </c>
      <c r="D913" s="4">
        <f t="shared" si="187"/>
        <v>7</v>
      </c>
      <c r="E913" s="14">
        <v>45108</v>
      </c>
      <c r="F913" s="4">
        <f t="shared" si="188"/>
        <v>1</v>
      </c>
      <c r="G913">
        <v>905</v>
      </c>
      <c r="H913">
        <v>631</v>
      </c>
      <c r="I913" s="13">
        <f t="shared" si="189"/>
        <v>0.69</v>
      </c>
      <c r="J913">
        <f t="shared" si="182"/>
        <v>274</v>
      </c>
      <c r="K913" s="2">
        <v>9.6064814814814819E-4</v>
      </c>
      <c r="L913" s="11">
        <f t="shared" si="183"/>
        <v>872.88333333333333</v>
      </c>
      <c r="M913" s="3">
        <f t="shared" si="190"/>
        <v>1.3833333333333333</v>
      </c>
      <c r="N913" s="4">
        <f t="shared" si="191"/>
        <v>83</v>
      </c>
      <c r="O913" s="2">
        <v>2.5694444444444445E-3</v>
      </c>
      <c r="P913" s="9">
        <f t="shared" si="184"/>
        <v>2334.7000000000003</v>
      </c>
      <c r="Q913" s="3">
        <f t="shared" si="192"/>
        <v>3.7</v>
      </c>
      <c r="R913" s="4">
        <f t="shared" si="193"/>
        <v>222</v>
      </c>
      <c r="S913" s="3">
        <f t="shared" si="194"/>
        <v>162</v>
      </c>
      <c r="T913" s="1">
        <v>0.25679999999999997</v>
      </c>
      <c r="U913" s="6">
        <f t="shared" si="185"/>
        <v>162.04079999999999</v>
      </c>
    </row>
    <row r="914" spans="1:21" x14ac:dyDescent="0.35">
      <c r="A914">
        <v>913</v>
      </c>
      <c r="B914" s="5">
        <v>45109</v>
      </c>
      <c r="C914" s="4">
        <f t="shared" si="186"/>
        <v>2023</v>
      </c>
      <c r="D914" s="4">
        <f t="shared" si="187"/>
        <v>7</v>
      </c>
      <c r="E914" s="14">
        <v>45109</v>
      </c>
      <c r="F914" s="4">
        <f t="shared" si="188"/>
        <v>2</v>
      </c>
      <c r="G914">
        <v>1141</v>
      </c>
      <c r="H914">
        <v>610</v>
      </c>
      <c r="I914" s="13">
        <f t="shared" si="189"/>
        <v>0.53</v>
      </c>
      <c r="J914">
        <f t="shared" si="182"/>
        <v>531</v>
      </c>
      <c r="K914" s="2">
        <v>1.2268518518518518E-3</v>
      </c>
      <c r="L914" s="11">
        <f t="shared" si="183"/>
        <v>1077.6666666666667</v>
      </c>
      <c r="M914" s="3">
        <f t="shared" si="190"/>
        <v>1.7666666666666666</v>
      </c>
      <c r="N914" s="4">
        <f t="shared" si="191"/>
        <v>106</v>
      </c>
      <c r="O914" s="2">
        <v>2.2222222222222222E-3</v>
      </c>
      <c r="P914" s="9">
        <f t="shared" si="184"/>
        <v>1952</v>
      </c>
      <c r="Q914" s="3">
        <f t="shared" si="192"/>
        <v>3.2</v>
      </c>
      <c r="R914" s="4">
        <f t="shared" si="193"/>
        <v>192</v>
      </c>
      <c r="S914" s="3">
        <f t="shared" si="194"/>
        <v>88</v>
      </c>
      <c r="T914" s="1">
        <v>0.14549999999999999</v>
      </c>
      <c r="U914" s="6">
        <f t="shared" si="185"/>
        <v>88.754999999999995</v>
      </c>
    </row>
    <row r="915" spans="1:21" x14ac:dyDescent="0.35">
      <c r="A915">
        <v>914</v>
      </c>
      <c r="B915" s="5">
        <v>45110</v>
      </c>
      <c r="C915" s="4">
        <f t="shared" si="186"/>
        <v>2023</v>
      </c>
      <c r="D915" s="4">
        <f t="shared" si="187"/>
        <v>7</v>
      </c>
      <c r="E915" s="14">
        <v>45110</v>
      </c>
      <c r="F915" s="4">
        <f t="shared" si="188"/>
        <v>3</v>
      </c>
      <c r="G915">
        <v>863</v>
      </c>
      <c r="H915">
        <v>511</v>
      </c>
      <c r="I915" s="13">
        <f t="shared" si="189"/>
        <v>0.59</v>
      </c>
      <c r="J915">
        <f t="shared" si="182"/>
        <v>352</v>
      </c>
      <c r="K915" s="2">
        <v>1.4699074074074074E-3</v>
      </c>
      <c r="L915" s="11">
        <f t="shared" si="183"/>
        <v>1081.6166666666668</v>
      </c>
      <c r="M915" s="3">
        <f t="shared" si="190"/>
        <v>2.1166666666666667</v>
      </c>
      <c r="N915" s="4">
        <f t="shared" si="191"/>
        <v>127</v>
      </c>
      <c r="O915" s="2">
        <v>2.1180555555555558E-3</v>
      </c>
      <c r="P915" s="9">
        <f t="shared" si="184"/>
        <v>1558.55</v>
      </c>
      <c r="Q915" s="3">
        <f t="shared" si="192"/>
        <v>3.05</v>
      </c>
      <c r="R915" s="4">
        <f t="shared" si="193"/>
        <v>183</v>
      </c>
      <c r="S915" s="3">
        <f t="shared" si="194"/>
        <v>61</v>
      </c>
      <c r="T915" s="1">
        <v>0.12130000000000001</v>
      </c>
      <c r="U915" s="6">
        <f t="shared" si="185"/>
        <v>61.984300000000005</v>
      </c>
    </row>
    <row r="916" spans="1:21" x14ac:dyDescent="0.35">
      <c r="A916">
        <v>915</v>
      </c>
      <c r="B916" s="5">
        <v>45111</v>
      </c>
      <c r="C916" s="4">
        <f t="shared" si="186"/>
        <v>2023</v>
      </c>
      <c r="D916" s="4">
        <f t="shared" si="187"/>
        <v>7</v>
      </c>
      <c r="E916" s="14">
        <v>45111</v>
      </c>
      <c r="F916" s="4">
        <f t="shared" si="188"/>
        <v>4</v>
      </c>
      <c r="G916">
        <v>63</v>
      </c>
      <c r="H916">
        <v>56</v>
      </c>
      <c r="I916" s="13">
        <f t="shared" si="189"/>
        <v>0.88</v>
      </c>
      <c r="J916">
        <f t="shared" si="182"/>
        <v>7</v>
      </c>
      <c r="K916" s="2">
        <v>1.8518518518518518E-4</v>
      </c>
      <c r="L916" s="11">
        <f t="shared" si="183"/>
        <v>14.933333333333334</v>
      </c>
      <c r="M916" s="3">
        <f t="shared" si="190"/>
        <v>0.26666666666666666</v>
      </c>
      <c r="N916" s="4">
        <f t="shared" si="191"/>
        <v>16</v>
      </c>
      <c r="O916" s="2">
        <v>1.7476851851851852E-3</v>
      </c>
      <c r="P916" s="9">
        <f t="shared" si="184"/>
        <v>140.93333333333334</v>
      </c>
      <c r="Q916" s="3">
        <f t="shared" si="192"/>
        <v>2.5166666666666666</v>
      </c>
      <c r="R916" s="4">
        <f t="shared" si="193"/>
        <v>151</v>
      </c>
      <c r="S916" s="3">
        <f t="shared" si="194"/>
        <v>39</v>
      </c>
      <c r="T916" s="1">
        <v>0.7097</v>
      </c>
      <c r="U916" s="6">
        <f t="shared" si="185"/>
        <v>39.743200000000002</v>
      </c>
    </row>
    <row r="917" spans="1:21" x14ac:dyDescent="0.35">
      <c r="A917">
        <v>916</v>
      </c>
      <c r="B917" s="5">
        <v>45112</v>
      </c>
      <c r="C917" s="4">
        <f t="shared" si="186"/>
        <v>2023</v>
      </c>
      <c r="D917" s="4">
        <f t="shared" si="187"/>
        <v>7</v>
      </c>
      <c r="E917" s="14">
        <v>45112</v>
      </c>
      <c r="F917" s="4">
        <f t="shared" si="188"/>
        <v>5</v>
      </c>
      <c r="G917">
        <v>573</v>
      </c>
      <c r="H917">
        <v>487</v>
      </c>
      <c r="I917" s="13">
        <f t="shared" si="189"/>
        <v>0.84</v>
      </c>
      <c r="J917">
        <f t="shared" si="182"/>
        <v>86</v>
      </c>
      <c r="K917" s="2">
        <v>6.4814814814814813E-4</v>
      </c>
      <c r="L917" s="11">
        <f t="shared" si="183"/>
        <v>454.53333333333336</v>
      </c>
      <c r="M917" s="3">
        <f t="shared" si="190"/>
        <v>0.93333333333333335</v>
      </c>
      <c r="N917" s="4">
        <f t="shared" si="191"/>
        <v>56</v>
      </c>
      <c r="O917" s="2">
        <v>1.9097222222222222E-3</v>
      </c>
      <c r="P917" s="9">
        <f t="shared" si="184"/>
        <v>1339.25</v>
      </c>
      <c r="Q917" s="3">
        <f t="shared" si="192"/>
        <v>2.75</v>
      </c>
      <c r="R917" s="4">
        <f t="shared" si="193"/>
        <v>165</v>
      </c>
      <c r="S917" s="3">
        <f t="shared" si="194"/>
        <v>170</v>
      </c>
      <c r="T917" s="1">
        <v>0.34989999999999999</v>
      </c>
      <c r="U917" s="6">
        <f t="shared" si="185"/>
        <v>170.40129999999999</v>
      </c>
    </row>
    <row r="918" spans="1:21" x14ac:dyDescent="0.35">
      <c r="A918">
        <v>917</v>
      </c>
      <c r="B918" s="5">
        <v>45113</v>
      </c>
      <c r="C918" s="4">
        <f t="shared" si="186"/>
        <v>2023</v>
      </c>
      <c r="D918" s="4">
        <f t="shared" si="187"/>
        <v>7</v>
      </c>
      <c r="E918" s="14">
        <v>45113</v>
      </c>
      <c r="F918" s="4">
        <f t="shared" si="188"/>
        <v>6</v>
      </c>
      <c r="G918">
        <v>391</v>
      </c>
      <c r="H918">
        <v>323</v>
      </c>
      <c r="I918" s="13">
        <f t="shared" si="189"/>
        <v>0.82</v>
      </c>
      <c r="J918">
        <f t="shared" si="182"/>
        <v>68</v>
      </c>
      <c r="K918" s="2">
        <v>5.3240740740740744E-4</v>
      </c>
      <c r="L918" s="11">
        <f t="shared" si="183"/>
        <v>247.63333333333335</v>
      </c>
      <c r="M918" s="3">
        <f t="shared" si="190"/>
        <v>0.76666666666666672</v>
      </c>
      <c r="N918" s="4">
        <f t="shared" si="191"/>
        <v>46</v>
      </c>
      <c r="O918" s="2">
        <v>2.1759259259259258E-3</v>
      </c>
      <c r="P918" s="9">
        <f t="shared" si="184"/>
        <v>1012.0666666666666</v>
      </c>
      <c r="Q918" s="3">
        <f t="shared" si="192"/>
        <v>3.1333333333333333</v>
      </c>
      <c r="R918" s="4">
        <f t="shared" si="193"/>
        <v>188</v>
      </c>
      <c r="S918" s="3">
        <f t="shared" si="194"/>
        <v>137</v>
      </c>
      <c r="T918" s="1">
        <v>0.42709999999999998</v>
      </c>
      <c r="U918" s="6">
        <f t="shared" si="185"/>
        <v>137.95329999999998</v>
      </c>
    </row>
    <row r="919" spans="1:21" x14ac:dyDescent="0.35">
      <c r="A919">
        <v>918</v>
      </c>
      <c r="B919" s="5">
        <v>45114</v>
      </c>
      <c r="C919" s="4">
        <f t="shared" si="186"/>
        <v>2023</v>
      </c>
      <c r="D919" s="4">
        <f t="shared" si="187"/>
        <v>7</v>
      </c>
      <c r="E919" s="14">
        <v>45114</v>
      </c>
      <c r="F919" s="4">
        <f t="shared" si="188"/>
        <v>7</v>
      </c>
      <c r="G919">
        <v>526</v>
      </c>
      <c r="H919">
        <v>355</v>
      </c>
      <c r="I919" s="13">
        <f t="shared" si="189"/>
        <v>0.67</v>
      </c>
      <c r="J919">
        <f t="shared" si="182"/>
        <v>171</v>
      </c>
      <c r="K919" s="2">
        <v>1.0300925925925926E-3</v>
      </c>
      <c r="L919" s="11">
        <f t="shared" si="183"/>
        <v>526.58333333333337</v>
      </c>
      <c r="M919" s="3">
        <f t="shared" si="190"/>
        <v>1.4833333333333334</v>
      </c>
      <c r="N919" s="4">
        <f t="shared" si="191"/>
        <v>89</v>
      </c>
      <c r="O919" s="2">
        <v>2.662037037037037E-3</v>
      </c>
      <c r="P919" s="9">
        <f t="shared" si="184"/>
        <v>1360.8333333333335</v>
      </c>
      <c r="Q919" s="3">
        <f t="shared" si="192"/>
        <v>3.8333333333333335</v>
      </c>
      <c r="R919" s="4">
        <f t="shared" si="193"/>
        <v>230</v>
      </c>
      <c r="S919" s="3">
        <f t="shared" si="194"/>
        <v>79</v>
      </c>
      <c r="T919" s="1">
        <v>0.224</v>
      </c>
      <c r="U919" s="6">
        <f t="shared" si="185"/>
        <v>79.52</v>
      </c>
    </row>
    <row r="920" spans="1:21" x14ac:dyDescent="0.35">
      <c r="A920">
        <v>919</v>
      </c>
      <c r="B920" s="5">
        <v>45115</v>
      </c>
      <c r="C920" s="4">
        <f t="shared" si="186"/>
        <v>2023</v>
      </c>
      <c r="D920" s="4">
        <f t="shared" si="187"/>
        <v>7</v>
      </c>
      <c r="E920" s="14">
        <v>45115</v>
      </c>
      <c r="F920" s="4">
        <f t="shared" si="188"/>
        <v>8</v>
      </c>
      <c r="G920">
        <v>343</v>
      </c>
      <c r="H920">
        <v>309</v>
      </c>
      <c r="I920" s="13">
        <f t="shared" si="189"/>
        <v>0.9</v>
      </c>
      <c r="J920">
        <f t="shared" si="182"/>
        <v>34</v>
      </c>
      <c r="K920" s="2">
        <v>4.5138888888888887E-4</v>
      </c>
      <c r="L920" s="11">
        <f t="shared" si="183"/>
        <v>200.85</v>
      </c>
      <c r="M920" s="3">
        <f t="shared" si="190"/>
        <v>0.65</v>
      </c>
      <c r="N920" s="4">
        <f t="shared" si="191"/>
        <v>39</v>
      </c>
      <c r="O920" s="2">
        <v>2.3611111111111111E-3</v>
      </c>
      <c r="P920" s="9">
        <f t="shared" si="184"/>
        <v>1050.5999999999999</v>
      </c>
      <c r="Q920" s="3">
        <f t="shared" si="192"/>
        <v>3.4</v>
      </c>
      <c r="R920" s="4">
        <f t="shared" si="193"/>
        <v>204</v>
      </c>
      <c r="S920" s="3">
        <f t="shared" si="194"/>
        <v>150</v>
      </c>
      <c r="T920" s="1">
        <v>0.48820000000000002</v>
      </c>
      <c r="U920" s="6">
        <f t="shared" si="185"/>
        <v>150.85380000000001</v>
      </c>
    </row>
    <row r="921" spans="1:21" x14ac:dyDescent="0.35">
      <c r="A921">
        <v>920</v>
      </c>
      <c r="B921" s="5">
        <v>45116</v>
      </c>
      <c r="C921" s="4">
        <f t="shared" si="186"/>
        <v>2023</v>
      </c>
      <c r="D921" s="4">
        <f t="shared" si="187"/>
        <v>7</v>
      </c>
      <c r="E921" s="14">
        <v>45116</v>
      </c>
      <c r="F921" s="4">
        <f t="shared" si="188"/>
        <v>9</v>
      </c>
      <c r="G921">
        <v>401</v>
      </c>
      <c r="H921">
        <v>346</v>
      </c>
      <c r="I921" s="13">
        <f t="shared" si="189"/>
        <v>0.86</v>
      </c>
      <c r="J921">
        <f t="shared" si="182"/>
        <v>55</v>
      </c>
      <c r="K921" s="2">
        <v>4.7453703703703704E-4</v>
      </c>
      <c r="L921" s="11">
        <f t="shared" si="183"/>
        <v>236.43333333333334</v>
      </c>
      <c r="M921" s="3">
        <f t="shared" si="190"/>
        <v>0.68333333333333335</v>
      </c>
      <c r="N921" s="4">
        <f t="shared" si="191"/>
        <v>41</v>
      </c>
      <c r="O921" s="2">
        <v>2.2337962962962962E-3</v>
      </c>
      <c r="P921" s="9">
        <f t="shared" si="184"/>
        <v>1112.9666666666667</v>
      </c>
      <c r="Q921" s="3">
        <f t="shared" si="192"/>
        <v>3.2166666666666668</v>
      </c>
      <c r="R921" s="4">
        <f t="shared" si="193"/>
        <v>193</v>
      </c>
      <c r="S921" s="3">
        <f t="shared" si="194"/>
        <v>153</v>
      </c>
      <c r="T921" s="1">
        <v>0.44269999999999998</v>
      </c>
      <c r="U921" s="6">
        <f t="shared" si="185"/>
        <v>153.17419999999998</v>
      </c>
    </row>
    <row r="922" spans="1:21" x14ac:dyDescent="0.35">
      <c r="A922">
        <v>921</v>
      </c>
      <c r="B922" s="5">
        <v>45117</v>
      </c>
      <c r="C922" s="4">
        <f t="shared" si="186"/>
        <v>2023</v>
      </c>
      <c r="D922" s="4">
        <f t="shared" si="187"/>
        <v>7</v>
      </c>
      <c r="E922" s="14">
        <v>45117</v>
      </c>
      <c r="F922" s="4">
        <f t="shared" si="188"/>
        <v>10</v>
      </c>
      <c r="G922">
        <v>281</v>
      </c>
      <c r="H922">
        <v>239</v>
      </c>
      <c r="I922" s="13">
        <f t="shared" si="189"/>
        <v>0.85</v>
      </c>
      <c r="J922">
        <f t="shared" si="182"/>
        <v>42</v>
      </c>
      <c r="K922" s="2">
        <v>4.7453703703703704E-4</v>
      </c>
      <c r="L922" s="11">
        <f t="shared" si="183"/>
        <v>163.31666666666666</v>
      </c>
      <c r="M922" s="3">
        <f t="shared" si="190"/>
        <v>0.68333333333333335</v>
      </c>
      <c r="N922" s="4">
        <f t="shared" si="191"/>
        <v>41</v>
      </c>
      <c r="O922" s="2">
        <v>2.1643518518518518E-3</v>
      </c>
      <c r="P922" s="9">
        <f t="shared" si="184"/>
        <v>744.88333333333333</v>
      </c>
      <c r="Q922" s="3">
        <f t="shared" si="192"/>
        <v>3.1166666666666667</v>
      </c>
      <c r="R922" s="4">
        <f t="shared" si="193"/>
        <v>187</v>
      </c>
      <c r="S922" s="3">
        <f t="shared" si="194"/>
        <v>101</v>
      </c>
      <c r="T922" s="1">
        <v>0.42549999999999999</v>
      </c>
      <c r="U922" s="6">
        <f t="shared" si="185"/>
        <v>101.69449999999999</v>
      </c>
    </row>
    <row r="923" spans="1:21" x14ac:dyDescent="0.35">
      <c r="A923">
        <v>922</v>
      </c>
      <c r="B923" s="5">
        <v>45118</v>
      </c>
      <c r="C923" s="4">
        <f t="shared" si="186"/>
        <v>2023</v>
      </c>
      <c r="D923" s="4">
        <f t="shared" si="187"/>
        <v>7</v>
      </c>
      <c r="E923" s="14">
        <v>45118</v>
      </c>
      <c r="F923" s="4">
        <f t="shared" si="188"/>
        <v>11</v>
      </c>
      <c r="G923">
        <v>46</v>
      </c>
      <c r="H923">
        <v>39</v>
      </c>
      <c r="I923" s="13">
        <f t="shared" si="189"/>
        <v>0.84</v>
      </c>
      <c r="J923">
        <f t="shared" si="182"/>
        <v>7</v>
      </c>
      <c r="K923" s="2">
        <v>1.273148148148148E-4</v>
      </c>
      <c r="L923" s="11">
        <f t="shared" si="183"/>
        <v>7.1499999999999995</v>
      </c>
      <c r="M923" s="3">
        <f t="shared" si="190"/>
        <v>0.18333333333333332</v>
      </c>
      <c r="N923" s="4">
        <f t="shared" si="191"/>
        <v>11</v>
      </c>
      <c r="O923" s="2">
        <v>2.1875000000000002E-3</v>
      </c>
      <c r="P923" s="9">
        <f t="shared" si="184"/>
        <v>122.85</v>
      </c>
      <c r="Q923" s="3">
        <f t="shared" si="192"/>
        <v>3.15</v>
      </c>
      <c r="R923" s="4">
        <f t="shared" si="193"/>
        <v>189</v>
      </c>
      <c r="S923" s="3">
        <f t="shared" si="194"/>
        <v>31</v>
      </c>
      <c r="T923" s="1">
        <v>0.80430000000000001</v>
      </c>
      <c r="U923" s="6">
        <f t="shared" si="185"/>
        <v>31.367699999999999</v>
      </c>
    </row>
    <row r="924" spans="1:21" x14ac:dyDescent="0.35">
      <c r="A924">
        <v>923</v>
      </c>
      <c r="B924" s="5">
        <v>45119</v>
      </c>
      <c r="C924" s="4">
        <f t="shared" si="186"/>
        <v>2023</v>
      </c>
      <c r="D924" s="4">
        <f t="shared" si="187"/>
        <v>7</v>
      </c>
      <c r="E924" s="14">
        <v>45119</v>
      </c>
      <c r="F924" s="4">
        <f t="shared" si="188"/>
        <v>12</v>
      </c>
      <c r="G924">
        <v>357</v>
      </c>
      <c r="H924">
        <v>323</v>
      </c>
      <c r="I924" s="13">
        <f t="shared" si="189"/>
        <v>0.9</v>
      </c>
      <c r="J924">
        <f t="shared" si="182"/>
        <v>34</v>
      </c>
      <c r="K924" s="2">
        <v>3.7037037037037035E-4</v>
      </c>
      <c r="L924" s="11">
        <f t="shared" si="183"/>
        <v>172.26666666666665</v>
      </c>
      <c r="M924" s="3">
        <f t="shared" si="190"/>
        <v>0.53333333333333333</v>
      </c>
      <c r="N924" s="4">
        <f t="shared" si="191"/>
        <v>32</v>
      </c>
      <c r="O924" s="2">
        <v>2.1759259259259258E-3</v>
      </c>
      <c r="P924" s="9">
        <f t="shared" si="184"/>
        <v>1012.0666666666666</v>
      </c>
      <c r="Q924" s="3">
        <f t="shared" si="192"/>
        <v>3.1333333333333333</v>
      </c>
      <c r="R924" s="4">
        <f t="shared" si="193"/>
        <v>188</v>
      </c>
      <c r="S924" s="3">
        <f t="shared" si="194"/>
        <v>196</v>
      </c>
      <c r="T924" s="1">
        <v>0.60909999999999997</v>
      </c>
      <c r="U924" s="6">
        <f t="shared" si="185"/>
        <v>196.73929999999999</v>
      </c>
    </row>
    <row r="925" spans="1:21" x14ac:dyDescent="0.35">
      <c r="A925">
        <v>924</v>
      </c>
      <c r="B925" s="5">
        <v>45120</v>
      </c>
      <c r="C925" s="4">
        <f t="shared" si="186"/>
        <v>2023</v>
      </c>
      <c r="D925" s="4">
        <f t="shared" si="187"/>
        <v>7</v>
      </c>
      <c r="E925" s="14">
        <v>45120</v>
      </c>
      <c r="F925" s="4">
        <f t="shared" si="188"/>
        <v>13</v>
      </c>
      <c r="G925">
        <v>280</v>
      </c>
      <c r="H925">
        <v>255</v>
      </c>
      <c r="I925" s="13">
        <f t="shared" si="189"/>
        <v>0.91</v>
      </c>
      <c r="J925">
        <f t="shared" si="182"/>
        <v>25</v>
      </c>
      <c r="K925" s="2">
        <v>3.9351851851851852E-4</v>
      </c>
      <c r="L925" s="11">
        <f t="shared" si="183"/>
        <v>144.5</v>
      </c>
      <c r="M925" s="3">
        <f t="shared" si="190"/>
        <v>0.56666666666666665</v>
      </c>
      <c r="N925" s="4">
        <f t="shared" si="191"/>
        <v>34</v>
      </c>
      <c r="O925" s="2">
        <v>2.1064814814814813E-3</v>
      </c>
      <c r="P925" s="9">
        <f t="shared" si="184"/>
        <v>773.5</v>
      </c>
      <c r="Q925" s="3">
        <f t="shared" si="192"/>
        <v>3.0333333333333332</v>
      </c>
      <c r="R925" s="4">
        <f t="shared" si="193"/>
        <v>182</v>
      </c>
      <c r="S925" s="3">
        <f t="shared" si="194"/>
        <v>134</v>
      </c>
      <c r="T925" s="1">
        <v>0.52900000000000003</v>
      </c>
      <c r="U925" s="6">
        <f t="shared" si="185"/>
        <v>134.89500000000001</v>
      </c>
    </row>
    <row r="926" spans="1:21" x14ac:dyDescent="0.35">
      <c r="A926">
        <v>925</v>
      </c>
      <c r="B926" s="5">
        <v>45121</v>
      </c>
      <c r="C926" s="4">
        <f t="shared" si="186"/>
        <v>2023</v>
      </c>
      <c r="D926" s="4">
        <f t="shared" si="187"/>
        <v>7</v>
      </c>
      <c r="E926" s="14">
        <v>45121</v>
      </c>
      <c r="F926" s="4">
        <f t="shared" si="188"/>
        <v>14</v>
      </c>
      <c r="G926">
        <v>258</v>
      </c>
      <c r="H926">
        <v>247</v>
      </c>
      <c r="I926" s="13">
        <f t="shared" si="189"/>
        <v>0.95</v>
      </c>
      <c r="J926">
        <f t="shared" si="182"/>
        <v>11</v>
      </c>
      <c r="K926" s="2">
        <v>2.8935185185185184E-4</v>
      </c>
      <c r="L926" s="11">
        <f t="shared" si="183"/>
        <v>102.91666666666667</v>
      </c>
      <c r="M926" s="3">
        <f t="shared" si="190"/>
        <v>0.41666666666666669</v>
      </c>
      <c r="N926" s="4">
        <f t="shared" si="191"/>
        <v>25</v>
      </c>
      <c r="O926" s="2">
        <v>2.0486111111111113E-3</v>
      </c>
      <c r="P926" s="9">
        <f t="shared" si="184"/>
        <v>728.65000000000009</v>
      </c>
      <c r="Q926" s="3">
        <f t="shared" si="192"/>
        <v>2.95</v>
      </c>
      <c r="R926" s="4">
        <f t="shared" si="193"/>
        <v>177</v>
      </c>
      <c r="S926" s="3">
        <f t="shared" si="194"/>
        <v>173</v>
      </c>
      <c r="T926" s="1">
        <v>0.70199999999999996</v>
      </c>
      <c r="U926" s="6">
        <f t="shared" si="185"/>
        <v>173.39399999999998</v>
      </c>
    </row>
    <row r="927" spans="1:21" x14ac:dyDescent="0.35">
      <c r="A927">
        <v>926</v>
      </c>
      <c r="B927" s="5">
        <v>45122</v>
      </c>
      <c r="C927" s="4">
        <f t="shared" si="186"/>
        <v>2023</v>
      </c>
      <c r="D927" s="4">
        <f t="shared" si="187"/>
        <v>7</v>
      </c>
      <c r="E927" s="14">
        <v>45122</v>
      </c>
      <c r="F927" s="4">
        <f t="shared" si="188"/>
        <v>15</v>
      </c>
      <c r="G927">
        <v>282</v>
      </c>
      <c r="H927">
        <v>255</v>
      </c>
      <c r="I927" s="13">
        <f t="shared" si="189"/>
        <v>0.9</v>
      </c>
      <c r="J927">
        <f t="shared" si="182"/>
        <v>27</v>
      </c>
      <c r="K927" s="2">
        <v>2.0833333333333335E-4</v>
      </c>
      <c r="L927" s="11">
        <f t="shared" si="183"/>
        <v>76.5</v>
      </c>
      <c r="M927" s="3">
        <f t="shared" si="190"/>
        <v>0.3</v>
      </c>
      <c r="N927" s="4">
        <f t="shared" si="191"/>
        <v>18</v>
      </c>
      <c r="O927" s="2">
        <v>1.9328703703703704E-3</v>
      </c>
      <c r="P927" s="9">
        <f t="shared" si="184"/>
        <v>709.75</v>
      </c>
      <c r="Q927" s="3">
        <f t="shared" si="192"/>
        <v>2.7833333333333332</v>
      </c>
      <c r="R927" s="4">
        <f t="shared" si="193"/>
        <v>167</v>
      </c>
      <c r="S927" s="3">
        <f t="shared" si="194"/>
        <v>190</v>
      </c>
      <c r="T927" s="1">
        <v>0.74729999999999996</v>
      </c>
      <c r="U927" s="6">
        <f t="shared" si="185"/>
        <v>190.5615</v>
      </c>
    </row>
    <row r="928" spans="1:21" x14ac:dyDescent="0.35">
      <c r="A928">
        <v>927</v>
      </c>
      <c r="B928" s="5">
        <v>45123</v>
      </c>
      <c r="C928" s="4">
        <f t="shared" si="186"/>
        <v>2023</v>
      </c>
      <c r="D928" s="4">
        <f t="shared" si="187"/>
        <v>7</v>
      </c>
      <c r="E928" s="14">
        <v>45123</v>
      </c>
      <c r="F928" s="4">
        <f t="shared" si="188"/>
        <v>16</v>
      </c>
      <c r="G928">
        <v>253</v>
      </c>
      <c r="H928">
        <v>240</v>
      </c>
      <c r="I928" s="13">
        <f t="shared" si="189"/>
        <v>0.94</v>
      </c>
      <c r="J928">
        <f t="shared" si="182"/>
        <v>13</v>
      </c>
      <c r="K928" s="2">
        <v>2.0833333333333335E-4</v>
      </c>
      <c r="L928" s="11">
        <f t="shared" si="183"/>
        <v>72</v>
      </c>
      <c r="M928" s="3">
        <f t="shared" si="190"/>
        <v>0.3</v>
      </c>
      <c r="N928" s="4">
        <f t="shared" si="191"/>
        <v>18</v>
      </c>
      <c r="O928" s="2">
        <v>1.8634259259259259E-3</v>
      </c>
      <c r="P928" s="9">
        <f t="shared" si="184"/>
        <v>644</v>
      </c>
      <c r="Q928" s="3">
        <f t="shared" si="192"/>
        <v>2.6833333333333336</v>
      </c>
      <c r="R928" s="4">
        <f t="shared" si="193"/>
        <v>161</v>
      </c>
      <c r="S928" s="3">
        <f t="shared" si="194"/>
        <v>180</v>
      </c>
      <c r="T928" s="1">
        <v>0.752</v>
      </c>
      <c r="U928" s="6">
        <f t="shared" si="185"/>
        <v>180.48</v>
      </c>
    </row>
    <row r="929" spans="1:21" x14ac:dyDescent="0.35">
      <c r="A929">
        <v>928</v>
      </c>
      <c r="B929" s="5">
        <v>45124</v>
      </c>
      <c r="C929" s="4">
        <f t="shared" si="186"/>
        <v>2023</v>
      </c>
      <c r="D929" s="4">
        <f t="shared" si="187"/>
        <v>7</v>
      </c>
      <c r="E929" s="14">
        <v>45124</v>
      </c>
      <c r="F929" s="4">
        <f t="shared" si="188"/>
        <v>17</v>
      </c>
      <c r="G929">
        <v>266</v>
      </c>
      <c r="H929">
        <v>232</v>
      </c>
      <c r="I929" s="13">
        <f t="shared" si="189"/>
        <v>0.87</v>
      </c>
      <c r="J929">
        <f t="shared" si="182"/>
        <v>34</v>
      </c>
      <c r="K929" s="2">
        <v>4.2824074074074075E-4</v>
      </c>
      <c r="L929" s="11">
        <f t="shared" si="183"/>
        <v>143.06666666666666</v>
      </c>
      <c r="M929" s="3">
        <f t="shared" si="190"/>
        <v>0.6166666666666667</v>
      </c>
      <c r="N929" s="4">
        <f t="shared" si="191"/>
        <v>37</v>
      </c>
      <c r="O929" s="2">
        <v>1.9560185185185184E-3</v>
      </c>
      <c r="P929" s="9">
        <f t="shared" si="184"/>
        <v>653.46666666666658</v>
      </c>
      <c r="Q929" s="3">
        <f t="shared" si="192"/>
        <v>2.8166666666666664</v>
      </c>
      <c r="R929" s="4">
        <f t="shared" si="193"/>
        <v>169</v>
      </c>
      <c r="S929" s="3">
        <f t="shared" si="194"/>
        <v>133</v>
      </c>
      <c r="T929" s="1">
        <v>0.57589999999999997</v>
      </c>
      <c r="U929" s="6">
        <f t="shared" si="185"/>
        <v>133.6088</v>
      </c>
    </row>
    <row r="930" spans="1:21" x14ac:dyDescent="0.35">
      <c r="A930">
        <v>929</v>
      </c>
      <c r="B930" s="5">
        <v>45125</v>
      </c>
      <c r="C930" s="4">
        <f t="shared" si="186"/>
        <v>2023</v>
      </c>
      <c r="D930" s="4">
        <f t="shared" si="187"/>
        <v>7</v>
      </c>
      <c r="E930" s="14">
        <v>45125</v>
      </c>
      <c r="F930" s="4">
        <f t="shared" si="188"/>
        <v>18</v>
      </c>
      <c r="G930">
        <v>30</v>
      </c>
      <c r="H930">
        <v>29</v>
      </c>
      <c r="I930" s="13">
        <f t="shared" si="189"/>
        <v>0.96</v>
      </c>
      <c r="J930">
        <f t="shared" si="182"/>
        <v>1</v>
      </c>
      <c r="K930" s="2">
        <v>1.1574074074074075E-4</v>
      </c>
      <c r="L930" s="11">
        <f t="shared" si="183"/>
        <v>4.833333333333333</v>
      </c>
      <c r="M930" s="3">
        <f t="shared" si="190"/>
        <v>0.16666666666666666</v>
      </c>
      <c r="N930" s="4">
        <f t="shared" si="191"/>
        <v>10</v>
      </c>
      <c r="O930" s="2">
        <v>2.3263888888888887E-3</v>
      </c>
      <c r="P930" s="9">
        <f t="shared" si="184"/>
        <v>97.15</v>
      </c>
      <c r="Q930" s="3">
        <f t="shared" si="192"/>
        <v>3.35</v>
      </c>
      <c r="R930" s="4">
        <f t="shared" si="193"/>
        <v>201</v>
      </c>
      <c r="S930" s="3">
        <f t="shared" si="194"/>
        <v>26</v>
      </c>
      <c r="T930" s="1">
        <v>0.9</v>
      </c>
      <c r="U930" s="6">
        <f t="shared" si="185"/>
        <v>26.1</v>
      </c>
    </row>
    <row r="931" spans="1:21" x14ac:dyDescent="0.35">
      <c r="A931">
        <v>930</v>
      </c>
      <c r="B931" s="5">
        <v>45126</v>
      </c>
      <c r="C931" s="4">
        <f t="shared" si="186"/>
        <v>2023</v>
      </c>
      <c r="D931" s="4">
        <f t="shared" si="187"/>
        <v>7</v>
      </c>
      <c r="E931" s="14">
        <v>45126</v>
      </c>
      <c r="F931" s="4">
        <f t="shared" si="188"/>
        <v>19</v>
      </c>
      <c r="G931">
        <v>258</v>
      </c>
      <c r="H931">
        <v>230</v>
      </c>
      <c r="I931" s="13">
        <f t="shared" si="189"/>
        <v>0.89</v>
      </c>
      <c r="J931">
        <f t="shared" si="182"/>
        <v>28</v>
      </c>
      <c r="K931" s="2">
        <v>3.8194444444444446E-4</v>
      </c>
      <c r="L931" s="11">
        <f t="shared" si="183"/>
        <v>126.50000000000001</v>
      </c>
      <c r="M931" s="3">
        <f t="shared" si="190"/>
        <v>0.55000000000000004</v>
      </c>
      <c r="N931" s="4">
        <f t="shared" si="191"/>
        <v>33</v>
      </c>
      <c r="O931" s="2">
        <v>2.0949074074074073E-3</v>
      </c>
      <c r="P931" s="9">
        <f t="shared" si="184"/>
        <v>693.83333333333337</v>
      </c>
      <c r="Q931" s="3">
        <f t="shared" si="192"/>
        <v>3.0166666666666666</v>
      </c>
      <c r="R931" s="4">
        <f t="shared" si="193"/>
        <v>181</v>
      </c>
      <c r="S931" s="3">
        <f t="shared" si="194"/>
        <v>123</v>
      </c>
      <c r="T931" s="1">
        <v>0.53539999999999999</v>
      </c>
      <c r="U931" s="6">
        <f t="shared" si="185"/>
        <v>123.142</v>
      </c>
    </row>
    <row r="932" spans="1:21" x14ac:dyDescent="0.35">
      <c r="A932">
        <v>931</v>
      </c>
      <c r="B932" s="5">
        <v>45127</v>
      </c>
      <c r="C932" s="4">
        <f t="shared" si="186"/>
        <v>2023</v>
      </c>
      <c r="D932" s="4">
        <f t="shared" si="187"/>
        <v>7</v>
      </c>
      <c r="E932" s="14">
        <v>45127</v>
      </c>
      <c r="F932" s="4">
        <f t="shared" si="188"/>
        <v>20</v>
      </c>
      <c r="G932">
        <v>293</v>
      </c>
      <c r="H932">
        <v>282</v>
      </c>
      <c r="I932" s="13">
        <f t="shared" si="189"/>
        <v>0.96</v>
      </c>
      <c r="J932">
        <f t="shared" si="182"/>
        <v>11</v>
      </c>
      <c r="K932" s="2">
        <v>2.6620370370370372E-4</v>
      </c>
      <c r="L932" s="11">
        <f t="shared" si="183"/>
        <v>108.10000000000001</v>
      </c>
      <c r="M932" s="3">
        <f t="shared" si="190"/>
        <v>0.38333333333333336</v>
      </c>
      <c r="N932" s="4">
        <f t="shared" si="191"/>
        <v>23</v>
      </c>
      <c r="O932" s="2">
        <v>1.8402777777777777E-3</v>
      </c>
      <c r="P932" s="9">
        <f t="shared" si="184"/>
        <v>747.3</v>
      </c>
      <c r="Q932" s="3">
        <f t="shared" si="192"/>
        <v>2.65</v>
      </c>
      <c r="R932" s="4">
        <f t="shared" si="193"/>
        <v>159</v>
      </c>
      <c r="S932" s="3">
        <f t="shared" si="194"/>
        <v>198</v>
      </c>
      <c r="T932" s="1">
        <v>0.70240000000000002</v>
      </c>
      <c r="U932" s="6">
        <f t="shared" si="185"/>
        <v>198.07680000000002</v>
      </c>
    </row>
    <row r="933" spans="1:21" x14ac:dyDescent="0.35">
      <c r="A933">
        <v>932</v>
      </c>
      <c r="B933" s="5">
        <v>45128</v>
      </c>
      <c r="C933" s="4">
        <f t="shared" si="186"/>
        <v>2023</v>
      </c>
      <c r="D933" s="4">
        <f t="shared" si="187"/>
        <v>7</v>
      </c>
      <c r="E933" s="14">
        <v>45128</v>
      </c>
      <c r="F933" s="4">
        <f t="shared" si="188"/>
        <v>21</v>
      </c>
      <c r="G933">
        <v>377</v>
      </c>
      <c r="H933">
        <v>341</v>
      </c>
      <c r="I933" s="13">
        <f t="shared" si="189"/>
        <v>0.9</v>
      </c>
      <c r="J933">
        <f t="shared" si="182"/>
        <v>36</v>
      </c>
      <c r="K933" s="2">
        <v>2.3148148148148149E-4</v>
      </c>
      <c r="L933" s="11">
        <f t="shared" si="183"/>
        <v>113.66666666666666</v>
      </c>
      <c r="M933" s="3">
        <f t="shared" si="190"/>
        <v>0.33333333333333331</v>
      </c>
      <c r="N933" s="4">
        <f t="shared" si="191"/>
        <v>20</v>
      </c>
      <c r="O933" s="2">
        <v>1.6319444444444445E-3</v>
      </c>
      <c r="P933" s="9">
        <f t="shared" si="184"/>
        <v>801.35</v>
      </c>
      <c r="Q933" s="3">
        <f t="shared" si="192"/>
        <v>2.35</v>
      </c>
      <c r="R933" s="4">
        <f t="shared" si="193"/>
        <v>141</v>
      </c>
      <c r="S933" s="3">
        <f t="shared" si="194"/>
        <v>232</v>
      </c>
      <c r="T933" s="1">
        <v>0.68279999999999996</v>
      </c>
      <c r="U933" s="6">
        <f t="shared" si="185"/>
        <v>232.8348</v>
      </c>
    </row>
    <row r="934" spans="1:21" x14ac:dyDescent="0.35">
      <c r="A934">
        <v>933</v>
      </c>
      <c r="B934" s="5">
        <v>45129</v>
      </c>
      <c r="C934" s="4">
        <f t="shared" si="186"/>
        <v>2023</v>
      </c>
      <c r="D934" s="4">
        <f t="shared" si="187"/>
        <v>7</v>
      </c>
      <c r="E934" s="14">
        <v>45129</v>
      </c>
      <c r="F934" s="4">
        <f t="shared" si="188"/>
        <v>22</v>
      </c>
      <c r="G934">
        <v>196</v>
      </c>
      <c r="H934">
        <v>182</v>
      </c>
      <c r="I934" s="13">
        <f t="shared" si="189"/>
        <v>0.92</v>
      </c>
      <c r="J934">
        <f t="shared" si="182"/>
        <v>14</v>
      </c>
      <c r="K934" s="2">
        <v>3.2407407407407406E-4</v>
      </c>
      <c r="L934" s="11">
        <f t="shared" si="183"/>
        <v>84.933333333333337</v>
      </c>
      <c r="M934" s="3">
        <f t="shared" si="190"/>
        <v>0.46666666666666667</v>
      </c>
      <c r="N934" s="4">
        <f t="shared" si="191"/>
        <v>28</v>
      </c>
      <c r="O934" s="2">
        <v>1.8171296296296297E-3</v>
      </c>
      <c r="P934" s="9">
        <f t="shared" si="184"/>
        <v>476.23333333333335</v>
      </c>
      <c r="Q934" s="3">
        <f t="shared" si="192"/>
        <v>2.6166666666666667</v>
      </c>
      <c r="R934" s="4">
        <f t="shared" si="193"/>
        <v>157</v>
      </c>
      <c r="S934" s="3">
        <f t="shared" si="194"/>
        <v>112</v>
      </c>
      <c r="T934" s="1">
        <v>0.61860000000000004</v>
      </c>
      <c r="U934" s="6">
        <f t="shared" si="185"/>
        <v>112.5852</v>
      </c>
    </row>
    <row r="935" spans="1:21" x14ac:dyDescent="0.35">
      <c r="A935">
        <v>934</v>
      </c>
      <c r="B935" s="5">
        <v>45130</v>
      </c>
      <c r="C935" s="4">
        <f t="shared" si="186"/>
        <v>2023</v>
      </c>
      <c r="D935" s="4">
        <f t="shared" si="187"/>
        <v>7</v>
      </c>
      <c r="E935" s="14">
        <v>45130</v>
      </c>
      <c r="F935" s="4">
        <f t="shared" si="188"/>
        <v>23</v>
      </c>
      <c r="G935">
        <v>192</v>
      </c>
      <c r="H935">
        <v>173</v>
      </c>
      <c r="I935" s="13">
        <f t="shared" si="189"/>
        <v>0.9</v>
      </c>
      <c r="J935">
        <f t="shared" si="182"/>
        <v>19</v>
      </c>
      <c r="K935" s="2">
        <v>3.8194444444444446E-4</v>
      </c>
      <c r="L935" s="11">
        <f t="shared" si="183"/>
        <v>95.15</v>
      </c>
      <c r="M935" s="3">
        <f t="shared" si="190"/>
        <v>0.55000000000000004</v>
      </c>
      <c r="N935" s="4">
        <f t="shared" si="191"/>
        <v>33</v>
      </c>
      <c r="O935" s="2">
        <v>1.8981481481481482E-3</v>
      </c>
      <c r="P935" s="9">
        <f t="shared" si="184"/>
        <v>472.86666666666667</v>
      </c>
      <c r="Q935" s="3">
        <f t="shared" si="192"/>
        <v>2.7333333333333334</v>
      </c>
      <c r="R935" s="4">
        <f t="shared" si="193"/>
        <v>164</v>
      </c>
      <c r="S935" s="3">
        <f t="shared" si="194"/>
        <v>106</v>
      </c>
      <c r="T935" s="1">
        <v>0.61780000000000002</v>
      </c>
      <c r="U935" s="6">
        <f t="shared" si="185"/>
        <v>106.8794</v>
      </c>
    </row>
    <row r="936" spans="1:21" x14ac:dyDescent="0.35">
      <c r="A936">
        <v>935</v>
      </c>
      <c r="B936" s="5">
        <v>45131</v>
      </c>
      <c r="C936" s="4">
        <f t="shared" si="186"/>
        <v>2023</v>
      </c>
      <c r="D936" s="4">
        <f t="shared" si="187"/>
        <v>7</v>
      </c>
      <c r="E936" s="14">
        <v>45131</v>
      </c>
      <c r="F936" s="4">
        <f t="shared" si="188"/>
        <v>24</v>
      </c>
      <c r="G936">
        <v>185</v>
      </c>
      <c r="H936">
        <v>178</v>
      </c>
      <c r="I936" s="13">
        <f t="shared" si="189"/>
        <v>0.96</v>
      </c>
      <c r="J936">
        <f t="shared" si="182"/>
        <v>7</v>
      </c>
      <c r="K936" s="2">
        <v>1.9675925925925926E-4</v>
      </c>
      <c r="L936" s="11">
        <f t="shared" si="183"/>
        <v>50.43333333333333</v>
      </c>
      <c r="M936" s="3">
        <f t="shared" si="190"/>
        <v>0.28333333333333333</v>
      </c>
      <c r="N936" s="4">
        <f t="shared" si="191"/>
        <v>17</v>
      </c>
      <c r="O936" s="2">
        <v>1.9212962962962964E-3</v>
      </c>
      <c r="P936" s="9">
        <f t="shared" si="184"/>
        <v>492.46666666666664</v>
      </c>
      <c r="Q936" s="3">
        <f t="shared" si="192"/>
        <v>2.7666666666666666</v>
      </c>
      <c r="R936" s="4">
        <f t="shared" si="193"/>
        <v>166</v>
      </c>
      <c r="S936" s="3">
        <f t="shared" si="194"/>
        <v>138</v>
      </c>
      <c r="T936" s="1">
        <v>0.7772</v>
      </c>
      <c r="U936" s="6">
        <f t="shared" si="185"/>
        <v>138.3416</v>
      </c>
    </row>
    <row r="937" spans="1:21" x14ac:dyDescent="0.35">
      <c r="A937">
        <v>936</v>
      </c>
      <c r="B937" s="5">
        <v>45132</v>
      </c>
      <c r="C937" s="4">
        <f t="shared" si="186"/>
        <v>2023</v>
      </c>
      <c r="D937" s="4">
        <f t="shared" si="187"/>
        <v>7</v>
      </c>
      <c r="E937" s="14">
        <v>45132</v>
      </c>
      <c r="F937" s="4">
        <f t="shared" si="188"/>
        <v>25</v>
      </c>
      <c r="G937">
        <v>27</v>
      </c>
      <c r="H937">
        <v>25</v>
      </c>
      <c r="I937" s="13">
        <f t="shared" si="189"/>
        <v>0.92</v>
      </c>
      <c r="J937">
        <f t="shared" si="182"/>
        <v>2</v>
      </c>
      <c r="K937" s="2">
        <v>2.0833333333333335E-4</v>
      </c>
      <c r="L937" s="11">
        <f t="shared" si="183"/>
        <v>7.5</v>
      </c>
      <c r="M937" s="3">
        <f t="shared" si="190"/>
        <v>0.3</v>
      </c>
      <c r="N937" s="4">
        <f t="shared" si="191"/>
        <v>18</v>
      </c>
      <c r="O937" s="2">
        <v>1.4930555555555556E-3</v>
      </c>
      <c r="P937" s="9">
        <f t="shared" si="184"/>
        <v>53.75</v>
      </c>
      <c r="Q937" s="3">
        <f t="shared" si="192"/>
        <v>2.15</v>
      </c>
      <c r="R937" s="4">
        <f t="shared" si="193"/>
        <v>129</v>
      </c>
      <c r="S937" s="3">
        <f t="shared" si="194"/>
        <v>18</v>
      </c>
      <c r="T937" s="1">
        <v>0.74070000000000003</v>
      </c>
      <c r="U937" s="6">
        <f t="shared" si="185"/>
        <v>18.517500000000002</v>
      </c>
    </row>
    <row r="938" spans="1:21" x14ac:dyDescent="0.35">
      <c r="A938">
        <v>937</v>
      </c>
      <c r="B938" s="5">
        <v>45133</v>
      </c>
      <c r="C938" s="4">
        <f t="shared" si="186"/>
        <v>2023</v>
      </c>
      <c r="D938" s="4">
        <f t="shared" si="187"/>
        <v>7</v>
      </c>
      <c r="E938" s="14">
        <v>45133</v>
      </c>
      <c r="F938" s="4">
        <f t="shared" si="188"/>
        <v>26</v>
      </c>
      <c r="G938">
        <v>222</v>
      </c>
      <c r="H938">
        <v>214</v>
      </c>
      <c r="I938" s="13">
        <f t="shared" si="189"/>
        <v>0.96</v>
      </c>
      <c r="J938">
        <f t="shared" si="182"/>
        <v>8</v>
      </c>
      <c r="K938" s="2">
        <v>2.0833333333333335E-4</v>
      </c>
      <c r="L938" s="11">
        <f t="shared" si="183"/>
        <v>64.2</v>
      </c>
      <c r="M938" s="3">
        <f t="shared" si="190"/>
        <v>0.3</v>
      </c>
      <c r="N938" s="4">
        <f t="shared" si="191"/>
        <v>18</v>
      </c>
      <c r="O938" s="2">
        <v>2.0486111111111113E-3</v>
      </c>
      <c r="P938" s="9">
        <f t="shared" si="184"/>
        <v>631.30000000000007</v>
      </c>
      <c r="Q938" s="3">
        <f t="shared" si="192"/>
        <v>2.95</v>
      </c>
      <c r="R938" s="4">
        <f t="shared" si="193"/>
        <v>177</v>
      </c>
      <c r="S938" s="3">
        <f t="shared" si="194"/>
        <v>159</v>
      </c>
      <c r="T938" s="1">
        <v>0.74660000000000004</v>
      </c>
      <c r="U938" s="6">
        <f t="shared" si="185"/>
        <v>159.7724</v>
      </c>
    </row>
    <row r="939" spans="1:21" x14ac:dyDescent="0.35">
      <c r="A939">
        <v>938</v>
      </c>
      <c r="B939" s="5">
        <v>45134</v>
      </c>
      <c r="C939" s="4">
        <f t="shared" si="186"/>
        <v>2023</v>
      </c>
      <c r="D939" s="4">
        <f t="shared" si="187"/>
        <v>7</v>
      </c>
      <c r="E939" s="14">
        <v>45134</v>
      </c>
      <c r="F939" s="4">
        <f t="shared" si="188"/>
        <v>27</v>
      </c>
      <c r="G939">
        <v>217</v>
      </c>
      <c r="H939">
        <v>198</v>
      </c>
      <c r="I939" s="13">
        <f t="shared" si="189"/>
        <v>0.91</v>
      </c>
      <c r="J939">
        <f t="shared" si="182"/>
        <v>19</v>
      </c>
      <c r="K939" s="2">
        <v>1.0416666666666667E-4</v>
      </c>
      <c r="L939" s="11">
        <f t="shared" si="183"/>
        <v>29.7</v>
      </c>
      <c r="M939" s="3">
        <f t="shared" si="190"/>
        <v>0.15</v>
      </c>
      <c r="N939" s="4">
        <f t="shared" si="191"/>
        <v>9</v>
      </c>
      <c r="O939" s="2">
        <v>1.8865740740740742E-3</v>
      </c>
      <c r="P939" s="9">
        <f t="shared" si="184"/>
        <v>537.9</v>
      </c>
      <c r="Q939" s="3">
        <f t="shared" si="192"/>
        <v>2.7166666666666668</v>
      </c>
      <c r="R939" s="4">
        <f t="shared" si="193"/>
        <v>163</v>
      </c>
      <c r="S939" s="3">
        <f t="shared" si="194"/>
        <v>175</v>
      </c>
      <c r="T939" s="1">
        <v>0.88829999999999998</v>
      </c>
      <c r="U939" s="6">
        <f t="shared" si="185"/>
        <v>175.88339999999999</v>
      </c>
    </row>
    <row r="940" spans="1:21" x14ac:dyDescent="0.35">
      <c r="A940">
        <v>939</v>
      </c>
      <c r="B940" s="5">
        <v>45135</v>
      </c>
      <c r="C940" s="4">
        <f t="shared" si="186"/>
        <v>2023</v>
      </c>
      <c r="D940" s="4">
        <f t="shared" si="187"/>
        <v>7</v>
      </c>
      <c r="E940" s="14">
        <v>45135</v>
      </c>
      <c r="F940" s="4">
        <f t="shared" si="188"/>
        <v>28</v>
      </c>
      <c r="G940">
        <v>204</v>
      </c>
      <c r="H940">
        <v>197</v>
      </c>
      <c r="I940" s="13">
        <f t="shared" si="189"/>
        <v>0.96</v>
      </c>
      <c r="J940">
        <f t="shared" si="182"/>
        <v>7</v>
      </c>
      <c r="K940" s="2">
        <v>1.9675925925925926E-4</v>
      </c>
      <c r="L940" s="11">
        <f t="shared" si="183"/>
        <v>55.816666666666663</v>
      </c>
      <c r="M940" s="3">
        <f t="shared" si="190"/>
        <v>0.28333333333333333</v>
      </c>
      <c r="N940" s="4">
        <f t="shared" si="191"/>
        <v>17</v>
      </c>
      <c r="O940" s="2">
        <v>1.8518518518518519E-3</v>
      </c>
      <c r="P940" s="9">
        <f t="shared" si="184"/>
        <v>525.33333333333326</v>
      </c>
      <c r="Q940" s="3">
        <f t="shared" si="192"/>
        <v>2.6666666666666665</v>
      </c>
      <c r="R940" s="4">
        <f t="shared" si="193"/>
        <v>160</v>
      </c>
      <c r="S940" s="3">
        <f t="shared" si="194"/>
        <v>157</v>
      </c>
      <c r="T940" s="1">
        <v>0.79700000000000004</v>
      </c>
      <c r="U940" s="6">
        <f t="shared" si="185"/>
        <v>157.00900000000001</v>
      </c>
    </row>
    <row r="941" spans="1:21" x14ac:dyDescent="0.35">
      <c r="A941">
        <v>940</v>
      </c>
      <c r="B941" s="5">
        <v>45136</v>
      </c>
      <c r="C941" s="4">
        <f t="shared" si="186"/>
        <v>2023</v>
      </c>
      <c r="D941" s="4">
        <f t="shared" si="187"/>
        <v>7</v>
      </c>
      <c r="E941" s="14">
        <v>45136</v>
      </c>
      <c r="F941" s="4">
        <f t="shared" si="188"/>
        <v>29</v>
      </c>
      <c r="G941">
        <v>191</v>
      </c>
      <c r="H941">
        <v>181</v>
      </c>
      <c r="I941" s="13">
        <f t="shared" si="189"/>
        <v>0.94</v>
      </c>
      <c r="J941">
        <f t="shared" si="182"/>
        <v>10</v>
      </c>
      <c r="K941" s="2">
        <v>1.3888888888888889E-4</v>
      </c>
      <c r="L941" s="11">
        <f t="shared" si="183"/>
        <v>36.200000000000003</v>
      </c>
      <c r="M941" s="3">
        <f t="shared" si="190"/>
        <v>0.2</v>
      </c>
      <c r="N941" s="4">
        <f t="shared" si="191"/>
        <v>12</v>
      </c>
      <c r="O941" s="2">
        <v>1.9212962962962964E-3</v>
      </c>
      <c r="P941" s="9">
        <f t="shared" si="184"/>
        <v>500.76666666666665</v>
      </c>
      <c r="Q941" s="3">
        <f t="shared" si="192"/>
        <v>2.7666666666666666</v>
      </c>
      <c r="R941" s="4">
        <f t="shared" si="193"/>
        <v>166</v>
      </c>
      <c r="S941" s="3">
        <f t="shared" si="194"/>
        <v>157</v>
      </c>
      <c r="T941" s="1">
        <v>0.87229999999999996</v>
      </c>
      <c r="U941" s="6">
        <f t="shared" si="185"/>
        <v>157.88630000000001</v>
      </c>
    </row>
    <row r="942" spans="1:21" x14ac:dyDescent="0.35">
      <c r="A942">
        <v>941</v>
      </c>
      <c r="B942" s="5">
        <v>45137</v>
      </c>
      <c r="C942" s="4">
        <f t="shared" si="186"/>
        <v>2023</v>
      </c>
      <c r="D942" s="4">
        <f t="shared" si="187"/>
        <v>7</v>
      </c>
      <c r="E942" s="14">
        <v>45137</v>
      </c>
      <c r="F942" s="4">
        <f t="shared" si="188"/>
        <v>30</v>
      </c>
      <c r="G942">
        <v>176</v>
      </c>
      <c r="H942">
        <v>157</v>
      </c>
      <c r="I942" s="13">
        <f t="shared" si="189"/>
        <v>0.89</v>
      </c>
      <c r="J942">
        <f t="shared" si="182"/>
        <v>19</v>
      </c>
      <c r="K942" s="2">
        <v>1.9675925925925926E-4</v>
      </c>
      <c r="L942" s="11">
        <f t="shared" si="183"/>
        <v>44.483333333333334</v>
      </c>
      <c r="M942" s="3">
        <f t="shared" si="190"/>
        <v>0.28333333333333333</v>
      </c>
      <c r="N942" s="4">
        <f t="shared" si="191"/>
        <v>17</v>
      </c>
      <c r="O942" s="2">
        <v>1.9791666666666668E-3</v>
      </c>
      <c r="P942" s="9">
        <f t="shared" si="184"/>
        <v>447.45</v>
      </c>
      <c r="Q942" s="3">
        <f t="shared" si="192"/>
        <v>2.85</v>
      </c>
      <c r="R942" s="4">
        <f t="shared" si="193"/>
        <v>171</v>
      </c>
      <c r="S942" s="3">
        <f t="shared" si="194"/>
        <v>115</v>
      </c>
      <c r="T942" s="1">
        <v>0.73529999999999995</v>
      </c>
      <c r="U942" s="6">
        <f t="shared" si="185"/>
        <v>115.4421</v>
      </c>
    </row>
    <row r="943" spans="1:21" x14ac:dyDescent="0.35">
      <c r="A943">
        <v>942</v>
      </c>
      <c r="B943" s="5">
        <v>45138</v>
      </c>
      <c r="C943" s="4">
        <f t="shared" si="186"/>
        <v>2023</v>
      </c>
      <c r="D943" s="4">
        <f t="shared" si="187"/>
        <v>7</v>
      </c>
      <c r="E943" s="14">
        <v>45138</v>
      </c>
      <c r="F943" s="4">
        <f t="shared" si="188"/>
        <v>31</v>
      </c>
      <c r="G943">
        <v>176</v>
      </c>
      <c r="H943">
        <v>163</v>
      </c>
      <c r="I943" s="13">
        <f t="shared" si="189"/>
        <v>0.92</v>
      </c>
      <c r="J943">
        <f t="shared" si="182"/>
        <v>13</v>
      </c>
      <c r="K943" s="2">
        <v>2.7777777777777778E-4</v>
      </c>
      <c r="L943" s="11">
        <f t="shared" si="183"/>
        <v>65.2</v>
      </c>
      <c r="M943" s="3">
        <f t="shared" si="190"/>
        <v>0.4</v>
      </c>
      <c r="N943" s="4">
        <f t="shared" si="191"/>
        <v>24</v>
      </c>
      <c r="O943" s="2">
        <v>2.2106481481481482E-3</v>
      </c>
      <c r="P943" s="9">
        <f t="shared" si="184"/>
        <v>518.88333333333333</v>
      </c>
      <c r="Q943" s="3">
        <f t="shared" si="192"/>
        <v>3.1833333333333331</v>
      </c>
      <c r="R943" s="4">
        <f t="shared" si="193"/>
        <v>191</v>
      </c>
      <c r="S943" s="3">
        <f t="shared" si="194"/>
        <v>104</v>
      </c>
      <c r="T943" s="1">
        <v>0.64159999999999995</v>
      </c>
      <c r="U943" s="6">
        <f t="shared" si="185"/>
        <v>104.5808</v>
      </c>
    </row>
    <row r="944" spans="1:21" x14ac:dyDescent="0.35">
      <c r="A944">
        <v>943</v>
      </c>
      <c r="B944" s="5">
        <v>45139</v>
      </c>
      <c r="C944" s="4">
        <f t="shared" si="186"/>
        <v>2023</v>
      </c>
      <c r="D944" s="4">
        <f t="shared" si="187"/>
        <v>8</v>
      </c>
      <c r="E944" s="14">
        <v>45139</v>
      </c>
      <c r="F944" s="4">
        <f t="shared" si="188"/>
        <v>1</v>
      </c>
      <c r="G944">
        <v>26</v>
      </c>
      <c r="H944">
        <v>26</v>
      </c>
      <c r="I944" s="13">
        <f t="shared" si="189"/>
        <v>1</v>
      </c>
      <c r="J944">
        <f t="shared" si="182"/>
        <v>0</v>
      </c>
      <c r="K944" s="2">
        <v>2.7777777777777778E-4</v>
      </c>
      <c r="L944" s="11">
        <f t="shared" si="183"/>
        <v>10.4</v>
      </c>
      <c r="M944" s="3">
        <f t="shared" si="190"/>
        <v>0.4</v>
      </c>
      <c r="N944" s="4">
        <f t="shared" si="191"/>
        <v>24</v>
      </c>
      <c r="O944" s="2">
        <v>2.1180555555555558E-3</v>
      </c>
      <c r="P944" s="9">
        <f t="shared" si="184"/>
        <v>79.3</v>
      </c>
      <c r="Q944" s="3">
        <f t="shared" si="192"/>
        <v>3.05</v>
      </c>
      <c r="R944" s="4">
        <f t="shared" si="193"/>
        <v>183</v>
      </c>
      <c r="S944" s="3">
        <f t="shared" si="194"/>
        <v>17</v>
      </c>
      <c r="T944" s="1">
        <v>0.69230000000000003</v>
      </c>
      <c r="U944" s="6">
        <f t="shared" si="185"/>
        <v>17.9998</v>
      </c>
    </row>
    <row r="945" spans="1:21" x14ac:dyDescent="0.35">
      <c r="A945">
        <v>944</v>
      </c>
      <c r="B945" s="5">
        <v>45140</v>
      </c>
      <c r="C945" s="4">
        <f t="shared" si="186"/>
        <v>2023</v>
      </c>
      <c r="D945" s="4">
        <f t="shared" si="187"/>
        <v>8</v>
      </c>
      <c r="E945" s="14">
        <v>45140</v>
      </c>
      <c r="F945" s="4">
        <f t="shared" si="188"/>
        <v>2</v>
      </c>
      <c r="G945">
        <v>170</v>
      </c>
      <c r="H945">
        <v>167</v>
      </c>
      <c r="I945" s="13">
        <f t="shared" si="189"/>
        <v>0.98</v>
      </c>
      <c r="J945">
        <f t="shared" si="182"/>
        <v>3</v>
      </c>
      <c r="K945" s="2">
        <v>1.8518518518518518E-4</v>
      </c>
      <c r="L945" s="11">
        <f t="shared" si="183"/>
        <v>44.533333333333331</v>
      </c>
      <c r="M945" s="3">
        <f t="shared" si="190"/>
        <v>0.26666666666666666</v>
      </c>
      <c r="N945" s="4">
        <f t="shared" si="191"/>
        <v>16</v>
      </c>
      <c r="O945" s="2">
        <v>1.9328703703703704E-3</v>
      </c>
      <c r="P945" s="9">
        <f t="shared" si="184"/>
        <v>464.81666666666666</v>
      </c>
      <c r="Q945" s="3">
        <f t="shared" si="192"/>
        <v>2.7833333333333332</v>
      </c>
      <c r="R945" s="4">
        <f t="shared" si="193"/>
        <v>167</v>
      </c>
      <c r="S945" s="3">
        <f t="shared" si="194"/>
        <v>132</v>
      </c>
      <c r="T945" s="1">
        <v>0.79410000000000003</v>
      </c>
      <c r="U945" s="6">
        <f t="shared" si="185"/>
        <v>132.6147</v>
      </c>
    </row>
    <row r="946" spans="1:21" x14ac:dyDescent="0.35">
      <c r="A946">
        <v>945</v>
      </c>
      <c r="B946" s="5">
        <v>45141</v>
      </c>
      <c r="C946" s="4">
        <f t="shared" si="186"/>
        <v>2023</v>
      </c>
      <c r="D946" s="4">
        <f t="shared" si="187"/>
        <v>8</v>
      </c>
      <c r="E946" s="14">
        <v>45141</v>
      </c>
      <c r="F946" s="4">
        <f t="shared" si="188"/>
        <v>3</v>
      </c>
      <c r="G946">
        <v>154</v>
      </c>
      <c r="H946">
        <v>147</v>
      </c>
      <c r="I946" s="13">
        <f t="shared" si="189"/>
        <v>0.95</v>
      </c>
      <c r="J946">
        <f t="shared" si="182"/>
        <v>7</v>
      </c>
      <c r="K946" s="2">
        <v>2.4305555555555555E-4</v>
      </c>
      <c r="L946" s="11">
        <f t="shared" si="183"/>
        <v>51.449999999999996</v>
      </c>
      <c r="M946" s="3">
        <f t="shared" si="190"/>
        <v>0.35</v>
      </c>
      <c r="N946" s="4">
        <f t="shared" si="191"/>
        <v>21</v>
      </c>
      <c r="O946" s="2">
        <v>2.1064814814814813E-3</v>
      </c>
      <c r="P946" s="9">
        <f t="shared" si="184"/>
        <v>445.9</v>
      </c>
      <c r="Q946" s="3">
        <f t="shared" si="192"/>
        <v>3.0333333333333332</v>
      </c>
      <c r="R946" s="4">
        <f t="shared" si="193"/>
        <v>182</v>
      </c>
      <c r="S946" s="3">
        <f t="shared" si="194"/>
        <v>110</v>
      </c>
      <c r="T946" s="1">
        <v>0.75160000000000005</v>
      </c>
      <c r="U946" s="6">
        <f t="shared" si="185"/>
        <v>110.48520000000001</v>
      </c>
    </row>
    <row r="947" spans="1:21" x14ac:dyDescent="0.35">
      <c r="A947">
        <v>946</v>
      </c>
      <c r="B947" s="5">
        <v>45142</v>
      </c>
      <c r="C947" s="4">
        <f t="shared" si="186"/>
        <v>2023</v>
      </c>
      <c r="D947" s="4">
        <f t="shared" si="187"/>
        <v>8</v>
      </c>
      <c r="E947" s="14">
        <v>45142</v>
      </c>
      <c r="F947" s="4">
        <f t="shared" si="188"/>
        <v>4</v>
      </c>
      <c r="G947">
        <v>165</v>
      </c>
      <c r="H947">
        <v>152</v>
      </c>
      <c r="I947" s="13">
        <f t="shared" si="189"/>
        <v>0.92</v>
      </c>
      <c r="J947">
        <f t="shared" si="182"/>
        <v>13</v>
      </c>
      <c r="K947" s="2">
        <v>1.9675925925925926E-4</v>
      </c>
      <c r="L947" s="11">
        <f t="shared" si="183"/>
        <v>43.066666666666663</v>
      </c>
      <c r="M947" s="3">
        <f t="shared" si="190"/>
        <v>0.28333333333333333</v>
      </c>
      <c r="N947" s="4">
        <f t="shared" si="191"/>
        <v>17</v>
      </c>
      <c r="O947" s="2">
        <v>2.0601851851851853E-3</v>
      </c>
      <c r="P947" s="9">
        <f t="shared" si="184"/>
        <v>450.93333333333334</v>
      </c>
      <c r="Q947" s="3">
        <f t="shared" si="192"/>
        <v>2.9666666666666668</v>
      </c>
      <c r="R947" s="4">
        <f t="shared" si="193"/>
        <v>178</v>
      </c>
      <c r="S947" s="3">
        <f t="shared" si="194"/>
        <v>122</v>
      </c>
      <c r="T947" s="1">
        <v>0.8075</v>
      </c>
      <c r="U947" s="6">
        <f t="shared" si="185"/>
        <v>122.74</v>
      </c>
    </row>
    <row r="948" spans="1:21" x14ac:dyDescent="0.35">
      <c r="A948">
        <v>947</v>
      </c>
      <c r="B948" s="5">
        <v>45143</v>
      </c>
      <c r="C948" s="4">
        <f t="shared" si="186"/>
        <v>2023</v>
      </c>
      <c r="D948" s="4">
        <f t="shared" si="187"/>
        <v>8</v>
      </c>
      <c r="E948" s="14">
        <v>45143</v>
      </c>
      <c r="F948" s="4">
        <f t="shared" si="188"/>
        <v>5</v>
      </c>
      <c r="G948">
        <v>153</v>
      </c>
      <c r="H948">
        <v>143</v>
      </c>
      <c r="I948" s="13">
        <f t="shared" si="189"/>
        <v>0.93</v>
      </c>
      <c r="J948">
        <f t="shared" si="182"/>
        <v>10</v>
      </c>
      <c r="K948" s="2">
        <v>2.199074074074074E-4</v>
      </c>
      <c r="L948" s="11">
        <f t="shared" si="183"/>
        <v>45.283333333333331</v>
      </c>
      <c r="M948" s="3">
        <f t="shared" si="190"/>
        <v>0.31666666666666665</v>
      </c>
      <c r="N948" s="4">
        <f t="shared" si="191"/>
        <v>19</v>
      </c>
      <c r="O948" s="2">
        <v>2.1412037037037038E-3</v>
      </c>
      <c r="P948" s="9">
        <f t="shared" si="184"/>
        <v>440.91666666666669</v>
      </c>
      <c r="Q948" s="3">
        <f t="shared" si="192"/>
        <v>3.0833333333333335</v>
      </c>
      <c r="R948" s="4">
        <f t="shared" si="193"/>
        <v>185</v>
      </c>
      <c r="S948" s="3">
        <f t="shared" si="194"/>
        <v>111</v>
      </c>
      <c r="T948" s="1">
        <v>0.77629999999999999</v>
      </c>
      <c r="U948" s="6">
        <f t="shared" si="185"/>
        <v>111.01089999999999</v>
      </c>
    </row>
    <row r="949" spans="1:21" x14ac:dyDescent="0.35">
      <c r="A949">
        <v>948</v>
      </c>
      <c r="B949" s="5">
        <v>45144</v>
      </c>
      <c r="C949" s="4">
        <f t="shared" si="186"/>
        <v>2023</v>
      </c>
      <c r="D949" s="4">
        <f t="shared" si="187"/>
        <v>8</v>
      </c>
      <c r="E949" s="14">
        <v>45144</v>
      </c>
      <c r="F949" s="4">
        <f t="shared" si="188"/>
        <v>6</v>
      </c>
      <c r="G949">
        <v>175</v>
      </c>
      <c r="H949">
        <v>169</v>
      </c>
      <c r="I949" s="13">
        <f t="shared" si="189"/>
        <v>0.96</v>
      </c>
      <c r="J949">
        <f t="shared" si="182"/>
        <v>6</v>
      </c>
      <c r="K949" s="2">
        <v>1.273148148148148E-4</v>
      </c>
      <c r="L949" s="11">
        <f t="shared" si="183"/>
        <v>30.983333333333331</v>
      </c>
      <c r="M949" s="3">
        <f t="shared" si="190"/>
        <v>0.18333333333333332</v>
      </c>
      <c r="N949" s="4">
        <f t="shared" si="191"/>
        <v>11</v>
      </c>
      <c r="O949" s="2">
        <v>1.5856481481481481E-3</v>
      </c>
      <c r="P949" s="9">
        <f t="shared" si="184"/>
        <v>385.88333333333333</v>
      </c>
      <c r="Q949" s="3">
        <f t="shared" si="192"/>
        <v>2.2833333333333332</v>
      </c>
      <c r="R949" s="4">
        <f t="shared" si="193"/>
        <v>137</v>
      </c>
      <c r="S949" s="3">
        <f t="shared" si="194"/>
        <v>144</v>
      </c>
      <c r="T949" s="1">
        <v>0.85629999999999995</v>
      </c>
      <c r="U949" s="6">
        <f t="shared" si="185"/>
        <v>144.71469999999999</v>
      </c>
    </row>
    <row r="950" spans="1:21" x14ac:dyDescent="0.35">
      <c r="A950">
        <v>949</v>
      </c>
      <c r="B950" s="5">
        <v>45145</v>
      </c>
      <c r="C950" s="4">
        <f t="shared" si="186"/>
        <v>2023</v>
      </c>
      <c r="D950" s="4">
        <f t="shared" si="187"/>
        <v>8</v>
      </c>
      <c r="E950" s="14">
        <v>45145</v>
      </c>
      <c r="F950" s="4">
        <f t="shared" si="188"/>
        <v>7</v>
      </c>
      <c r="G950">
        <v>241</v>
      </c>
      <c r="H950">
        <v>214</v>
      </c>
      <c r="I950" s="13">
        <f t="shared" si="189"/>
        <v>0.88</v>
      </c>
      <c r="J950">
        <f t="shared" si="182"/>
        <v>27</v>
      </c>
      <c r="K950" s="2">
        <v>3.3564814814814812E-4</v>
      </c>
      <c r="L950" s="11">
        <f t="shared" si="183"/>
        <v>103.43333333333334</v>
      </c>
      <c r="M950" s="3">
        <f t="shared" si="190"/>
        <v>0.48333333333333334</v>
      </c>
      <c r="N950" s="4">
        <f t="shared" si="191"/>
        <v>29</v>
      </c>
      <c r="O950" s="2">
        <v>2.0833333333333333E-3</v>
      </c>
      <c r="P950" s="9">
        <f t="shared" si="184"/>
        <v>642</v>
      </c>
      <c r="Q950" s="3">
        <f t="shared" si="192"/>
        <v>3</v>
      </c>
      <c r="R950" s="4">
        <f t="shared" si="193"/>
        <v>180</v>
      </c>
      <c r="S950" s="3">
        <f t="shared" si="194"/>
        <v>141</v>
      </c>
      <c r="T950" s="1">
        <v>0.6623</v>
      </c>
      <c r="U950" s="6">
        <f t="shared" si="185"/>
        <v>141.73220000000001</v>
      </c>
    </row>
    <row r="951" spans="1:21" x14ac:dyDescent="0.35">
      <c r="A951">
        <v>950</v>
      </c>
      <c r="B951" s="5">
        <v>45146</v>
      </c>
      <c r="C951" s="4">
        <f t="shared" si="186"/>
        <v>2023</v>
      </c>
      <c r="D951" s="4">
        <f t="shared" si="187"/>
        <v>8</v>
      </c>
      <c r="E951" s="14">
        <v>45146</v>
      </c>
      <c r="F951" s="4">
        <f t="shared" si="188"/>
        <v>8</v>
      </c>
      <c r="G951">
        <v>14</v>
      </c>
      <c r="H951">
        <v>14</v>
      </c>
      <c r="I951" s="13">
        <f t="shared" si="189"/>
        <v>1</v>
      </c>
      <c r="J951">
        <f t="shared" si="182"/>
        <v>0</v>
      </c>
      <c r="K951" s="2">
        <v>1.8518518518518518E-4</v>
      </c>
      <c r="L951" s="11">
        <f t="shared" si="183"/>
        <v>3.7333333333333334</v>
      </c>
      <c r="M951" s="3">
        <f t="shared" si="190"/>
        <v>0.26666666666666666</v>
      </c>
      <c r="N951" s="4">
        <f t="shared" si="191"/>
        <v>16</v>
      </c>
      <c r="O951" s="2">
        <v>1.9212962962962964E-3</v>
      </c>
      <c r="P951" s="9">
        <f t="shared" si="184"/>
        <v>38.733333333333334</v>
      </c>
      <c r="Q951" s="3">
        <f t="shared" si="192"/>
        <v>2.7666666666666666</v>
      </c>
      <c r="R951" s="4">
        <f t="shared" si="193"/>
        <v>166</v>
      </c>
      <c r="S951" s="3">
        <f t="shared" si="194"/>
        <v>11</v>
      </c>
      <c r="T951" s="1">
        <v>0.85709999999999997</v>
      </c>
      <c r="U951" s="6">
        <f t="shared" si="185"/>
        <v>11.9994</v>
      </c>
    </row>
    <row r="952" spans="1:21" x14ac:dyDescent="0.35">
      <c r="A952">
        <v>951</v>
      </c>
      <c r="B952" s="5">
        <v>45147</v>
      </c>
      <c r="C952" s="4">
        <f t="shared" si="186"/>
        <v>2023</v>
      </c>
      <c r="D952" s="4">
        <f t="shared" si="187"/>
        <v>8</v>
      </c>
      <c r="E952" s="14">
        <v>45147</v>
      </c>
      <c r="F952" s="4">
        <f t="shared" si="188"/>
        <v>9</v>
      </c>
      <c r="G952">
        <v>57</v>
      </c>
      <c r="H952">
        <v>55</v>
      </c>
      <c r="I952" s="13">
        <f t="shared" si="189"/>
        <v>0.96</v>
      </c>
      <c r="J952">
        <f t="shared" si="182"/>
        <v>2</v>
      </c>
      <c r="K952" s="2">
        <v>1.3888888888888889E-4</v>
      </c>
      <c r="L952" s="11">
        <f t="shared" si="183"/>
        <v>11</v>
      </c>
      <c r="M952" s="3">
        <f t="shared" si="190"/>
        <v>0.2</v>
      </c>
      <c r="N952" s="4">
        <f t="shared" si="191"/>
        <v>12</v>
      </c>
      <c r="O952" s="2">
        <v>1.7939814814814815E-3</v>
      </c>
      <c r="P952" s="9">
        <f t="shared" si="184"/>
        <v>142.08333333333334</v>
      </c>
      <c r="Q952" s="3">
        <f t="shared" si="192"/>
        <v>2.5833333333333335</v>
      </c>
      <c r="R952" s="4">
        <f t="shared" si="193"/>
        <v>155</v>
      </c>
      <c r="S952" s="3">
        <f t="shared" si="194"/>
        <v>47</v>
      </c>
      <c r="T952" s="1">
        <v>0.85960000000000003</v>
      </c>
      <c r="U952" s="6">
        <f t="shared" si="185"/>
        <v>47.277999999999999</v>
      </c>
    </row>
    <row r="953" spans="1:21" x14ac:dyDescent="0.35">
      <c r="A953">
        <v>952</v>
      </c>
      <c r="B953" s="5">
        <v>45148</v>
      </c>
      <c r="C953" s="4">
        <f t="shared" si="186"/>
        <v>2023</v>
      </c>
      <c r="D953" s="4">
        <f t="shared" si="187"/>
        <v>8</v>
      </c>
      <c r="E953" s="14">
        <v>45148</v>
      </c>
      <c r="F953" s="4">
        <f t="shared" si="188"/>
        <v>10</v>
      </c>
      <c r="G953">
        <v>954</v>
      </c>
      <c r="H953">
        <v>644</v>
      </c>
      <c r="I953" s="13">
        <f t="shared" si="189"/>
        <v>0.67</v>
      </c>
      <c r="J953">
        <f t="shared" si="182"/>
        <v>310</v>
      </c>
      <c r="K953" s="2">
        <v>8.564814814814815E-4</v>
      </c>
      <c r="L953" s="11">
        <f t="shared" si="183"/>
        <v>794.26666666666665</v>
      </c>
      <c r="M953" s="3">
        <f t="shared" si="190"/>
        <v>1.2333333333333334</v>
      </c>
      <c r="N953" s="4">
        <f t="shared" si="191"/>
        <v>74</v>
      </c>
      <c r="O953" s="2">
        <v>1.4467592592592592E-3</v>
      </c>
      <c r="P953" s="9">
        <f t="shared" si="184"/>
        <v>1341.6666666666667</v>
      </c>
      <c r="Q953" s="3">
        <f t="shared" si="192"/>
        <v>2.0833333333333335</v>
      </c>
      <c r="R953" s="4">
        <f t="shared" si="193"/>
        <v>125.00000000000001</v>
      </c>
      <c r="S953" s="3">
        <f t="shared" si="194"/>
        <v>169</v>
      </c>
      <c r="T953" s="1">
        <v>0.26329999999999998</v>
      </c>
      <c r="U953" s="6">
        <f t="shared" si="185"/>
        <v>169.56519999999998</v>
      </c>
    </row>
    <row r="954" spans="1:21" x14ac:dyDescent="0.35">
      <c r="A954">
        <v>953</v>
      </c>
      <c r="B954" s="5">
        <v>45149</v>
      </c>
      <c r="C954" s="4">
        <f t="shared" si="186"/>
        <v>2023</v>
      </c>
      <c r="D954" s="4">
        <f t="shared" si="187"/>
        <v>8</v>
      </c>
      <c r="E954" s="14">
        <v>45149</v>
      </c>
      <c r="F954" s="4">
        <f t="shared" si="188"/>
        <v>11</v>
      </c>
      <c r="G954">
        <v>374</v>
      </c>
      <c r="H954">
        <v>344</v>
      </c>
      <c r="I954" s="13">
        <f t="shared" si="189"/>
        <v>0.91</v>
      </c>
      <c r="J954">
        <f t="shared" si="182"/>
        <v>30</v>
      </c>
      <c r="K954" s="2">
        <v>3.2407407407407406E-4</v>
      </c>
      <c r="L954" s="11">
        <f t="shared" si="183"/>
        <v>160.53333333333333</v>
      </c>
      <c r="M954" s="3">
        <f t="shared" si="190"/>
        <v>0.46666666666666667</v>
      </c>
      <c r="N954" s="4">
        <f t="shared" si="191"/>
        <v>28</v>
      </c>
      <c r="O954" s="2">
        <v>2.1180555555555558E-3</v>
      </c>
      <c r="P954" s="9">
        <f t="shared" si="184"/>
        <v>1049.2</v>
      </c>
      <c r="Q954" s="3">
        <f t="shared" si="192"/>
        <v>3.05</v>
      </c>
      <c r="R954" s="4">
        <f t="shared" si="193"/>
        <v>183</v>
      </c>
      <c r="S954" s="3">
        <f t="shared" si="194"/>
        <v>212</v>
      </c>
      <c r="T954" s="1">
        <v>0.61850000000000005</v>
      </c>
      <c r="U954" s="6">
        <f t="shared" si="185"/>
        <v>212.76400000000001</v>
      </c>
    </row>
    <row r="955" spans="1:21" x14ac:dyDescent="0.35">
      <c r="A955">
        <v>954</v>
      </c>
      <c r="B955" s="5">
        <v>45150</v>
      </c>
      <c r="C955" s="4">
        <f t="shared" si="186"/>
        <v>2023</v>
      </c>
      <c r="D955" s="4">
        <f t="shared" si="187"/>
        <v>8</v>
      </c>
      <c r="E955" s="14">
        <v>45150</v>
      </c>
      <c r="F955" s="4">
        <f t="shared" si="188"/>
        <v>12</v>
      </c>
      <c r="G955">
        <v>265</v>
      </c>
      <c r="H955">
        <v>245</v>
      </c>
      <c r="I955" s="13">
        <f t="shared" si="189"/>
        <v>0.92</v>
      </c>
      <c r="J955">
        <f t="shared" si="182"/>
        <v>20</v>
      </c>
      <c r="K955" s="2">
        <v>3.5879629629629629E-4</v>
      </c>
      <c r="L955" s="11">
        <f t="shared" si="183"/>
        <v>126.58333333333334</v>
      </c>
      <c r="M955" s="3">
        <f t="shared" si="190"/>
        <v>0.51666666666666672</v>
      </c>
      <c r="N955" s="4">
        <f t="shared" si="191"/>
        <v>31.000000000000004</v>
      </c>
      <c r="O955" s="2">
        <v>2.1412037037037038E-3</v>
      </c>
      <c r="P955" s="9">
        <f t="shared" si="184"/>
        <v>755.41666666666674</v>
      </c>
      <c r="Q955" s="3">
        <f t="shared" si="192"/>
        <v>3.0833333333333335</v>
      </c>
      <c r="R955" s="4">
        <f t="shared" si="193"/>
        <v>185</v>
      </c>
      <c r="S955" s="3">
        <f t="shared" si="194"/>
        <v>138</v>
      </c>
      <c r="T955" s="1">
        <v>0.56699999999999995</v>
      </c>
      <c r="U955" s="6">
        <f t="shared" si="185"/>
        <v>138.91499999999999</v>
      </c>
    </row>
    <row r="956" spans="1:21" x14ac:dyDescent="0.35">
      <c r="A956">
        <v>955</v>
      </c>
      <c r="B956" s="5">
        <v>45151</v>
      </c>
      <c r="C956" s="4">
        <f t="shared" si="186"/>
        <v>2023</v>
      </c>
      <c r="D956" s="4">
        <f t="shared" si="187"/>
        <v>8</v>
      </c>
      <c r="E956" s="14">
        <v>45151</v>
      </c>
      <c r="F956" s="4">
        <f t="shared" si="188"/>
        <v>13</v>
      </c>
      <c r="G956">
        <v>222</v>
      </c>
      <c r="H956">
        <v>205</v>
      </c>
      <c r="I956" s="13">
        <f t="shared" si="189"/>
        <v>0.92</v>
      </c>
      <c r="J956">
        <f t="shared" si="182"/>
        <v>17</v>
      </c>
      <c r="K956" s="2">
        <v>2.3148148148148149E-4</v>
      </c>
      <c r="L956" s="11">
        <f t="shared" si="183"/>
        <v>68.333333333333329</v>
      </c>
      <c r="M956" s="3">
        <f t="shared" si="190"/>
        <v>0.33333333333333331</v>
      </c>
      <c r="N956" s="4">
        <f t="shared" si="191"/>
        <v>20</v>
      </c>
      <c r="O956" s="2">
        <v>2.2222222222222222E-3</v>
      </c>
      <c r="P956" s="9">
        <f t="shared" si="184"/>
        <v>656</v>
      </c>
      <c r="Q956" s="3">
        <f t="shared" si="192"/>
        <v>3.2</v>
      </c>
      <c r="R956" s="4">
        <f t="shared" si="193"/>
        <v>192</v>
      </c>
      <c r="S956" s="3">
        <f t="shared" si="194"/>
        <v>149</v>
      </c>
      <c r="T956" s="1">
        <v>0.72689999999999999</v>
      </c>
      <c r="U956" s="6">
        <f t="shared" si="185"/>
        <v>149.0145</v>
      </c>
    </row>
    <row r="957" spans="1:21" x14ac:dyDescent="0.35">
      <c r="A957">
        <v>956</v>
      </c>
      <c r="B957" s="5">
        <v>45152</v>
      </c>
      <c r="C957" s="4">
        <f t="shared" si="186"/>
        <v>2023</v>
      </c>
      <c r="D957" s="4">
        <f t="shared" si="187"/>
        <v>8</v>
      </c>
      <c r="E957" s="14">
        <v>45152</v>
      </c>
      <c r="F957" s="4">
        <f t="shared" si="188"/>
        <v>14</v>
      </c>
      <c r="G957">
        <v>203</v>
      </c>
      <c r="H957">
        <v>192</v>
      </c>
      <c r="I957" s="13">
        <f t="shared" si="189"/>
        <v>0.94</v>
      </c>
      <c r="J957">
        <f t="shared" si="182"/>
        <v>11</v>
      </c>
      <c r="K957" s="2">
        <v>3.1250000000000001E-4</v>
      </c>
      <c r="L957" s="11">
        <f t="shared" si="183"/>
        <v>86.4</v>
      </c>
      <c r="M957" s="3">
        <f t="shared" si="190"/>
        <v>0.45</v>
      </c>
      <c r="N957" s="4">
        <f t="shared" si="191"/>
        <v>27</v>
      </c>
      <c r="O957" s="2">
        <v>2.1296296296296298E-3</v>
      </c>
      <c r="P957" s="9">
        <f t="shared" si="184"/>
        <v>588.80000000000007</v>
      </c>
      <c r="Q957" s="3">
        <f t="shared" si="192"/>
        <v>3.0666666666666669</v>
      </c>
      <c r="R957" s="4">
        <f t="shared" si="193"/>
        <v>184</v>
      </c>
      <c r="S957" s="3">
        <f t="shared" si="194"/>
        <v>131</v>
      </c>
      <c r="T957" s="1">
        <v>0.68659999999999999</v>
      </c>
      <c r="U957" s="6">
        <f t="shared" si="185"/>
        <v>131.8272</v>
      </c>
    </row>
    <row r="958" spans="1:21" x14ac:dyDescent="0.35">
      <c r="A958">
        <v>957</v>
      </c>
      <c r="B958" s="5">
        <v>45153</v>
      </c>
      <c r="C958" s="4">
        <f t="shared" si="186"/>
        <v>2023</v>
      </c>
      <c r="D958" s="4">
        <f t="shared" si="187"/>
        <v>8</v>
      </c>
      <c r="E958" s="14">
        <v>45153</v>
      </c>
      <c r="F958" s="4">
        <f t="shared" si="188"/>
        <v>15</v>
      </c>
      <c r="G958">
        <v>33</v>
      </c>
      <c r="H958">
        <v>31</v>
      </c>
      <c r="I958" s="13">
        <f t="shared" si="189"/>
        <v>0.93</v>
      </c>
      <c r="J958">
        <f t="shared" si="182"/>
        <v>2</v>
      </c>
      <c r="K958" s="2">
        <v>3.3564814814814812E-4</v>
      </c>
      <c r="L958" s="11">
        <f t="shared" si="183"/>
        <v>14.983333333333334</v>
      </c>
      <c r="M958" s="3">
        <f t="shared" si="190"/>
        <v>0.48333333333333334</v>
      </c>
      <c r="N958" s="4">
        <f t="shared" si="191"/>
        <v>29</v>
      </c>
      <c r="O958" s="2">
        <v>1.5625000000000001E-3</v>
      </c>
      <c r="P958" s="9">
        <f t="shared" si="184"/>
        <v>69.75</v>
      </c>
      <c r="Q958" s="3">
        <f t="shared" si="192"/>
        <v>2.25</v>
      </c>
      <c r="R958" s="4">
        <f t="shared" si="193"/>
        <v>135</v>
      </c>
      <c r="S958" s="3">
        <f t="shared" si="194"/>
        <v>24</v>
      </c>
      <c r="T958" s="1">
        <v>0.78129999999999999</v>
      </c>
      <c r="U958" s="6">
        <f t="shared" si="185"/>
        <v>24.220299999999998</v>
      </c>
    </row>
    <row r="959" spans="1:21" x14ac:dyDescent="0.35">
      <c r="A959">
        <v>958</v>
      </c>
      <c r="B959" s="5">
        <v>45154</v>
      </c>
      <c r="C959" s="4">
        <f t="shared" si="186"/>
        <v>2023</v>
      </c>
      <c r="D959" s="4">
        <f t="shared" si="187"/>
        <v>8</v>
      </c>
      <c r="E959" s="14">
        <v>45154</v>
      </c>
      <c r="F959" s="4">
        <f t="shared" si="188"/>
        <v>16</v>
      </c>
      <c r="G959">
        <v>220</v>
      </c>
      <c r="H959">
        <v>195</v>
      </c>
      <c r="I959" s="13">
        <f t="shared" si="189"/>
        <v>0.88</v>
      </c>
      <c r="J959">
        <f t="shared" si="182"/>
        <v>25</v>
      </c>
      <c r="K959" s="2">
        <v>3.2407407407407406E-4</v>
      </c>
      <c r="L959" s="11">
        <f t="shared" si="183"/>
        <v>91</v>
      </c>
      <c r="M959" s="3">
        <f t="shared" si="190"/>
        <v>0.46666666666666667</v>
      </c>
      <c r="N959" s="4">
        <f t="shared" si="191"/>
        <v>28</v>
      </c>
      <c r="O959" s="2">
        <v>1.9097222222222222E-3</v>
      </c>
      <c r="P959" s="9">
        <f t="shared" si="184"/>
        <v>536.25</v>
      </c>
      <c r="Q959" s="3">
        <f t="shared" si="192"/>
        <v>2.75</v>
      </c>
      <c r="R959" s="4">
        <f t="shared" si="193"/>
        <v>165</v>
      </c>
      <c r="S959" s="3">
        <f t="shared" si="194"/>
        <v>116</v>
      </c>
      <c r="T959" s="1">
        <v>0.59619999999999995</v>
      </c>
      <c r="U959" s="6">
        <f t="shared" si="185"/>
        <v>116.25899999999999</v>
      </c>
    </row>
    <row r="960" spans="1:21" x14ac:dyDescent="0.35">
      <c r="A960">
        <v>959</v>
      </c>
      <c r="B960" s="5">
        <v>45155</v>
      </c>
      <c r="C960" s="4">
        <f t="shared" si="186"/>
        <v>2023</v>
      </c>
      <c r="D960" s="4">
        <f t="shared" si="187"/>
        <v>8</v>
      </c>
      <c r="E960" s="14">
        <v>45155</v>
      </c>
      <c r="F960" s="4">
        <f t="shared" si="188"/>
        <v>17</v>
      </c>
      <c r="G960">
        <v>185</v>
      </c>
      <c r="H960">
        <v>177</v>
      </c>
      <c r="I960" s="13">
        <f t="shared" si="189"/>
        <v>0.95</v>
      </c>
      <c r="J960">
        <f t="shared" si="182"/>
        <v>8</v>
      </c>
      <c r="K960" s="2">
        <v>1.8518518518518518E-4</v>
      </c>
      <c r="L960" s="11">
        <f t="shared" si="183"/>
        <v>47.2</v>
      </c>
      <c r="M960" s="3">
        <f t="shared" si="190"/>
        <v>0.26666666666666666</v>
      </c>
      <c r="N960" s="4">
        <f t="shared" si="191"/>
        <v>16</v>
      </c>
      <c r="O960" s="2">
        <v>1.7708333333333332E-3</v>
      </c>
      <c r="P960" s="9">
        <f t="shared" si="184"/>
        <v>451.34999999999997</v>
      </c>
      <c r="Q960" s="3">
        <f t="shared" si="192"/>
        <v>2.5499999999999998</v>
      </c>
      <c r="R960" s="4">
        <f t="shared" si="193"/>
        <v>153</v>
      </c>
      <c r="S960" s="3">
        <f t="shared" si="194"/>
        <v>141</v>
      </c>
      <c r="T960" s="1">
        <v>0.80110000000000003</v>
      </c>
      <c r="U960" s="6">
        <f t="shared" si="185"/>
        <v>141.79470000000001</v>
      </c>
    </row>
    <row r="961" spans="1:21" x14ac:dyDescent="0.35">
      <c r="A961">
        <v>960</v>
      </c>
      <c r="B961" s="5">
        <v>45156</v>
      </c>
      <c r="C961" s="4">
        <f t="shared" si="186"/>
        <v>2023</v>
      </c>
      <c r="D961" s="4">
        <f t="shared" si="187"/>
        <v>8</v>
      </c>
      <c r="E961" s="14">
        <v>45156</v>
      </c>
      <c r="F961" s="4">
        <f t="shared" si="188"/>
        <v>18</v>
      </c>
      <c r="G961">
        <v>203</v>
      </c>
      <c r="H961">
        <v>172</v>
      </c>
      <c r="I961" s="13">
        <f t="shared" si="189"/>
        <v>0.84</v>
      </c>
      <c r="J961">
        <f t="shared" si="182"/>
        <v>31</v>
      </c>
      <c r="K961" s="2">
        <v>3.9351851851851852E-4</v>
      </c>
      <c r="L961" s="11">
        <f t="shared" si="183"/>
        <v>97.466666666666669</v>
      </c>
      <c r="M961" s="3">
        <f t="shared" si="190"/>
        <v>0.56666666666666665</v>
      </c>
      <c r="N961" s="4">
        <f t="shared" si="191"/>
        <v>34</v>
      </c>
      <c r="O961" s="2">
        <v>2.0023148148148148E-3</v>
      </c>
      <c r="P961" s="9">
        <f t="shared" si="184"/>
        <v>495.93333333333334</v>
      </c>
      <c r="Q961" s="3">
        <f t="shared" si="192"/>
        <v>2.8833333333333333</v>
      </c>
      <c r="R961" s="4">
        <f t="shared" si="193"/>
        <v>173</v>
      </c>
      <c r="S961" s="3">
        <f t="shared" si="194"/>
        <v>90</v>
      </c>
      <c r="T961" s="1">
        <v>0.52790000000000004</v>
      </c>
      <c r="U961" s="6">
        <f t="shared" si="185"/>
        <v>90.7988</v>
      </c>
    </row>
    <row r="962" spans="1:21" x14ac:dyDescent="0.35">
      <c r="A962">
        <v>961</v>
      </c>
      <c r="B962" s="5">
        <v>45157</v>
      </c>
      <c r="C962" s="4">
        <f t="shared" si="186"/>
        <v>2023</v>
      </c>
      <c r="D962" s="4">
        <f t="shared" si="187"/>
        <v>8</v>
      </c>
      <c r="E962" s="14">
        <v>45157</v>
      </c>
      <c r="F962" s="4">
        <f t="shared" si="188"/>
        <v>19</v>
      </c>
      <c r="G962">
        <v>218</v>
      </c>
      <c r="H962">
        <v>193</v>
      </c>
      <c r="I962" s="13">
        <f t="shared" si="189"/>
        <v>0.88</v>
      </c>
      <c r="J962">
        <f t="shared" ref="J962:J1025" si="195">G962-H962</f>
        <v>25</v>
      </c>
      <c r="K962" s="2">
        <v>3.9351851851851852E-4</v>
      </c>
      <c r="L962" s="11">
        <f t="shared" ref="L962:L1025" si="196">H962*M962</f>
        <v>109.36666666666666</v>
      </c>
      <c r="M962" s="3">
        <f t="shared" si="190"/>
        <v>0.56666666666666665</v>
      </c>
      <c r="N962" s="4">
        <f t="shared" si="191"/>
        <v>34</v>
      </c>
      <c r="O962" s="2">
        <v>2.0601851851851853E-3</v>
      </c>
      <c r="P962" s="9">
        <f t="shared" ref="P962:P1025" si="197">Q962*H962</f>
        <v>572.56666666666672</v>
      </c>
      <c r="Q962" s="3">
        <f t="shared" si="192"/>
        <v>2.9666666666666668</v>
      </c>
      <c r="R962" s="4">
        <f t="shared" si="193"/>
        <v>178</v>
      </c>
      <c r="S962" s="3">
        <f t="shared" si="194"/>
        <v>119</v>
      </c>
      <c r="T962" s="1">
        <v>0.61970000000000003</v>
      </c>
      <c r="U962" s="6">
        <f t="shared" ref="U962:U1025" si="198">T962*H962</f>
        <v>119.60210000000001</v>
      </c>
    </row>
    <row r="963" spans="1:21" x14ac:dyDescent="0.35">
      <c r="A963">
        <v>962</v>
      </c>
      <c r="B963" s="5">
        <v>45158</v>
      </c>
      <c r="C963" s="4">
        <f t="shared" ref="C963:C1026" si="199">YEAR(B963)</f>
        <v>2023</v>
      </c>
      <c r="D963" s="4">
        <f t="shared" ref="D963:D1026" si="200">MONTH(B963)</f>
        <v>8</v>
      </c>
      <c r="E963" s="14">
        <v>45158</v>
      </c>
      <c r="F963" s="4">
        <f t="shared" ref="F963:F1026" si="201">DAY(B963)</f>
        <v>20</v>
      </c>
      <c r="G963">
        <v>204</v>
      </c>
      <c r="H963">
        <v>194</v>
      </c>
      <c r="I963" s="13">
        <f t="shared" ref="I963:I1026" si="202">TRUNC(H963/G963,2)</f>
        <v>0.95</v>
      </c>
      <c r="J963">
        <f t="shared" si="195"/>
        <v>10</v>
      </c>
      <c r="K963" s="2">
        <v>1.8518518518518518E-4</v>
      </c>
      <c r="L963" s="11">
        <f t="shared" si="196"/>
        <v>51.733333333333334</v>
      </c>
      <c r="M963" s="3">
        <f t="shared" ref="M963:M1026" si="203">MINUTE(K963)+SECOND(K963)/60</f>
        <v>0.26666666666666666</v>
      </c>
      <c r="N963" s="4">
        <f t="shared" ref="N963:N1026" si="204">M963*60</f>
        <v>16</v>
      </c>
      <c r="O963" s="2">
        <v>1.9907407407407408E-3</v>
      </c>
      <c r="P963" s="9">
        <f t="shared" si="197"/>
        <v>556.13333333333333</v>
      </c>
      <c r="Q963" s="3">
        <f t="shared" ref="Q963:Q1026" si="205">MINUTE(O963)+SECOND(O963)/60</f>
        <v>2.8666666666666667</v>
      </c>
      <c r="R963" s="4">
        <f t="shared" ref="R963:R1026" si="206">Q963*60</f>
        <v>172</v>
      </c>
      <c r="S963" s="3">
        <f t="shared" ref="S963:S1026" si="207">TRUNC(U963,0)</f>
        <v>157</v>
      </c>
      <c r="T963" s="1">
        <v>0.81310000000000004</v>
      </c>
      <c r="U963" s="6">
        <f t="shared" si="198"/>
        <v>157.7414</v>
      </c>
    </row>
    <row r="964" spans="1:21" x14ac:dyDescent="0.35">
      <c r="A964">
        <v>963</v>
      </c>
      <c r="B964" s="5">
        <v>45159</v>
      </c>
      <c r="C964" s="4">
        <f t="shared" si="199"/>
        <v>2023</v>
      </c>
      <c r="D964" s="4">
        <f t="shared" si="200"/>
        <v>8</v>
      </c>
      <c r="E964" s="14">
        <v>45159</v>
      </c>
      <c r="F964" s="4">
        <f t="shared" si="201"/>
        <v>21</v>
      </c>
      <c r="G964">
        <v>242</v>
      </c>
      <c r="H964">
        <v>211</v>
      </c>
      <c r="I964" s="13">
        <f t="shared" si="202"/>
        <v>0.87</v>
      </c>
      <c r="J964">
        <f t="shared" si="195"/>
        <v>31</v>
      </c>
      <c r="K964" s="2">
        <v>5.0925925925925921E-4</v>
      </c>
      <c r="L964" s="11">
        <f t="shared" si="196"/>
        <v>154.73333333333332</v>
      </c>
      <c r="M964" s="3">
        <f t="shared" si="203"/>
        <v>0.73333333333333328</v>
      </c>
      <c r="N964" s="4">
        <f t="shared" si="204"/>
        <v>44</v>
      </c>
      <c r="O964" s="2">
        <v>2.0486111111111113E-3</v>
      </c>
      <c r="P964" s="9">
        <f t="shared" si="197"/>
        <v>622.45000000000005</v>
      </c>
      <c r="Q964" s="3">
        <f t="shared" si="205"/>
        <v>2.95</v>
      </c>
      <c r="R964" s="4">
        <f t="shared" si="206"/>
        <v>177</v>
      </c>
      <c r="S964" s="3">
        <f t="shared" si="207"/>
        <v>100</v>
      </c>
      <c r="T964" s="1">
        <v>0.47699999999999998</v>
      </c>
      <c r="U964" s="6">
        <f t="shared" si="198"/>
        <v>100.64699999999999</v>
      </c>
    </row>
    <row r="965" spans="1:21" x14ac:dyDescent="0.35">
      <c r="A965">
        <v>964</v>
      </c>
      <c r="B965" s="5">
        <v>45160</v>
      </c>
      <c r="C965" s="4">
        <f t="shared" si="199"/>
        <v>2023</v>
      </c>
      <c r="D965" s="4">
        <f t="shared" si="200"/>
        <v>8</v>
      </c>
      <c r="E965" s="14">
        <v>45160</v>
      </c>
      <c r="F965" s="4">
        <f t="shared" si="201"/>
        <v>22</v>
      </c>
      <c r="G965">
        <v>29</v>
      </c>
      <c r="H965">
        <v>29</v>
      </c>
      <c r="I965" s="13">
        <f t="shared" si="202"/>
        <v>1</v>
      </c>
      <c r="J965">
        <f t="shared" si="195"/>
        <v>0</v>
      </c>
      <c r="K965" s="2">
        <v>9.2592592592592588E-5</v>
      </c>
      <c r="L965" s="11">
        <f t="shared" si="196"/>
        <v>3.8666666666666667</v>
      </c>
      <c r="M965" s="3">
        <f t="shared" si="203"/>
        <v>0.13333333333333333</v>
      </c>
      <c r="N965" s="4">
        <f t="shared" si="204"/>
        <v>8</v>
      </c>
      <c r="O965" s="2">
        <v>1.8518518518518519E-3</v>
      </c>
      <c r="P965" s="9">
        <f t="shared" si="197"/>
        <v>77.333333333333329</v>
      </c>
      <c r="Q965" s="3">
        <f t="shared" si="205"/>
        <v>2.6666666666666665</v>
      </c>
      <c r="R965" s="4">
        <f t="shared" si="206"/>
        <v>160</v>
      </c>
      <c r="S965" s="3">
        <f t="shared" si="207"/>
        <v>26</v>
      </c>
      <c r="T965" s="1">
        <v>0.89659999999999995</v>
      </c>
      <c r="U965" s="6">
        <f t="shared" si="198"/>
        <v>26.0014</v>
      </c>
    </row>
    <row r="966" spans="1:21" x14ac:dyDescent="0.35">
      <c r="A966">
        <v>965</v>
      </c>
      <c r="B966" s="5">
        <v>45161</v>
      </c>
      <c r="C966" s="4">
        <f t="shared" si="199"/>
        <v>2023</v>
      </c>
      <c r="D966" s="4">
        <f t="shared" si="200"/>
        <v>8</v>
      </c>
      <c r="E966" s="14">
        <v>45161</v>
      </c>
      <c r="F966" s="4">
        <f t="shared" si="201"/>
        <v>23</v>
      </c>
      <c r="G966">
        <v>171</v>
      </c>
      <c r="H966">
        <v>163</v>
      </c>
      <c r="I966" s="13">
        <f t="shared" si="202"/>
        <v>0.95</v>
      </c>
      <c r="J966">
        <f t="shared" si="195"/>
        <v>8</v>
      </c>
      <c r="K966" s="2">
        <v>2.7777777777777778E-4</v>
      </c>
      <c r="L966" s="11">
        <f t="shared" si="196"/>
        <v>65.2</v>
      </c>
      <c r="M966" s="3">
        <f t="shared" si="203"/>
        <v>0.4</v>
      </c>
      <c r="N966" s="4">
        <f t="shared" si="204"/>
        <v>24</v>
      </c>
      <c r="O966" s="2">
        <v>2.0601851851851853E-3</v>
      </c>
      <c r="P966" s="9">
        <f t="shared" si="197"/>
        <v>483.56666666666666</v>
      </c>
      <c r="Q966" s="3">
        <f t="shared" si="205"/>
        <v>2.9666666666666668</v>
      </c>
      <c r="R966" s="4">
        <f t="shared" si="206"/>
        <v>178</v>
      </c>
      <c r="S966" s="3">
        <f t="shared" si="207"/>
        <v>112</v>
      </c>
      <c r="T966" s="1">
        <v>0.69230000000000003</v>
      </c>
      <c r="U966" s="6">
        <f t="shared" si="198"/>
        <v>112.84490000000001</v>
      </c>
    </row>
    <row r="967" spans="1:21" x14ac:dyDescent="0.35">
      <c r="A967">
        <v>966</v>
      </c>
      <c r="B967" s="5">
        <v>45162</v>
      </c>
      <c r="C967" s="4">
        <f t="shared" si="199"/>
        <v>2023</v>
      </c>
      <c r="D967" s="4">
        <f t="shared" si="200"/>
        <v>8</v>
      </c>
      <c r="E967" s="14">
        <v>45162</v>
      </c>
      <c r="F967" s="4">
        <f t="shared" si="201"/>
        <v>24</v>
      </c>
      <c r="G967">
        <v>190</v>
      </c>
      <c r="H967">
        <v>166</v>
      </c>
      <c r="I967" s="13">
        <f t="shared" si="202"/>
        <v>0.87</v>
      </c>
      <c r="J967">
        <f t="shared" si="195"/>
        <v>24</v>
      </c>
      <c r="K967" s="2">
        <v>5.3240740740740744E-4</v>
      </c>
      <c r="L967" s="11">
        <f t="shared" si="196"/>
        <v>127.26666666666668</v>
      </c>
      <c r="M967" s="3">
        <f t="shared" si="203"/>
        <v>0.76666666666666672</v>
      </c>
      <c r="N967" s="4">
        <f t="shared" si="204"/>
        <v>46</v>
      </c>
      <c r="O967" s="2">
        <v>2.0717592592592593E-3</v>
      </c>
      <c r="P967" s="9">
        <f t="shared" si="197"/>
        <v>495.23333333333335</v>
      </c>
      <c r="Q967" s="3">
        <f t="shared" si="205"/>
        <v>2.9833333333333334</v>
      </c>
      <c r="R967" s="4">
        <f t="shared" si="206"/>
        <v>179</v>
      </c>
      <c r="S967" s="3">
        <f t="shared" si="207"/>
        <v>70</v>
      </c>
      <c r="T967" s="1">
        <v>0.42249999999999999</v>
      </c>
      <c r="U967" s="6">
        <f t="shared" si="198"/>
        <v>70.134999999999991</v>
      </c>
    </row>
    <row r="968" spans="1:21" x14ac:dyDescent="0.35">
      <c r="A968">
        <v>967</v>
      </c>
      <c r="B968" s="5">
        <v>45163</v>
      </c>
      <c r="C968" s="4">
        <f t="shared" si="199"/>
        <v>2023</v>
      </c>
      <c r="D968" s="4">
        <f t="shared" si="200"/>
        <v>8</v>
      </c>
      <c r="E968" s="14">
        <v>45163</v>
      </c>
      <c r="F968" s="4">
        <f t="shared" si="201"/>
        <v>25</v>
      </c>
      <c r="G968">
        <v>221</v>
      </c>
      <c r="H968">
        <v>196</v>
      </c>
      <c r="I968" s="13">
        <f t="shared" si="202"/>
        <v>0.88</v>
      </c>
      <c r="J968">
        <f t="shared" si="195"/>
        <v>25</v>
      </c>
      <c r="K968" s="2">
        <v>3.8194444444444446E-4</v>
      </c>
      <c r="L968" s="11">
        <f t="shared" si="196"/>
        <v>107.80000000000001</v>
      </c>
      <c r="M968" s="3">
        <f t="shared" si="203"/>
        <v>0.55000000000000004</v>
      </c>
      <c r="N968" s="4">
        <f t="shared" si="204"/>
        <v>33</v>
      </c>
      <c r="O968" s="2">
        <v>2.0486111111111113E-3</v>
      </c>
      <c r="P968" s="9">
        <f t="shared" si="197"/>
        <v>578.20000000000005</v>
      </c>
      <c r="Q968" s="3">
        <f t="shared" si="205"/>
        <v>2.95</v>
      </c>
      <c r="R968" s="4">
        <f t="shared" si="206"/>
        <v>177</v>
      </c>
      <c r="S968" s="3">
        <f t="shared" si="207"/>
        <v>105</v>
      </c>
      <c r="T968" s="1">
        <v>0.53669999999999995</v>
      </c>
      <c r="U968" s="6">
        <f t="shared" si="198"/>
        <v>105.19319999999999</v>
      </c>
    </row>
    <row r="969" spans="1:21" x14ac:dyDescent="0.35">
      <c r="A969">
        <v>968</v>
      </c>
      <c r="B969" s="5">
        <v>45164</v>
      </c>
      <c r="C969" s="4">
        <f t="shared" si="199"/>
        <v>2023</v>
      </c>
      <c r="D969" s="4">
        <f t="shared" si="200"/>
        <v>8</v>
      </c>
      <c r="E969" s="14">
        <v>45164</v>
      </c>
      <c r="F969" s="4">
        <f t="shared" si="201"/>
        <v>26</v>
      </c>
      <c r="G969">
        <v>297</v>
      </c>
      <c r="H969">
        <v>241</v>
      </c>
      <c r="I969" s="13">
        <f t="shared" si="202"/>
        <v>0.81</v>
      </c>
      <c r="J969">
        <f t="shared" si="195"/>
        <v>56</v>
      </c>
      <c r="K969" s="2">
        <v>5.6712962962962967E-4</v>
      </c>
      <c r="L969" s="11">
        <f t="shared" si="196"/>
        <v>196.81666666666666</v>
      </c>
      <c r="M969" s="3">
        <f t="shared" si="203"/>
        <v>0.81666666666666665</v>
      </c>
      <c r="N969" s="4">
        <f t="shared" si="204"/>
        <v>49</v>
      </c>
      <c r="O969" s="2">
        <v>2.2106481481481482E-3</v>
      </c>
      <c r="P969" s="9">
        <f t="shared" si="197"/>
        <v>767.18333333333328</v>
      </c>
      <c r="Q969" s="3">
        <f t="shared" si="205"/>
        <v>3.1833333333333331</v>
      </c>
      <c r="R969" s="4">
        <f t="shared" si="206"/>
        <v>191</v>
      </c>
      <c r="S969" s="3">
        <f t="shared" si="207"/>
        <v>108</v>
      </c>
      <c r="T969" s="1">
        <v>0.44829999999999998</v>
      </c>
      <c r="U969" s="6">
        <f t="shared" si="198"/>
        <v>108.04029999999999</v>
      </c>
    </row>
    <row r="970" spans="1:21" x14ac:dyDescent="0.35">
      <c r="A970">
        <v>969</v>
      </c>
      <c r="B970" s="5">
        <v>45165</v>
      </c>
      <c r="C970" s="4">
        <f t="shared" si="199"/>
        <v>2023</v>
      </c>
      <c r="D970" s="4">
        <f t="shared" si="200"/>
        <v>8</v>
      </c>
      <c r="E970" s="14">
        <v>45165</v>
      </c>
      <c r="F970" s="4">
        <f t="shared" si="201"/>
        <v>27</v>
      </c>
      <c r="G970">
        <v>233</v>
      </c>
      <c r="H970">
        <v>214</v>
      </c>
      <c r="I970" s="13">
        <f t="shared" si="202"/>
        <v>0.91</v>
      </c>
      <c r="J970">
        <f t="shared" si="195"/>
        <v>19</v>
      </c>
      <c r="K970" s="2">
        <v>3.0092592592592595E-4</v>
      </c>
      <c r="L970" s="11">
        <f t="shared" si="196"/>
        <v>92.733333333333334</v>
      </c>
      <c r="M970" s="3">
        <f t="shared" si="203"/>
        <v>0.43333333333333335</v>
      </c>
      <c r="N970" s="4">
        <f t="shared" si="204"/>
        <v>26</v>
      </c>
      <c r="O970" s="2">
        <v>1.9560185185185184E-3</v>
      </c>
      <c r="P970" s="9">
        <f t="shared" si="197"/>
        <v>602.76666666666665</v>
      </c>
      <c r="Q970" s="3">
        <f t="shared" si="205"/>
        <v>2.8166666666666664</v>
      </c>
      <c r="R970" s="4">
        <f t="shared" si="206"/>
        <v>169</v>
      </c>
      <c r="S970" s="3">
        <f t="shared" si="207"/>
        <v>133</v>
      </c>
      <c r="T970" s="1">
        <v>0.625</v>
      </c>
      <c r="U970" s="6">
        <f t="shared" si="198"/>
        <v>133.75</v>
      </c>
    </row>
    <row r="971" spans="1:21" x14ac:dyDescent="0.35">
      <c r="A971">
        <v>970</v>
      </c>
      <c r="B971" s="5">
        <v>45166</v>
      </c>
      <c r="C971" s="4">
        <f t="shared" si="199"/>
        <v>2023</v>
      </c>
      <c r="D971" s="4">
        <f t="shared" si="200"/>
        <v>8</v>
      </c>
      <c r="E971" s="14">
        <v>45166</v>
      </c>
      <c r="F971" s="4">
        <f t="shared" si="201"/>
        <v>28</v>
      </c>
      <c r="G971">
        <v>198</v>
      </c>
      <c r="H971">
        <v>191</v>
      </c>
      <c r="I971" s="13">
        <f t="shared" si="202"/>
        <v>0.96</v>
      </c>
      <c r="J971">
        <f t="shared" si="195"/>
        <v>7</v>
      </c>
      <c r="K971" s="2">
        <v>1.6203703703703703E-4</v>
      </c>
      <c r="L971" s="11">
        <f t="shared" si="196"/>
        <v>44.56666666666667</v>
      </c>
      <c r="M971" s="3">
        <f t="shared" si="203"/>
        <v>0.23333333333333334</v>
      </c>
      <c r="N971" s="4">
        <f t="shared" si="204"/>
        <v>14</v>
      </c>
      <c r="O971" s="2">
        <v>2.0949074074074073E-3</v>
      </c>
      <c r="P971" s="9">
        <f t="shared" si="197"/>
        <v>576.18333333333328</v>
      </c>
      <c r="Q971" s="3">
        <f t="shared" si="205"/>
        <v>3.0166666666666666</v>
      </c>
      <c r="R971" s="4">
        <f t="shared" si="206"/>
        <v>181</v>
      </c>
      <c r="S971" s="3">
        <f t="shared" si="207"/>
        <v>158</v>
      </c>
      <c r="T971" s="1">
        <v>0.82740000000000002</v>
      </c>
      <c r="U971" s="6">
        <f t="shared" si="198"/>
        <v>158.0334</v>
      </c>
    </row>
    <row r="972" spans="1:21" x14ac:dyDescent="0.35">
      <c r="A972">
        <v>971</v>
      </c>
      <c r="B972" s="5">
        <v>45167</v>
      </c>
      <c r="C972" s="4">
        <f t="shared" si="199"/>
        <v>2023</v>
      </c>
      <c r="D972" s="4">
        <f t="shared" si="200"/>
        <v>8</v>
      </c>
      <c r="E972" s="14">
        <v>45167</v>
      </c>
      <c r="F972" s="4">
        <f t="shared" si="201"/>
        <v>29</v>
      </c>
      <c r="G972">
        <v>15</v>
      </c>
      <c r="H972">
        <v>15</v>
      </c>
      <c r="I972" s="13">
        <f t="shared" si="202"/>
        <v>1</v>
      </c>
      <c r="J972">
        <f t="shared" si="195"/>
        <v>0</v>
      </c>
      <c r="K972" s="2">
        <v>4.6296296296296294E-5</v>
      </c>
      <c r="L972" s="11">
        <f t="shared" si="196"/>
        <v>1</v>
      </c>
      <c r="M972" s="3">
        <f t="shared" si="203"/>
        <v>6.6666666666666666E-2</v>
      </c>
      <c r="N972" s="4">
        <f t="shared" si="204"/>
        <v>4</v>
      </c>
      <c r="O972" s="2">
        <v>2.3032407407407407E-3</v>
      </c>
      <c r="P972" s="9">
        <f t="shared" si="197"/>
        <v>49.75</v>
      </c>
      <c r="Q972" s="3">
        <f t="shared" si="205"/>
        <v>3.3166666666666664</v>
      </c>
      <c r="R972" s="4">
        <f t="shared" si="206"/>
        <v>199</v>
      </c>
      <c r="S972" s="3">
        <f t="shared" si="207"/>
        <v>15</v>
      </c>
      <c r="T972" s="1">
        <v>1</v>
      </c>
      <c r="U972" s="6">
        <f t="shared" si="198"/>
        <v>15</v>
      </c>
    </row>
    <row r="973" spans="1:21" x14ac:dyDescent="0.35">
      <c r="A973">
        <v>972</v>
      </c>
      <c r="B973" s="5">
        <v>45168</v>
      </c>
      <c r="C973" s="4">
        <f t="shared" si="199"/>
        <v>2023</v>
      </c>
      <c r="D973" s="4">
        <f t="shared" si="200"/>
        <v>8</v>
      </c>
      <c r="E973" s="14">
        <v>45168</v>
      </c>
      <c r="F973" s="4">
        <f t="shared" si="201"/>
        <v>30</v>
      </c>
      <c r="G973">
        <v>27</v>
      </c>
      <c r="H973">
        <v>25</v>
      </c>
      <c r="I973" s="13">
        <f t="shared" si="202"/>
        <v>0.92</v>
      </c>
      <c r="J973">
        <f t="shared" si="195"/>
        <v>2</v>
      </c>
      <c r="K973" s="2">
        <v>9.2592592592592588E-5</v>
      </c>
      <c r="L973" s="11">
        <f t="shared" si="196"/>
        <v>3.3333333333333335</v>
      </c>
      <c r="M973" s="3">
        <f t="shared" si="203"/>
        <v>0.13333333333333333</v>
      </c>
      <c r="N973" s="4">
        <f t="shared" si="204"/>
        <v>8</v>
      </c>
      <c r="O973" s="2">
        <v>1.7824074074074075E-3</v>
      </c>
      <c r="P973" s="9">
        <f t="shared" si="197"/>
        <v>64.166666666666657</v>
      </c>
      <c r="Q973" s="3">
        <f t="shared" si="205"/>
        <v>2.5666666666666664</v>
      </c>
      <c r="R973" s="4">
        <f t="shared" si="206"/>
        <v>154</v>
      </c>
      <c r="S973" s="3">
        <f t="shared" si="207"/>
        <v>22</v>
      </c>
      <c r="T973" s="1">
        <v>0.88890000000000002</v>
      </c>
      <c r="U973" s="6">
        <f t="shared" si="198"/>
        <v>22.2225</v>
      </c>
    </row>
    <row r="974" spans="1:21" x14ac:dyDescent="0.35">
      <c r="A974">
        <v>973</v>
      </c>
      <c r="B974" s="5">
        <v>45169</v>
      </c>
      <c r="C974" s="4">
        <f t="shared" si="199"/>
        <v>2023</v>
      </c>
      <c r="D974" s="4">
        <f t="shared" si="200"/>
        <v>8</v>
      </c>
      <c r="E974" s="14">
        <v>45169</v>
      </c>
      <c r="F974" s="4">
        <f t="shared" si="201"/>
        <v>31</v>
      </c>
      <c r="G974">
        <v>7</v>
      </c>
      <c r="H974">
        <v>6</v>
      </c>
      <c r="I974" s="13">
        <f t="shared" si="202"/>
        <v>0.85</v>
      </c>
      <c r="J974">
        <f t="shared" si="195"/>
        <v>1</v>
      </c>
      <c r="K974" s="2">
        <v>3.4722222222222222E-5</v>
      </c>
      <c r="L974" s="11">
        <f t="shared" si="196"/>
        <v>0.30000000000000004</v>
      </c>
      <c r="M974" s="3">
        <f t="shared" si="203"/>
        <v>0.05</v>
      </c>
      <c r="N974" s="4">
        <f t="shared" si="204"/>
        <v>3</v>
      </c>
      <c r="O974" s="2">
        <v>3.3333333333333335E-3</v>
      </c>
      <c r="P974" s="9">
        <f t="shared" si="197"/>
        <v>28.799999999999997</v>
      </c>
      <c r="Q974" s="3">
        <f t="shared" si="205"/>
        <v>4.8</v>
      </c>
      <c r="R974" s="4">
        <f t="shared" si="206"/>
        <v>288</v>
      </c>
      <c r="S974" s="3">
        <f t="shared" si="207"/>
        <v>5</v>
      </c>
      <c r="T974" s="1">
        <v>0.85709999999999997</v>
      </c>
      <c r="U974" s="6">
        <f t="shared" si="198"/>
        <v>5.1425999999999998</v>
      </c>
    </row>
    <row r="975" spans="1:21" x14ac:dyDescent="0.35">
      <c r="A975">
        <v>974</v>
      </c>
      <c r="B975" s="5">
        <v>45170</v>
      </c>
      <c r="C975" s="4">
        <f t="shared" si="199"/>
        <v>2023</v>
      </c>
      <c r="D975" s="4">
        <f t="shared" si="200"/>
        <v>9</v>
      </c>
      <c r="E975" s="14">
        <v>45170</v>
      </c>
      <c r="F975" s="4">
        <f t="shared" si="201"/>
        <v>1</v>
      </c>
      <c r="G975">
        <v>169</v>
      </c>
      <c r="H975">
        <v>144</v>
      </c>
      <c r="I975" s="13">
        <f t="shared" si="202"/>
        <v>0.85</v>
      </c>
      <c r="J975">
        <f t="shared" si="195"/>
        <v>25</v>
      </c>
      <c r="K975" s="2">
        <v>3.8194444444444446E-4</v>
      </c>
      <c r="L975" s="11">
        <f t="shared" si="196"/>
        <v>79.2</v>
      </c>
      <c r="M975" s="3">
        <f t="shared" si="203"/>
        <v>0.55000000000000004</v>
      </c>
      <c r="N975" s="4">
        <f t="shared" si="204"/>
        <v>33</v>
      </c>
      <c r="O975" s="2">
        <v>1.8055555555555555E-3</v>
      </c>
      <c r="P975" s="9">
        <f t="shared" si="197"/>
        <v>374.40000000000003</v>
      </c>
      <c r="Q975" s="3">
        <f t="shared" si="205"/>
        <v>2.6</v>
      </c>
      <c r="R975" s="4">
        <f t="shared" si="206"/>
        <v>156</v>
      </c>
      <c r="S975" s="3">
        <f t="shared" si="207"/>
        <v>81</v>
      </c>
      <c r="T975" s="1">
        <v>0.56359999999999999</v>
      </c>
      <c r="U975" s="6">
        <f t="shared" si="198"/>
        <v>81.1584</v>
      </c>
    </row>
    <row r="976" spans="1:21" x14ac:dyDescent="0.35">
      <c r="A976">
        <v>975</v>
      </c>
      <c r="B976" s="5">
        <v>45171</v>
      </c>
      <c r="C976" s="4">
        <f t="shared" si="199"/>
        <v>2023</v>
      </c>
      <c r="D976" s="4">
        <f t="shared" si="200"/>
        <v>9</v>
      </c>
      <c r="E976" s="14">
        <v>45171</v>
      </c>
      <c r="F976" s="4">
        <f t="shared" si="201"/>
        <v>2</v>
      </c>
      <c r="G976">
        <v>224</v>
      </c>
      <c r="H976">
        <v>206</v>
      </c>
      <c r="I976" s="13">
        <f t="shared" si="202"/>
        <v>0.91</v>
      </c>
      <c r="J976">
        <f t="shared" si="195"/>
        <v>18</v>
      </c>
      <c r="K976" s="2">
        <v>2.3148148148148149E-4</v>
      </c>
      <c r="L976" s="11">
        <f t="shared" si="196"/>
        <v>68.666666666666657</v>
      </c>
      <c r="M976" s="3">
        <f t="shared" si="203"/>
        <v>0.33333333333333331</v>
      </c>
      <c r="N976" s="4">
        <f t="shared" si="204"/>
        <v>20</v>
      </c>
      <c r="O976" s="2">
        <v>1.7939814814814815E-3</v>
      </c>
      <c r="P976" s="9">
        <f t="shared" si="197"/>
        <v>532.16666666666674</v>
      </c>
      <c r="Q976" s="3">
        <f t="shared" si="205"/>
        <v>2.5833333333333335</v>
      </c>
      <c r="R976" s="4">
        <f t="shared" si="206"/>
        <v>155</v>
      </c>
      <c r="S976" s="3">
        <f t="shared" si="207"/>
        <v>145</v>
      </c>
      <c r="T976" s="1">
        <v>0.70720000000000005</v>
      </c>
      <c r="U976" s="6">
        <f t="shared" si="198"/>
        <v>145.6832</v>
      </c>
    </row>
    <row r="977" spans="1:21" x14ac:dyDescent="0.35">
      <c r="A977">
        <v>976</v>
      </c>
      <c r="B977" s="5">
        <v>45172</v>
      </c>
      <c r="C977" s="4">
        <f t="shared" si="199"/>
        <v>2023</v>
      </c>
      <c r="D977" s="4">
        <f t="shared" si="200"/>
        <v>9</v>
      </c>
      <c r="E977" s="14">
        <v>45172</v>
      </c>
      <c r="F977" s="4">
        <f t="shared" si="201"/>
        <v>3</v>
      </c>
      <c r="G977">
        <v>170</v>
      </c>
      <c r="H977">
        <v>160</v>
      </c>
      <c r="I977" s="13">
        <f t="shared" si="202"/>
        <v>0.94</v>
      </c>
      <c r="J977">
        <f t="shared" si="195"/>
        <v>10</v>
      </c>
      <c r="K977" s="2">
        <v>3.2407407407407406E-4</v>
      </c>
      <c r="L977" s="11">
        <f t="shared" si="196"/>
        <v>74.666666666666671</v>
      </c>
      <c r="M977" s="3">
        <f t="shared" si="203"/>
        <v>0.46666666666666667</v>
      </c>
      <c r="N977" s="4">
        <f t="shared" si="204"/>
        <v>28</v>
      </c>
      <c r="O977" s="2">
        <v>2.0949074074074073E-3</v>
      </c>
      <c r="P977" s="9">
        <f t="shared" si="197"/>
        <v>482.66666666666663</v>
      </c>
      <c r="Q977" s="3">
        <f t="shared" si="205"/>
        <v>3.0166666666666666</v>
      </c>
      <c r="R977" s="4">
        <f t="shared" si="206"/>
        <v>181</v>
      </c>
      <c r="S977" s="3">
        <f t="shared" si="207"/>
        <v>99</v>
      </c>
      <c r="T977" s="1">
        <v>0.62350000000000005</v>
      </c>
      <c r="U977" s="6">
        <f t="shared" si="198"/>
        <v>99.76</v>
      </c>
    </row>
    <row r="978" spans="1:21" x14ac:dyDescent="0.35">
      <c r="A978">
        <v>977</v>
      </c>
      <c r="B978" s="5">
        <v>45173</v>
      </c>
      <c r="C978" s="4">
        <f t="shared" si="199"/>
        <v>2023</v>
      </c>
      <c r="D978" s="4">
        <f t="shared" si="200"/>
        <v>9</v>
      </c>
      <c r="E978" s="14">
        <v>45173</v>
      </c>
      <c r="F978" s="4">
        <f t="shared" si="201"/>
        <v>4</v>
      </c>
      <c r="G978">
        <v>161</v>
      </c>
      <c r="H978">
        <v>149</v>
      </c>
      <c r="I978" s="13">
        <f t="shared" si="202"/>
        <v>0.92</v>
      </c>
      <c r="J978">
        <f t="shared" si="195"/>
        <v>12</v>
      </c>
      <c r="K978" s="2">
        <v>2.7777777777777778E-4</v>
      </c>
      <c r="L978" s="11">
        <f t="shared" si="196"/>
        <v>59.6</v>
      </c>
      <c r="M978" s="3">
        <f t="shared" si="203"/>
        <v>0.4</v>
      </c>
      <c r="N978" s="4">
        <f t="shared" si="204"/>
        <v>24</v>
      </c>
      <c r="O978" s="2">
        <v>2.1759259259259258E-3</v>
      </c>
      <c r="P978" s="9">
        <f t="shared" si="197"/>
        <v>466.86666666666667</v>
      </c>
      <c r="Q978" s="3">
        <f t="shared" si="205"/>
        <v>3.1333333333333333</v>
      </c>
      <c r="R978" s="4">
        <f t="shared" si="206"/>
        <v>188</v>
      </c>
      <c r="S978" s="3">
        <f t="shared" si="207"/>
        <v>101</v>
      </c>
      <c r="T978" s="1">
        <v>0.68130000000000002</v>
      </c>
      <c r="U978" s="6">
        <f t="shared" si="198"/>
        <v>101.5137</v>
      </c>
    </row>
    <row r="979" spans="1:21" x14ac:dyDescent="0.35">
      <c r="A979">
        <v>978</v>
      </c>
      <c r="B979" s="5">
        <v>45174</v>
      </c>
      <c r="C979" s="4">
        <f t="shared" si="199"/>
        <v>2023</v>
      </c>
      <c r="D979" s="4">
        <f t="shared" si="200"/>
        <v>9</v>
      </c>
      <c r="E979" s="14">
        <v>45174</v>
      </c>
      <c r="F979" s="4">
        <f t="shared" si="201"/>
        <v>5</v>
      </c>
      <c r="G979">
        <v>37</v>
      </c>
      <c r="H979">
        <v>35</v>
      </c>
      <c r="I979" s="13">
        <f t="shared" si="202"/>
        <v>0.94</v>
      </c>
      <c r="J979">
        <f t="shared" si="195"/>
        <v>2</v>
      </c>
      <c r="K979" s="2">
        <v>1.3888888888888889E-4</v>
      </c>
      <c r="L979" s="11">
        <f t="shared" si="196"/>
        <v>7</v>
      </c>
      <c r="M979" s="3">
        <f t="shared" si="203"/>
        <v>0.2</v>
      </c>
      <c r="N979" s="4">
        <f t="shared" si="204"/>
        <v>12</v>
      </c>
      <c r="O979" s="2">
        <v>1.9444444444444444E-3</v>
      </c>
      <c r="P979" s="9">
        <f t="shared" si="197"/>
        <v>98</v>
      </c>
      <c r="Q979" s="3">
        <f t="shared" si="205"/>
        <v>2.8</v>
      </c>
      <c r="R979" s="4">
        <f t="shared" si="206"/>
        <v>168</v>
      </c>
      <c r="S979" s="3">
        <f t="shared" si="207"/>
        <v>28</v>
      </c>
      <c r="T979" s="1">
        <v>0.80559999999999998</v>
      </c>
      <c r="U979" s="6">
        <f t="shared" si="198"/>
        <v>28.195999999999998</v>
      </c>
    </row>
    <row r="980" spans="1:21" x14ac:dyDescent="0.35">
      <c r="A980">
        <v>979</v>
      </c>
      <c r="B980" s="5">
        <v>45175</v>
      </c>
      <c r="C980" s="4">
        <f t="shared" si="199"/>
        <v>2023</v>
      </c>
      <c r="D980" s="4">
        <f t="shared" si="200"/>
        <v>9</v>
      </c>
      <c r="E980" s="14">
        <v>45175</v>
      </c>
      <c r="F980" s="4">
        <f t="shared" si="201"/>
        <v>6</v>
      </c>
      <c r="G980">
        <v>183</v>
      </c>
      <c r="H980">
        <v>169</v>
      </c>
      <c r="I980" s="13">
        <f t="shared" si="202"/>
        <v>0.92</v>
      </c>
      <c r="J980">
        <f t="shared" si="195"/>
        <v>14</v>
      </c>
      <c r="K980" s="2">
        <v>3.7037037037037035E-4</v>
      </c>
      <c r="L980" s="11">
        <f t="shared" si="196"/>
        <v>90.133333333333326</v>
      </c>
      <c r="M980" s="3">
        <f t="shared" si="203"/>
        <v>0.53333333333333333</v>
      </c>
      <c r="N980" s="4">
        <f t="shared" si="204"/>
        <v>32</v>
      </c>
      <c r="O980" s="2">
        <v>2.0601851851851853E-3</v>
      </c>
      <c r="P980" s="9">
        <f t="shared" si="197"/>
        <v>501.36666666666667</v>
      </c>
      <c r="Q980" s="3">
        <f t="shared" si="205"/>
        <v>2.9666666666666668</v>
      </c>
      <c r="R980" s="4">
        <f t="shared" si="206"/>
        <v>178</v>
      </c>
      <c r="S980" s="3">
        <f t="shared" si="207"/>
        <v>101</v>
      </c>
      <c r="T980" s="1">
        <v>0.59889999999999999</v>
      </c>
      <c r="U980" s="6">
        <f t="shared" si="198"/>
        <v>101.2141</v>
      </c>
    </row>
    <row r="981" spans="1:21" x14ac:dyDescent="0.35">
      <c r="A981">
        <v>980</v>
      </c>
      <c r="B981" s="5">
        <v>45176</v>
      </c>
      <c r="C981" s="4">
        <f t="shared" si="199"/>
        <v>2023</v>
      </c>
      <c r="D981" s="4">
        <f t="shared" si="200"/>
        <v>9</v>
      </c>
      <c r="E981" s="14">
        <v>45176</v>
      </c>
      <c r="F981" s="4">
        <f t="shared" si="201"/>
        <v>7</v>
      </c>
      <c r="G981">
        <v>221</v>
      </c>
      <c r="H981">
        <v>206</v>
      </c>
      <c r="I981" s="13">
        <f t="shared" si="202"/>
        <v>0.93</v>
      </c>
      <c r="J981">
        <f t="shared" si="195"/>
        <v>15</v>
      </c>
      <c r="K981" s="2">
        <v>3.4722222222222224E-4</v>
      </c>
      <c r="L981" s="11">
        <f t="shared" si="196"/>
        <v>103</v>
      </c>
      <c r="M981" s="3">
        <f t="shared" si="203"/>
        <v>0.5</v>
      </c>
      <c r="N981" s="4">
        <f t="shared" si="204"/>
        <v>30</v>
      </c>
      <c r="O981" s="2">
        <v>2.0138888888888888E-3</v>
      </c>
      <c r="P981" s="9">
        <f t="shared" si="197"/>
        <v>597.4</v>
      </c>
      <c r="Q981" s="3">
        <f t="shared" si="205"/>
        <v>2.9</v>
      </c>
      <c r="R981" s="4">
        <f t="shared" si="206"/>
        <v>174</v>
      </c>
      <c r="S981" s="3">
        <f t="shared" si="207"/>
        <v>119</v>
      </c>
      <c r="T981" s="1">
        <v>0.58179999999999998</v>
      </c>
      <c r="U981" s="6">
        <f t="shared" si="198"/>
        <v>119.85079999999999</v>
      </c>
    </row>
    <row r="982" spans="1:21" x14ac:dyDescent="0.35">
      <c r="A982">
        <v>981</v>
      </c>
      <c r="B982" s="5">
        <v>45177</v>
      </c>
      <c r="C982" s="4">
        <f t="shared" si="199"/>
        <v>2023</v>
      </c>
      <c r="D982" s="4">
        <f t="shared" si="200"/>
        <v>9</v>
      </c>
      <c r="E982" s="14">
        <v>45177</v>
      </c>
      <c r="F982" s="4">
        <f t="shared" si="201"/>
        <v>8</v>
      </c>
      <c r="G982">
        <v>202</v>
      </c>
      <c r="H982">
        <v>193</v>
      </c>
      <c r="I982" s="13">
        <f t="shared" si="202"/>
        <v>0.95</v>
      </c>
      <c r="J982">
        <f t="shared" si="195"/>
        <v>9</v>
      </c>
      <c r="K982" s="2">
        <v>2.0833333333333335E-4</v>
      </c>
      <c r="L982" s="11">
        <f t="shared" si="196"/>
        <v>57.9</v>
      </c>
      <c r="M982" s="3">
        <f t="shared" si="203"/>
        <v>0.3</v>
      </c>
      <c r="N982" s="4">
        <f t="shared" si="204"/>
        <v>18</v>
      </c>
      <c r="O982" s="2">
        <v>2.0023148148148148E-3</v>
      </c>
      <c r="P982" s="9">
        <f t="shared" si="197"/>
        <v>556.48333333333335</v>
      </c>
      <c r="Q982" s="3">
        <f t="shared" si="205"/>
        <v>2.8833333333333333</v>
      </c>
      <c r="R982" s="4">
        <f t="shared" si="206"/>
        <v>173</v>
      </c>
      <c r="S982" s="3">
        <f t="shared" si="207"/>
        <v>145</v>
      </c>
      <c r="T982" s="1">
        <v>0.75380000000000003</v>
      </c>
      <c r="U982" s="6">
        <f t="shared" si="198"/>
        <v>145.48340000000002</v>
      </c>
    </row>
    <row r="983" spans="1:21" x14ac:dyDescent="0.35">
      <c r="A983">
        <v>982</v>
      </c>
      <c r="B983" s="5">
        <v>45178</v>
      </c>
      <c r="C983" s="4">
        <f t="shared" si="199"/>
        <v>2023</v>
      </c>
      <c r="D983" s="4">
        <f t="shared" si="200"/>
        <v>9</v>
      </c>
      <c r="E983" s="14">
        <v>45178</v>
      </c>
      <c r="F983" s="4">
        <f t="shared" si="201"/>
        <v>9</v>
      </c>
      <c r="G983">
        <v>193</v>
      </c>
      <c r="H983">
        <v>163</v>
      </c>
      <c r="I983" s="13">
        <f t="shared" si="202"/>
        <v>0.84</v>
      </c>
      <c r="J983">
        <f t="shared" si="195"/>
        <v>30</v>
      </c>
      <c r="K983" s="2">
        <v>4.1666666666666669E-4</v>
      </c>
      <c r="L983" s="11">
        <f t="shared" si="196"/>
        <v>97.8</v>
      </c>
      <c r="M983" s="3">
        <f t="shared" si="203"/>
        <v>0.6</v>
      </c>
      <c r="N983" s="4">
        <f t="shared" si="204"/>
        <v>36</v>
      </c>
      <c r="O983" s="2">
        <v>2.2222222222222222E-3</v>
      </c>
      <c r="P983" s="9">
        <f t="shared" si="197"/>
        <v>521.6</v>
      </c>
      <c r="Q983" s="3">
        <f t="shared" si="205"/>
        <v>3.2</v>
      </c>
      <c r="R983" s="4">
        <f t="shared" si="206"/>
        <v>192</v>
      </c>
      <c r="S983" s="3">
        <f t="shared" si="207"/>
        <v>87</v>
      </c>
      <c r="T983" s="1">
        <v>0.53400000000000003</v>
      </c>
      <c r="U983" s="6">
        <f t="shared" si="198"/>
        <v>87.042000000000002</v>
      </c>
    </row>
    <row r="984" spans="1:21" x14ac:dyDescent="0.35">
      <c r="A984">
        <v>983</v>
      </c>
      <c r="B984" s="5">
        <v>45179</v>
      </c>
      <c r="C984" s="4">
        <f t="shared" si="199"/>
        <v>2023</v>
      </c>
      <c r="D984" s="4">
        <f t="shared" si="200"/>
        <v>9</v>
      </c>
      <c r="E984" s="14">
        <v>45179</v>
      </c>
      <c r="F984" s="4">
        <f t="shared" si="201"/>
        <v>10</v>
      </c>
      <c r="G984">
        <v>201</v>
      </c>
      <c r="H984">
        <v>196</v>
      </c>
      <c r="I984" s="13">
        <f t="shared" si="202"/>
        <v>0.97</v>
      </c>
      <c r="J984">
        <f t="shared" si="195"/>
        <v>5</v>
      </c>
      <c r="K984" s="2">
        <v>1.1574074074074075E-4</v>
      </c>
      <c r="L984" s="11">
        <f t="shared" si="196"/>
        <v>32.666666666666664</v>
      </c>
      <c r="M984" s="3">
        <f t="shared" si="203"/>
        <v>0.16666666666666666</v>
      </c>
      <c r="N984" s="4">
        <f t="shared" si="204"/>
        <v>10</v>
      </c>
      <c r="O984" s="2">
        <v>1.8865740740740742E-3</v>
      </c>
      <c r="P984" s="9">
        <f t="shared" si="197"/>
        <v>532.4666666666667</v>
      </c>
      <c r="Q984" s="3">
        <f t="shared" si="205"/>
        <v>2.7166666666666668</v>
      </c>
      <c r="R984" s="4">
        <f t="shared" si="206"/>
        <v>163</v>
      </c>
      <c r="S984" s="3">
        <f t="shared" si="207"/>
        <v>174</v>
      </c>
      <c r="T984" s="1">
        <v>0.89</v>
      </c>
      <c r="U984" s="6">
        <f t="shared" si="198"/>
        <v>174.44</v>
      </c>
    </row>
    <row r="985" spans="1:21" x14ac:dyDescent="0.35">
      <c r="A985">
        <v>984</v>
      </c>
      <c r="B985" s="5">
        <v>45180</v>
      </c>
      <c r="C985" s="4">
        <f t="shared" si="199"/>
        <v>2023</v>
      </c>
      <c r="D985" s="4">
        <f t="shared" si="200"/>
        <v>9</v>
      </c>
      <c r="E985" s="14">
        <v>45180</v>
      </c>
      <c r="F985" s="4">
        <f t="shared" si="201"/>
        <v>11</v>
      </c>
      <c r="G985">
        <v>193</v>
      </c>
      <c r="H985">
        <v>180</v>
      </c>
      <c r="I985" s="13">
        <f t="shared" si="202"/>
        <v>0.93</v>
      </c>
      <c r="J985">
        <f t="shared" si="195"/>
        <v>13</v>
      </c>
      <c r="K985" s="2">
        <v>2.4305555555555555E-4</v>
      </c>
      <c r="L985" s="11">
        <f t="shared" si="196"/>
        <v>62.999999999999993</v>
      </c>
      <c r="M985" s="3">
        <f t="shared" si="203"/>
        <v>0.35</v>
      </c>
      <c r="N985" s="4">
        <f t="shared" si="204"/>
        <v>21</v>
      </c>
      <c r="O985" s="2">
        <v>1.8749999999999999E-3</v>
      </c>
      <c r="P985" s="9">
        <f t="shared" si="197"/>
        <v>486.00000000000006</v>
      </c>
      <c r="Q985" s="3">
        <f t="shared" si="205"/>
        <v>2.7</v>
      </c>
      <c r="R985" s="4">
        <f t="shared" si="206"/>
        <v>162</v>
      </c>
      <c r="S985" s="3">
        <f t="shared" si="207"/>
        <v>131</v>
      </c>
      <c r="T985" s="1">
        <v>0.73160000000000003</v>
      </c>
      <c r="U985" s="6">
        <f t="shared" si="198"/>
        <v>131.68800000000002</v>
      </c>
    </row>
    <row r="986" spans="1:21" x14ac:dyDescent="0.35">
      <c r="A986">
        <v>985</v>
      </c>
      <c r="B986" s="5">
        <v>45181</v>
      </c>
      <c r="C986" s="4">
        <f t="shared" si="199"/>
        <v>2023</v>
      </c>
      <c r="D986" s="4">
        <f t="shared" si="200"/>
        <v>9</v>
      </c>
      <c r="E986" s="14">
        <v>45181</v>
      </c>
      <c r="F986" s="4">
        <f t="shared" si="201"/>
        <v>12</v>
      </c>
      <c r="G986">
        <v>27</v>
      </c>
      <c r="H986">
        <v>25</v>
      </c>
      <c r="I986" s="13">
        <f t="shared" si="202"/>
        <v>0.92</v>
      </c>
      <c r="J986">
        <f t="shared" si="195"/>
        <v>2</v>
      </c>
      <c r="K986" s="2">
        <v>2.8935185185185184E-4</v>
      </c>
      <c r="L986" s="11">
        <f t="shared" si="196"/>
        <v>10.416666666666668</v>
      </c>
      <c r="M986" s="3">
        <f t="shared" si="203"/>
        <v>0.41666666666666669</v>
      </c>
      <c r="N986" s="4">
        <f t="shared" si="204"/>
        <v>25</v>
      </c>
      <c r="O986" s="2">
        <v>1.4236111111111112E-3</v>
      </c>
      <c r="P986" s="9">
        <f t="shared" si="197"/>
        <v>51.249999999999993</v>
      </c>
      <c r="Q986" s="3">
        <f t="shared" si="205"/>
        <v>2.0499999999999998</v>
      </c>
      <c r="R986" s="4">
        <f t="shared" si="206"/>
        <v>122.99999999999999</v>
      </c>
      <c r="S986" s="3">
        <f t="shared" si="207"/>
        <v>16</v>
      </c>
      <c r="T986" s="1">
        <v>0.66669999999999996</v>
      </c>
      <c r="U986" s="6">
        <f t="shared" si="198"/>
        <v>16.6675</v>
      </c>
    </row>
    <row r="987" spans="1:21" x14ac:dyDescent="0.35">
      <c r="A987">
        <v>986</v>
      </c>
      <c r="B987" s="5">
        <v>45182</v>
      </c>
      <c r="C987" s="4">
        <f t="shared" si="199"/>
        <v>2023</v>
      </c>
      <c r="D987" s="4">
        <f t="shared" si="200"/>
        <v>9</v>
      </c>
      <c r="E987" s="14">
        <v>45182</v>
      </c>
      <c r="F987" s="4">
        <f t="shared" si="201"/>
        <v>13</v>
      </c>
      <c r="G987">
        <v>227</v>
      </c>
      <c r="H987">
        <v>206</v>
      </c>
      <c r="I987" s="13">
        <f t="shared" si="202"/>
        <v>0.9</v>
      </c>
      <c r="J987">
        <f t="shared" si="195"/>
        <v>21</v>
      </c>
      <c r="K987" s="2">
        <v>3.3564814814814812E-4</v>
      </c>
      <c r="L987" s="11">
        <f t="shared" si="196"/>
        <v>99.566666666666663</v>
      </c>
      <c r="M987" s="3">
        <f t="shared" si="203"/>
        <v>0.48333333333333334</v>
      </c>
      <c r="N987" s="4">
        <f t="shared" si="204"/>
        <v>29</v>
      </c>
      <c r="O987" s="2">
        <v>2.0949074074074073E-3</v>
      </c>
      <c r="P987" s="9">
        <f t="shared" si="197"/>
        <v>621.43333333333328</v>
      </c>
      <c r="Q987" s="3">
        <f t="shared" si="205"/>
        <v>3.0166666666666666</v>
      </c>
      <c r="R987" s="4">
        <f t="shared" si="206"/>
        <v>181</v>
      </c>
      <c r="S987" s="3">
        <f t="shared" si="207"/>
        <v>137</v>
      </c>
      <c r="T987" s="1">
        <v>0.66669999999999996</v>
      </c>
      <c r="U987" s="6">
        <f t="shared" si="198"/>
        <v>137.34019999999998</v>
      </c>
    </row>
    <row r="988" spans="1:21" x14ac:dyDescent="0.35">
      <c r="A988">
        <v>987</v>
      </c>
      <c r="B988" s="5">
        <v>45183</v>
      </c>
      <c r="C988" s="4">
        <f t="shared" si="199"/>
        <v>2023</v>
      </c>
      <c r="D988" s="4">
        <f t="shared" si="200"/>
        <v>9</v>
      </c>
      <c r="E988" s="14">
        <v>45183</v>
      </c>
      <c r="F988" s="4">
        <f t="shared" si="201"/>
        <v>14</v>
      </c>
      <c r="G988">
        <v>225</v>
      </c>
      <c r="H988">
        <v>199</v>
      </c>
      <c r="I988" s="13">
        <f t="shared" si="202"/>
        <v>0.88</v>
      </c>
      <c r="J988">
        <f t="shared" si="195"/>
        <v>26</v>
      </c>
      <c r="K988" s="2">
        <v>4.0509259259259258E-4</v>
      </c>
      <c r="L988" s="11">
        <f t="shared" si="196"/>
        <v>116.08333333333334</v>
      </c>
      <c r="M988" s="3">
        <f t="shared" si="203"/>
        <v>0.58333333333333337</v>
      </c>
      <c r="N988" s="4">
        <f t="shared" si="204"/>
        <v>35</v>
      </c>
      <c r="O988" s="2">
        <v>2.0601851851851853E-3</v>
      </c>
      <c r="P988" s="9">
        <f t="shared" si="197"/>
        <v>590.36666666666667</v>
      </c>
      <c r="Q988" s="3">
        <f t="shared" si="205"/>
        <v>2.9666666666666668</v>
      </c>
      <c r="R988" s="4">
        <f t="shared" si="206"/>
        <v>178</v>
      </c>
      <c r="S988" s="3">
        <f t="shared" si="207"/>
        <v>104</v>
      </c>
      <c r="T988" s="1">
        <v>0.52680000000000005</v>
      </c>
      <c r="U988" s="6">
        <f t="shared" si="198"/>
        <v>104.83320000000001</v>
      </c>
    </row>
    <row r="989" spans="1:21" x14ac:dyDescent="0.35">
      <c r="A989">
        <v>988</v>
      </c>
      <c r="B989" s="5">
        <v>45184</v>
      </c>
      <c r="C989" s="4">
        <f t="shared" si="199"/>
        <v>2023</v>
      </c>
      <c r="D989" s="4">
        <f t="shared" si="200"/>
        <v>9</v>
      </c>
      <c r="E989" s="14">
        <v>45184</v>
      </c>
      <c r="F989" s="4">
        <f t="shared" si="201"/>
        <v>15</v>
      </c>
      <c r="G989">
        <v>204</v>
      </c>
      <c r="H989">
        <v>193</v>
      </c>
      <c r="I989" s="13">
        <f t="shared" si="202"/>
        <v>0.94</v>
      </c>
      <c r="J989">
        <f t="shared" si="195"/>
        <v>11</v>
      </c>
      <c r="K989" s="2">
        <v>3.8194444444444446E-4</v>
      </c>
      <c r="L989" s="11">
        <f t="shared" si="196"/>
        <v>106.15</v>
      </c>
      <c r="M989" s="3">
        <f t="shared" si="203"/>
        <v>0.55000000000000004</v>
      </c>
      <c r="N989" s="4">
        <f t="shared" si="204"/>
        <v>33</v>
      </c>
      <c r="O989" s="2">
        <v>1.8402777777777777E-3</v>
      </c>
      <c r="P989" s="9">
        <f t="shared" si="197"/>
        <v>511.45</v>
      </c>
      <c r="Q989" s="3">
        <f t="shared" si="205"/>
        <v>2.65</v>
      </c>
      <c r="R989" s="4">
        <f t="shared" si="206"/>
        <v>159</v>
      </c>
      <c r="S989" s="3">
        <f t="shared" si="207"/>
        <v>113</v>
      </c>
      <c r="T989" s="1">
        <v>0.58819999999999995</v>
      </c>
      <c r="U989" s="6">
        <f t="shared" si="198"/>
        <v>113.52259999999998</v>
      </c>
    </row>
    <row r="990" spans="1:21" x14ac:dyDescent="0.35">
      <c r="A990">
        <v>989</v>
      </c>
      <c r="B990" s="5">
        <v>45185</v>
      </c>
      <c r="C990" s="4">
        <f t="shared" si="199"/>
        <v>2023</v>
      </c>
      <c r="D990" s="4">
        <f t="shared" si="200"/>
        <v>9</v>
      </c>
      <c r="E990" s="14">
        <v>45185</v>
      </c>
      <c r="F990" s="4">
        <f t="shared" si="201"/>
        <v>16</v>
      </c>
      <c r="G990">
        <v>221</v>
      </c>
      <c r="H990">
        <v>194</v>
      </c>
      <c r="I990" s="13">
        <f t="shared" si="202"/>
        <v>0.87</v>
      </c>
      <c r="J990">
        <f t="shared" si="195"/>
        <v>27</v>
      </c>
      <c r="K990" s="2">
        <v>3.3564814814814812E-4</v>
      </c>
      <c r="L990" s="11">
        <f t="shared" si="196"/>
        <v>93.766666666666666</v>
      </c>
      <c r="M990" s="3">
        <f t="shared" si="203"/>
        <v>0.48333333333333334</v>
      </c>
      <c r="N990" s="4">
        <f t="shared" si="204"/>
        <v>29</v>
      </c>
      <c r="O990" s="2">
        <v>1.9444444444444444E-3</v>
      </c>
      <c r="P990" s="9">
        <f t="shared" si="197"/>
        <v>543.19999999999993</v>
      </c>
      <c r="Q990" s="3">
        <f t="shared" si="205"/>
        <v>2.8</v>
      </c>
      <c r="R990" s="4">
        <f t="shared" si="206"/>
        <v>168</v>
      </c>
      <c r="S990" s="3">
        <f t="shared" si="207"/>
        <v>117</v>
      </c>
      <c r="T990" s="1">
        <v>0.60729999999999995</v>
      </c>
      <c r="U990" s="6">
        <f t="shared" si="198"/>
        <v>117.81619999999999</v>
      </c>
    </row>
    <row r="991" spans="1:21" x14ac:dyDescent="0.35">
      <c r="A991">
        <v>990</v>
      </c>
      <c r="B991" s="5">
        <v>45186</v>
      </c>
      <c r="C991" s="4">
        <f t="shared" si="199"/>
        <v>2023</v>
      </c>
      <c r="D991" s="4">
        <f t="shared" si="200"/>
        <v>9</v>
      </c>
      <c r="E991" s="14">
        <v>45186</v>
      </c>
      <c r="F991" s="4">
        <f t="shared" si="201"/>
        <v>17</v>
      </c>
      <c r="G991">
        <v>172</v>
      </c>
      <c r="H991">
        <v>154</v>
      </c>
      <c r="I991" s="13">
        <f t="shared" si="202"/>
        <v>0.89</v>
      </c>
      <c r="J991">
        <f t="shared" si="195"/>
        <v>18</v>
      </c>
      <c r="K991" s="2">
        <v>3.9351851851851852E-4</v>
      </c>
      <c r="L991" s="11">
        <f t="shared" si="196"/>
        <v>87.266666666666666</v>
      </c>
      <c r="M991" s="3">
        <f t="shared" si="203"/>
        <v>0.56666666666666665</v>
      </c>
      <c r="N991" s="4">
        <f t="shared" si="204"/>
        <v>34</v>
      </c>
      <c r="O991" s="2">
        <v>2.1875000000000002E-3</v>
      </c>
      <c r="P991" s="9">
        <f t="shared" si="197"/>
        <v>485.09999999999997</v>
      </c>
      <c r="Q991" s="3">
        <f t="shared" si="205"/>
        <v>3.15</v>
      </c>
      <c r="R991" s="4">
        <f t="shared" si="206"/>
        <v>189</v>
      </c>
      <c r="S991" s="3">
        <f t="shared" si="207"/>
        <v>83</v>
      </c>
      <c r="T991" s="1">
        <v>0.54169999999999996</v>
      </c>
      <c r="U991" s="6">
        <f t="shared" si="198"/>
        <v>83.42179999999999</v>
      </c>
    </row>
    <row r="992" spans="1:21" x14ac:dyDescent="0.35">
      <c r="A992">
        <v>991</v>
      </c>
      <c r="B992" s="5">
        <v>45187</v>
      </c>
      <c r="C992" s="4">
        <f t="shared" si="199"/>
        <v>2023</v>
      </c>
      <c r="D992" s="4">
        <f t="shared" si="200"/>
        <v>9</v>
      </c>
      <c r="E992" s="14">
        <v>45187</v>
      </c>
      <c r="F992" s="4">
        <f t="shared" si="201"/>
        <v>18</v>
      </c>
      <c r="G992">
        <v>161</v>
      </c>
      <c r="H992">
        <v>150</v>
      </c>
      <c r="I992" s="13">
        <f t="shared" si="202"/>
        <v>0.93</v>
      </c>
      <c r="J992">
        <f t="shared" si="195"/>
        <v>11</v>
      </c>
      <c r="K992" s="2">
        <v>4.1666666666666669E-4</v>
      </c>
      <c r="L992" s="11">
        <f t="shared" si="196"/>
        <v>90</v>
      </c>
      <c r="M992" s="3">
        <f t="shared" si="203"/>
        <v>0.6</v>
      </c>
      <c r="N992" s="4">
        <f t="shared" si="204"/>
        <v>36</v>
      </c>
      <c r="O992" s="2">
        <v>1.9791666666666668E-3</v>
      </c>
      <c r="P992" s="9">
        <f t="shared" si="197"/>
        <v>427.5</v>
      </c>
      <c r="Q992" s="3">
        <f t="shared" si="205"/>
        <v>2.85</v>
      </c>
      <c r="R992" s="4">
        <f t="shared" si="206"/>
        <v>171</v>
      </c>
      <c r="S992" s="3">
        <f t="shared" si="207"/>
        <v>79</v>
      </c>
      <c r="T992" s="1">
        <v>0.52800000000000002</v>
      </c>
      <c r="U992" s="6">
        <f t="shared" si="198"/>
        <v>79.2</v>
      </c>
    </row>
    <row r="993" spans="1:21" x14ac:dyDescent="0.35">
      <c r="A993">
        <v>992</v>
      </c>
      <c r="B993" s="5">
        <v>45188</v>
      </c>
      <c r="C993" s="4">
        <f t="shared" si="199"/>
        <v>2023</v>
      </c>
      <c r="D993" s="4">
        <f t="shared" si="200"/>
        <v>9</v>
      </c>
      <c r="E993" s="14">
        <v>45188</v>
      </c>
      <c r="F993" s="4">
        <f t="shared" si="201"/>
        <v>19</v>
      </c>
      <c r="G993">
        <v>17</v>
      </c>
      <c r="H993">
        <v>14</v>
      </c>
      <c r="I993" s="13">
        <f t="shared" si="202"/>
        <v>0.82</v>
      </c>
      <c r="J993">
        <f t="shared" si="195"/>
        <v>3</v>
      </c>
      <c r="K993" s="2">
        <v>5.4398148148148144E-4</v>
      </c>
      <c r="L993" s="11">
        <f t="shared" si="196"/>
        <v>10.966666666666667</v>
      </c>
      <c r="M993" s="3">
        <f t="shared" si="203"/>
        <v>0.78333333333333333</v>
      </c>
      <c r="N993" s="4">
        <f t="shared" si="204"/>
        <v>47</v>
      </c>
      <c r="O993" s="2">
        <v>2.1759259259259258E-3</v>
      </c>
      <c r="P993" s="9">
        <f t="shared" si="197"/>
        <v>43.866666666666667</v>
      </c>
      <c r="Q993" s="3">
        <f t="shared" si="205"/>
        <v>3.1333333333333333</v>
      </c>
      <c r="R993" s="4">
        <f t="shared" si="206"/>
        <v>188</v>
      </c>
      <c r="S993" s="3">
        <f t="shared" si="207"/>
        <v>5</v>
      </c>
      <c r="T993" s="1">
        <v>0.4118</v>
      </c>
      <c r="U993" s="6">
        <f t="shared" si="198"/>
        <v>5.7652000000000001</v>
      </c>
    </row>
    <row r="994" spans="1:21" x14ac:dyDescent="0.35">
      <c r="A994">
        <v>993</v>
      </c>
      <c r="B994" s="5">
        <v>45189</v>
      </c>
      <c r="C994" s="4">
        <f t="shared" si="199"/>
        <v>2023</v>
      </c>
      <c r="D994" s="4">
        <f t="shared" si="200"/>
        <v>9</v>
      </c>
      <c r="E994" s="14">
        <v>45189</v>
      </c>
      <c r="F994" s="4">
        <f t="shared" si="201"/>
        <v>20</v>
      </c>
      <c r="G994">
        <v>168</v>
      </c>
      <c r="H994">
        <v>145</v>
      </c>
      <c r="I994" s="13">
        <f t="shared" si="202"/>
        <v>0.86</v>
      </c>
      <c r="J994">
        <f t="shared" si="195"/>
        <v>23</v>
      </c>
      <c r="K994" s="2">
        <v>4.3981481481481481E-4</v>
      </c>
      <c r="L994" s="11">
        <f t="shared" si="196"/>
        <v>91.833333333333329</v>
      </c>
      <c r="M994" s="3">
        <f t="shared" si="203"/>
        <v>0.6333333333333333</v>
      </c>
      <c r="N994" s="4">
        <f t="shared" si="204"/>
        <v>38</v>
      </c>
      <c r="O994" s="2">
        <v>2.0486111111111113E-3</v>
      </c>
      <c r="P994" s="9">
        <f t="shared" si="197"/>
        <v>427.75</v>
      </c>
      <c r="Q994" s="3">
        <f t="shared" si="205"/>
        <v>2.95</v>
      </c>
      <c r="R994" s="4">
        <f t="shared" si="206"/>
        <v>177</v>
      </c>
      <c r="S994" s="3">
        <f t="shared" si="207"/>
        <v>73</v>
      </c>
      <c r="T994" s="1">
        <v>0.50609999999999999</v>
      </c>
      <c r="U994" s="6">
        <f t="shared" si="198"/>
        <v>73.384500000000003</v>
      </c>
    </row>
    <row r="995" spans="1:21" x14ac:dyDescent="0.35">
      <c r="A995">
        <v>994</v>
      </c>
      <c r="B995" s="5">
        <v>45190</v>
      </c>
      <c r="C995" s="4">
        <f t="shared" si="199"/>
        <v>2023</v>
      </c>
      <c r="D995" s="4">
        <f t="shared" si="200"/>
        <v>9</v>
      </c>
      <c r="E995" s="14">
        <v>45190</v>
      </c>
      <c r="F995" s="4">
        <f t="shared" si="201"/>
        <v>21</v>
      </c>
      <c r="G995">
        <v>160</v>
      </c>
      <c r="H995">
        <v>142</v>
      </c>
      <c r="I995" s="13">
        <f t="shared" si="202"/>
        <v>0.88</v>
      </c>
      <c r="J995">
        <f t="shared" si="195"/>
        <v>18</v>
      </c>
      <c r="K995" s="2">
        <v>3.8194444444444446E-4</v>
      </c>
      <c r="L995" s="11">
        <f t="shared" si="196"/>
        <v>78.100000000000009</v>
      </c>
      <c r="M995" s="3">
        <f t="shared" si="203"/>
        <v>0.55000000000000004</v>
      </c>
      <c r="N995" s="4">
        <f t="shared" si="204"/>
        <v>33</v>
      </c>
      <c r="O995" s="2">
        <v>1.8981481481481482E-3</v>
      </c>
      <c r="P995" s="9">
        <f t="shared" si="197"/>
        <v>388.13333333333333</v>
      </c>
      <c r="Q995" s="3">
        <f t="shared" si="205"/>
        <v>2.7333333333333334</v>
      </c>
      <c r="R995" s="4">
        <f t="shared" si="206"/>
        <v>164</v>
      </c>
      <c r="S995" s="3">
        <f t="shared" si="207"/>
        <v>76</v>
      </c>
      <c r="T995" s="1">
        <v>0.54139999999999999</v>
      </c>
      <c r="U995" s="6">
        <f t="shared" si="198"/>
        <v>76.878799999999998</v>
      </c>
    </row>
    <row r="996" spans="1:21" x14ac:dyDescent="0.35">
      <c r="A996">
        <v>995</v>
      </c>
      <c r="B996" s="5">
        <v>45191</v>
      </c>
      <c r="C996" s="4">
        <f t="shared" si="199"/>
        <v>2023</v>
      </c>
      <c r="D996" s="4">
        <f t="shared" si="200"/>
        <v>9</v>
      </c>
      <c r="E996" s="14">
        <v>45191</v>
      </c>
      <c r="F996" s="4">
        <f t="shared" si="201"/>
        <v>22</v>
      </c>
      <c r="G996">
        <v>185</v>
      </c>
      <c r="H996">
        <v>159</v>
      </c>
      <c r="I996" s="13">
        <f t="shared" si="202"/>
        <v>0.85</v>
      </c>
      <c r="J996">
        <f t="shared" si="195"/>
        <v>26</v>
      </c>
      <c r="K996" s="2">
        <v>4.7453703703703704E-4</v>
      </c>
      <c r="L996" s="11">
        <f t="shared" si="196"/>
        <v>108.65</v>
      </c>
      <c r="M996" s="3">
        <f t="shared" si="203"/>
        <v>0.68333333333333335</v>
      </c>
      <c r="N996" s="4">
        <f t="shared" si="204"/>
        <v>41</v>
      </c>
      <c r="O996" s="2">
        <v>2.0370370370370369E-3</v>
      </c>
      <c r="P996" s="9">
        <f t="shared" si="197"/>
        <v>466.40000000000003</v>
      </c>
      <c r="Q996" s="3">
        <f t="shared" si="205"/>
        <v>2.9333333333333336</v>
      </c>
      <c r="R996" s="4">
        <f t="shared" si="206"/>
        <v>176</v>
      </c>
      <c r="S996" s="3">
        <f t="shared" si="207"/>
        <v>67</v>
      </c>
      <c r="T996" s="1">
        <v>0.42699999999999999</v>
      </c>
      <c r="U996" s="6">
        <f t="shared" si="198"/>
        <v>67.893000000000001</v>
      </c>
    </row>
    <row r="997" spans="1:21" x14ac:dyDescent="0.35">
      <c r="A997">
        <v>996</v>
      </c>
      <c r="B997" s="5">
        <v>45192</v>
      </c>
      <c r="C997" s="4">
        <f t="shared" si="199"/>
        <v>2023</v>
      </c>
      <c r="D997" s="4">
        <f t="shared" si="200"/>
        <v>9</v>
      </c>
      <c r="E997" s="14">
        <v>45192</v>
      </c>
      <c r="F997" s="4">
        <f t="shared" si="201"/>
        <v>23</v>
      </c>
      <c r="G997">
        <v>155</v>
      </c>
      <c r="H997">
        <v>146</v>
      </c>
      <c r="I997" s="13">
        <f t="shared" si="202"/>
        <v>0.94</v>
      </c>
      <c r="J997">
        <f t="shared" si="195"/>
        <v>9</v>
      </c>
      <c r="K997" s="2">
        <v>3.2407407407407406E-4</v>
      </c>
      <c r="L997" s="11">
        <f t="shared" si="196"/>
        <v>68.13333333333334</v>
      </c>
      <c r="M997" s="3">
        <f t="shared" si="203"/>
        <v>0.46666666666666667</v>
      </c>
      <c r="N997" s="4">
        <f t="shared" si="204"/>
        <v>28</v>
      </c>
      <c r="O997" s="2">
        <v>1.9560185185185184E-3</v>
      </c>
      <c r="P997" s="9">
        <f t="shared" si="197"/>
        <v>411.23333333333329</v>
      </c>
      <c r="Q997" s="3">
        <f t="shared" si="205"/>
        <v>2.8166666666666664</v>
      </c>
      <c r="R997" s="4">
        <f t="shared" si="206"/>
        <v>169</v>
      </c>
      <c r="S997" s="3">
        <f t="shared" si="207"/>
        <v>95</v>
      </c>
      <c r="T997" s="1">
        <v>0.65159999999999996</v>
      </c>
      <c r="U997" s="6">
        <f t="shared" si="198"/>
        <v>95.133599999999987</v>
      </c>
    </row>
    <row r="998" spans="1:21" x14ac:dyDescent="0.35">
      <c r="A998">
        <v>997</v>
      </c>
      <c r="B998" s="5">
        <v>45193</v>
      </c>
      <c r="C998" s="4">
        <f t="shared" si="199"/>
        <v>2023</v>
      </c>
      <c r="D998" s="4">
        <f t="shared" si="200"/>
        <v>9</v>
      </c>
      <c r="E998" s="14">
        <v>45193</v>
      </c>
      <c r="F998" s="4">
        <f t="shared" si="201"/>
        <v>24</v>
      </c>
      <c r="G998">
        <v>188</v>
      </c>
      <c r="H998">
        <v>172</v>
      </c>
      <c r="I998" s="13">
        <f t="shared" si="202"/>
        <v>0.91</v>
      </c>
      <c r="J998">
        <f t="shared" si="195"/>
        <v>16</v>
      </c>
      <c r="K998" s="2">
        <v>3.2407407407407406E-4</v>
      </c>
      <c r="L998" s="11">
        <f t="shared" si="196"/>
        <v>80.266666666666666</v>
      </c>
      <c r="M998" s="3">
        <f t="shared" si="203"/>
        <v>0.46666666666666667</v>
      </c>
      <c r="N998" s="4">
        <f t="shared" si="204"/>
        <v>28</v>
      </c>
      <c r="O998" s="2">
        <v>1.8402777777777777E-3</v>
      </c>
      <c r="P998" s="9">
        <f t="shared" si="197"/>
        <v>455.8</v>
      </c>
      <c r="Q998" s="3">
        <f t="shared" si="205"/>
        <v>2.65</v>
      </c>
      <c r="R998" s="4">
        <f t="shared" si="206"/>
        <v>159</v>
      </c>
      <c r="S998" s="3">
        <f t="shared" si="207"/>
        <v>102</v>
      </c>
      <c r="T998" s="1">
        <v>0.5978</v>
      </c>
      <c r="U998" s="6">
        <f t="shared" si="198"/>
        <v>102.8216</v>
      </c>
    </row>
    <row r="999" spans="1:21" x14ac:dyDescent="0.35">
      <c r="A999">
        <v>998</v>
      </c>
      <c r="B999" s="5">
        <v>45194</v>
      </c>
      <c r="C999" s="4">
        <f t="shared" si="199"/>
        <v>2023</v>
      </c>
      <c r="D999" s="4">
        <f t="shared" si="200"/>
        <v>9</v>
      </c>
      <c r="E999" s="14">
        <v>45194</v>
      </c>
      <c r="F999" s="4">
        <f t="shared" si="201"/>
        <v>25</v>
      </c>
      <c r="G999">
        <v>152</v>
      </c>
      <c r="H999">
        <v>120</v>
      </c>
      <c r="I999" s="13">
        <f t="shared" si="202"/>
        <v>0.78</v>
      </c>
      <c r="J999">
        <f t="shared" si="195"/>
        <v>32</v>
      </c>
      <c r="K999" s="2">
        <v>3.3564814814814812E-4</v>
      </c>
      <c r="L999" s="11">
        <f t="shared" si="196"/>
        <v>58</v>
      </c>
      <c r="M999" s="3">
        <f t="shared" si="203"/>
        <v>0.48333333333333334</v>
      </c>
      <c r="N999" s="4">
        <f t="shared" si="204"/>
        <v>29</v>
      </c>
      <c r="O999" s="2">
        <v>2.0138888888888888E-3</v>
      </c>
      <c r="P999" s="9">
        <f t="shared" si="197"/>
        <v>348</v>
      </c>
      <c r="Q999" s="3">
        <f t="shared" si="205"/>
        <v>2.9</v>
      </c>
      <c r="R999" s="4">
        <f t="shared" si="206"/>
        <v>174</v>
      </c>
      <c r="S999" s="3">
        <f t="shared" si="207"/>
        <v>63</v>
      </c>
      <c r="T999" s="1">
        <v>0.53059999999999996</v>
      </c>
      <c r="U999" s="6">
        <f t="shared" si="198"/>
        <v>63.671999999999997</v>
      </c>
    </row>
    <row r="1000" spans="1:21" x14ac:dyDescent="0.35">
      <c r="A1000">
        <v>999</v>
      </c>
      <c r="B1000" s="5">
        <v>45195</v>
      </c>
      <c r="C1000" s="4">
        <f t="shared" si="199"/>
        <v>2023</v>
      </c>
      <c r="D1000" s="4">
        <f t="shared" si="200"/>
        <v>9</v>
      </c>
      <c r="E1000" s="14">
        <v>45195</v>
      </c>
      <c r="F1000" s="4">
        <f t="shared" si="201"/>
        <v>26</v>
      </c>
      <c r="G1000">
        <v>26</v>
      </c>
      <c r="H1000">
        <v>26</v>
      </c>
      <c r="I1000" s="13">
        <f t="shared" si="202"/>
        <v>1</v>
      </c>
      <c r="J1000">
        <f t="shared" si="195"/>
        <v>0</v>
      </c>
      <c r="K1000" s="2">
        <v>1.9675925925925926E-4</v>
      </c>
      <c r="L1000" s="11">
        <f t="shared" si="196"/>
        <v>7.3666666666666663</v>
      </c>
      <c r="M1000" s="3">
        <f t="shared" si="203"/>
        <v>0.28333333333333333</v>
      </c>
      <c r="N1000" s="4">
        <f t="shared" si="204"/>
        <v>17</v>
      </c>
      <c r="O1000" s="2">
        <v>2.0949074074074073E-3</v>
      </c>
      <c r="P1000" s="9">
        <f t="shared" si="197"/>
        <v>78.433333333333337</v>
      </c>
      <c r="Q1000" s="3">
        <f t="shared" si="205"/>
        <v>3.0166666666666666</v>
      </c>
      <c r="R1000" s="4">
        <f t="shared" si="206"/>
        <v>181</v>
      </c>
      <c r="S1000" s="3">
        <f t="shared" si="207"/>
        <v>21</v>
      </c>
      <c r="T1000" s="1">
        <v>0.80769999999999997</v>
      </c>
      <c r="U1000" s="6">
        <f t="shared" si="198"/>
        <v>21.0002</v>
      </c>
    </row>
    <row r="1001" spans="1:21" x14ac:dyDescent="0.35">
      <c r="A1001">
        <v>1000</v>
      </c>
      <c r="B1001" s="5">
        <v>45196</v>
      </c>
      <c r="C1001" s="4">
        <f t="shared" si="199"/>
        <v>2023</v>
      </c>
      <c r="D1001" s="4">
        <f t="shared" si="200"/>
        <v>9</v>
      </c>
      <c r="E1001" s="14">
        <v>45196</v>
      </c>
      <c r="F1001" s="4">
        <f t="shared" si="201"/>
        <v>27</v>
      </c>
      <c r="G1001">
        <v>152</v>
      </c>
      <c r="H1001">
        <v>140</v>
      </c>
      <c r="I1001" s="13">
        <f t="shared" si="202"/>
        <v>0.92</v>
      </c>
      <c r="J1001">
        <f t="shared" si="195"/>
        <v>12</v>
      </c>
      <c r="K1001" s="2">
        <v>2.4305555555555555E-4</v>
      </c>
      <c r="L1001" s="11">
        <f t="shared" si="196"/>
        <v>49</v>
      </c>
      <c r="M1001" s="3">
        <f t="shared" si="203"/>
        <v>0.35</v>
      </c>
      <c r="N1001" s="4">
        <f t="shared" si="204"/>
        <v>21</v>
      </c>
      <c r="O1001" s="2">
        <v>2.0601851851851853E-3</v>
      </c>
      <c r="P1001" s="9">
        <f t="shared" si="197"/>
        <v>415.33333333333337</v>
      </c>
      <c r="Q1001" s="3">
        <f t="shared" si="205"/>
        <v>2.9666666666666668</v>
      </c>
      <c r="R1001" s="4">
        <f t="shared" si="206"/>
        <v>178</v>
      </c>
      <c r="S1001" s="3">
        <f t="shared" si="207"/>
        <v>98</v>
      </c>
      <c r="T1001" s="1">
        <v>0.70669999999999999</v>
      </c>
      <c r="U1001" s="6">
        <f t="shared" si="198"/>
        <v>98.938000000000002</v>
      </c>
    </row>
    <row r="1002" spans="1:21" x14ac:dyDescent="0.35">
      <c r="A1002">
        <v>1001</v>
      </c>
      <c r="B1002" s="5">
        <v>45197</v>
      </c>
      <c r="C1002" s="4">
        <f t="shared" si="199"/>
        <v>2023</v>
      </c>
      <c r="D1002" s="4">
        <f t="shared" si="200"/>
        <v>9</v>
      </c>
      <c r="E1002" s="14">
        <v>45197</v>
      </c>
      <c r="F1002" s="4">
        <f t="shared" si="201"/>
        <v>28</v>
      </c>
      <c r="G1002">
        <v>130</v>
      </c>
      <c r="H1002">
        <v>125</v>
      </c>
      <c r="I1002" s="13">
        <f t="shared" si="202"/>
        <v>0.96</v>
      </c>
      <c r="J1002">
        <f t="shared" si="195"/>
        <v>5</v>
      </c>
      <c r="K1002" s="2">
        <v>9.2592592592592588E-5</v>
      </c>
      <c r="L1002" s="11">
        <f t="shared" si="196"/>
        <v>16.666666666666668</v>
      </c>
      <c r="M1002" s="3">
        <f t="shared" si="203"/>
        <v>0.13333333333333333</v>
      </c>
      <c r="N1002" s="4">
        <f t="shared" si="204"/>
        <v>8</v>
      </c>
      <c r="O1002" s="2">
        <v>1.8402777777777777E-3</v>
      </c>
      <c r="P1002" s="9">
        <f t="shared" si="197"/>
        <v>331.25</v>
      </c>
      <c r="Q1002" s="3">
        <f t="shared" si="205"/>
        <v>2.65</v>
      </c>
      <c r="R1002" s="4">
        <f t="shared" si="206"/>
        <v>159</v>
      </c>
      <c r="S1002" s="3">
        <f t="shared" si="207"/>
        <v>115</v>
      </c>
      <c r="T1002" s="1">
        <v>0.92</v>
      </c>
      <c r="U1002" s="6">
        <f t="shared" si="198"/>
        <v>115</v>
      </c>
    </row>
    <row r="1003" spans="1:21" x14ac:dyDescent="0.35">
      <c r="A1003">
        <v>1002</v>
      </c>
      <c r="B1003" s="5">
        <v>45198</v>
      </c>
      <c r="C1003" s="4">
        <f t="shared" si="199"/>
        <v>2023</v>
      </c>
      <c r="D1003" s="4">
        <f t="shared" si="200"/>
        <v>9</v>
      </c>
      <c r="E1003" s="14">
        <v>45198</v>
      </c>
      <c r="F1003" s="4">
        <f t="shared" si="201"/>
        <v>29</v>
      </c>
      <c r="G1003">
        <v>191</v>
      </c>
      <c r="H1003">
        <v>187</v>
      </c>
      <c r="I1003" s="13">
        <f t="shared" si="202"/>
        <v>0.97</v>
      </c>
      <c r="J1003">
        <f t="shared" si="195"/>
        <v>4</v>
      </c>
      <c r="K1003" s="2">
        <v>2.0833333333333335E-4</v>
      </c>
      <c r="L1003" s="11">
        <f t="shared" si="196"/>
        <v>56.1</v>
      </c>
      <c r="M1003" s="3">
        <f t="shared" si="203"/>
        <v>0.3</v>
      </c>
      <c r="N1003" s="4">
        <f t="shared" si="204"/>
        <v>18</v>
      </c>
      <c r="O1003" s="2">
        <v>1.7708333333333332E-3</v>
      </c>
      <c r="P1003" s="9">
        <f t="shared" si="197"/>
        <v>476.84999999999997</v>
      </c>
      <c r="Q1003" s="3">
        <f t="shared" si="205"/>
        <v>2.5499999999999998</v>
      </c>
      <c r="R1003" s="4">
        <f t="shared" si="206"/>
        <v>153</v>
      </c>
      <c r="S1003" s="3">
        <f t="shared" si="207"/>
        <v>155</v>
      </c>
      <c r="T1003" s="1">
        <v>0.83069999999999999</v>
      </c>
      <c r="U1003" s="6">
        <f t="shared" si="198"/>
        <v>155.3409</v>
      </c>
    </row>
    <row r="1004" spans="1:21" x14ac:dyDescent="0.35">
      <c r="A1004">
        <v>1003</v>
      </c>
      <c r="B1004" s="5">
        <v>45199</v>
      </c>
      <c r="C1004" s="4">
        <f t="shared" si="199"/>
        <v>2023</v>
      </c>
      <c r="D1004" s="4">
        <f t="shared" si="200"/>
        <v>9</v>
      </c>
      <c r="E1004" s="14">
        <v>45199</v>
      </c>
      <c r="F1004" s="4">
        <f t="shared" si="201"/>
        <v>30</v>
      </c>
      <c r="G1004">
        <v>254</v>
      </c>
      <c r="H1004">
        <v>227</v>
      </c>
      <c r="I1004" s="13">
        <f t="shared" si="202"/>
        <v>0.89</v>
      </c>
      <c r="J1004">
        <f t="shared" si="195"/>
        <v>27</v>
      </c>
      <c r="K1004" s="2">
        <v>3.8194444444444446E-4</v>
      </c>
      <c r="L1004" s="11">
        <f t="shared" si="196"/>
        <v>124.85000000000001</v>
      </c>
      <c r="M1004" s="3">
        <f t="shared" si="203"/>
        <v>0.55000000000000004</v>
      </c>
      <c r="N1004" s="4">
        <f t="shared" si="204"/>
        <v>33</v>
      </c>
      <c r="O1004" s="2">
        <v>2.0486111111111113E-3</v>
      </c>
      <c r="P1004" s="9">
        <f t="shared" si="197"/>
        <v>669.65000000000009</v>
      </c>
      <c r="Q1004" s="3">
        <f t="shared" si="205"/>
        <v>2.95</v>
      </c>
      <c r="R1004" s="4">
        <f t="shared" si="206"/>
        <v>177</v>
      </c>
      <c r="S1004" s="3">
        <f t="shared" si="207"/>
        <v>128</v>
      </c>
      <c r="T1004" s="1">
        <v>0.56569999999999998</v>
      </c>
      <c r="U1004" s="6">
        <f t="shared" si="198"/>
        <v>128.41389999999998</v>
      </c>
    </row>
    <row r="1005" spans="1:21" x14ac:dyDescent="0.35">
      <c r="A1005">
        <v>1004</v>
      </c>
      <c r="B1005" s="5">
        <v>45200</v>
      </c>
      <c r="C1005" s="4">
        <f t="shared" si="199"/>
        <v>2023</v>
      </c>
      <c r="D1005" s="4">
        <f t="shared" si="200"/>
        <v>10</v>
      </c>
      <c r="E1005" s="14">
        <v>45200</v>
      </c>
      <c r="F1005" s="4">
        <f t="shared" si="201"/>
        <v>1</v>
      </c>
      <c r="G1005">
        <v>213</v>
      </c>
      <c r="H1005">
        <v>188</v>
      </c>
      <c r="I1005" s="13">
        <f t="shared" si="202"/>
        <v>0.88</v>
      </c>
      <c r="J1005">
        <f t="shared" si="195"/>
        <v>25</v>
      </c>
      <c r="K1005" s="2">
        <v>3.4722222222222224E-4</v>
      </c>
      <c r="L1005" s="11">
        <f t="shared" si="196"/>
        <v>94</v>
      </c>
      <c r="M1005" s="3">
        <f t="shared" si="203"/>
        <v>0.5</v>
      </c>
      <c r="N1005" s="4">
        <f t="shared" si="204"/>
        <v>30</v>
      </c>
      <c r="O1005" s="2">
        <v>1.9907407407407408E-3</v>
      </c>
      <c r="P1005" s="9">
        <f t="shared" si="197"/>
        <v>538.93333333333339</v>
      </c>
      <c r="Q1005" s="3">
        <f t="shared" si="205"/>
        <v>2.8666666666666667</v>
      </c>
      <c r="R1005" s="4">
        <f t="shared" si="206"/>
        <v>172</v>
      </c>
      <c r="S1005" s="3">
        <f t="shared" si="207"/>
        <v>103</v>
      </c>
      <c r="T1005" s="1">
        <v>0.54810000000000003</v>
      </c>
      <c r="U1005" s="6">
        <f t="shared" si="198"/>
        <v>103.0428</v>
      </c>
    </row>
    <row r="1006" spans="1:21" x14ac:dyDescent="0.35">
      <c r="A1006">
        <v>1005</v>
      </c>
      <c r="B1006" s="5">
        <v>45201</v>
      </c>
      <c r="C1006" s="4">
        <f t="shared" si="199"/>
        <v>2023</v>
      </c>
      <c r="D1006" s="4">
        <f t="shared" si="200"/>
        <v>10</v>
      </c>
      <c r="E1006" s="14">
        <v>45201</v>
      </c>
      <c r="F1006" s="4">
        <f t="shared" si="201"/>
        <v>2</v>
      </c>
      <c r="G1006">
        <v>176</v>
      </c>
      <c r="H1006">
        <v>151</v>
      </c>
      <c r="I1006" s="13">
        <f t="shared" si="202"/>
        <v>0.85</v>
      </c>
      <c r="J1006">
        <f t="shared" si="195"/>
        <v>25</v>
      </c>
      <c r="K1006" s="2">
        <v>3.7037037037037035E-4</v>
      </c>
      <c r="L1006" s="11">
        <f t="shared" si="196"/>
        <v>80.533333333333331</v>
      </c>
      <c r="M1006" s="3">
        <f t="shared" si="203"/>
        <v>0.53333333333333333</v>
      </c>
      <c r="N1006" s="4">
        <f t="shared" si="204"/>
        <v>32</v>
      </c>
      <c r="O1006" s="2">
        <v>1.9097222222222222E-3</v>
      </c>
      <c r="P1006" s="9">
        <f t="shared" si="197"/>
        <v>415.25</v>
      </c>
      <c r="Q1006" s="3">
        <f t="shared" si="205"/>
        <v>2.75</v>
      </c>
      <c r="R1006" s="4">
        <f t="shared" si="206"/>
        <v>165</v>
      </c>
      <c r="S1006" s="3">
        <f t="shared" si="207"/>
        <v>84</v>
      </c>
      <c r="T1006" s="1">
        <v>0.5575</v>
      </c>
      <c r="U1006" s="6">
        <f t="shared" si="198"/>
        <v>84.182500000000005</v>
      </c>
    </row>
    <row r="1007" spans="1:21" x14ac:dyDescent="0.35">
      <c r="A1007">
        <v>1006</v>
      </c>
      <c r="B1007" s="5">
        <v>45202</v>
      </c>
      <c r="C1007" s="4">
        <f t="shared" si="199"/>
        <v>2023</v>
      </c>
      <c r="D1007" s="4">
        <f t="shared" si="200"/>
        <v>10</v>
      </c>
      <c r="E1007" s="14">
        <v>45202</v>
      </c>
      <c r="F1007" s="4">
        <f t="shared" si="201"/>
        <v>3</v>
      </c>
      <c r="G1007">
        <v>61</v>
      </c>
      <c r="H1007">
        <v>59</v>
      </c>
      <c r="I1007" s="13">
        <f t="shared" si="202"/>
        <v>0.96</v>
      </c>
      <c r="J1007">
        <f t="shared" si="195"/>
        <v>2</v>
      </c>
      <c r="K1007" s="2">
        <v>1.8518518518518518E-4</v>
      </c>
      <c r="L1007" s="11">
        <f t="shared" si="196"/>
        <v>15.733333333333333</v>
      </c>
      <c r="M1007" s="3">
        <f t="shared" si="203"/>
        <v>0.26666666666666666</v>
      </c>
      <c r="N1007" s="4">
        <f t="shared" si="204"/>
        <v>16</v>
      </c>
      <c r="O1007" s="2">
        <v>1.0532407407407407E-3</v>
      </c>
      <c r="P1007" s="9">
        <f t="shared" si="197"/>
        <v>89.483333333333334</v>
      </c>
      <c r="Q1007" s="3">
        <f t="shared" si="205"/>
        <v>1.5166666666666666</v>
      </c>
      <c r="R1007" s="4">
        <f t="shared" si="206"/>
        <v>91</v>
      </c>
      <c r="S1007" s="3">
        <f t="shared" si="207"/>
        <v>47</v>
      </c>
      <c r="T1007" s="1">
        <v>0.80330000000000001</v>
      </c>
      <c r="U1007" s="6">
        <f t="shared" si="198"/>
        <v>47.3947</v>
      </c>
    </row>
    <row r="1008" spans="1:21" x14ac:dyDescent="0.35">
      <c r="A1008">
        <v>1007</v>
      </c>
      <c r="B1008" s="5">
        <v>45203</v>
      </c>
      <c r="C1008" s="4">
        <f t="shared" si="199"/>
        <v>2023</v>
      </c>
      <c r="D1008" s="4">
        <f t="shared" si="200"/>
        <v>10</v>
      </c>
      <c r="E1008" s="14">
        <v>45203</v>
      </c>
      <c r="F1008" s="4">
        <f t="shared" si="201"/>
        <v>4</v>
      </c>
      <c r="G1008">
        <v>166</v>
      </c>
      <c r="H1008">
        <v>154</v>
      </c>
      <c r="I1008" s="13">
        <f t="shared" si="202"/>
        <v>0.92</v>
      </c>
      <c r="J1008">
        <f t="shared" si="195"/>
        <v>12</v>
      </c>
      <c r="K1008" s="2">
        <v>3.2407407407407406E-4</v>
      </c>
      <c r="L1008" s="11">
        <f t="shared" si="196"/>
        <v>71.866666666666674</v>
      </c>
      <c r="M1008" s="3">
        <f t="shared" si="203"/>
        <v>0.46666666666666667</v>
      </c>
      <c r="N1008" s="4">
        <f t="shared" si="204"/>
        <v>28</v>
      </c>
      <c r="O1008" s="2">
        <v>2.0370370370370369E-3</v>
      </c>
      <c r="P1008" s="9">
        <f t="shared" si="197"/>
        <v>451.73333333333335</v>
      </c>
      <c r="Q1008" s="3">
        <f t="shared" si="205"/>
        <v>2.9333333333333336</v>
      </c>
      <c r="R1008" s="4">
        <f t="shared" si="206"/>
        <v>176</v>
      </c>
      <c r="S1008" s="3">
        <f t="shared" si="207"/>
        <v>95</v>
      </c>
      <c r="T1008" s="1">
        <v>0.61819999999999997</v>
      </c>
      <c r="U1008" s="6">
        <f t="shared" si="198"/>
        <v>95.202799999999996</v>
      </c>
    </row>
    <row r="1009" spans="1:21" x14ac:dyDescent="0.35">
      <c r="A1009">
        <v>1008</v>
      </c>
      <c r="B1009" s="5">
        <v>45204</v>
      </c>
      <c r="C1009" s="4">
        <f t="shared" si="199"/>
        <v>2023</v>
      </c>
      <c r="D1009" s="4">
        <f t="shared" si="200"/>
        <v>10</v>
      </c>
      <c r="E1009" s="14">
        <v>45204</v>
      </c>
      <c r="F1009" s="4">
        <f t="shared" si="201"/>
        <v>5</v>
      </c>
      <c r="G1009">
        <v>191</v>
      </c>
      <c r="H1009">
        <v>172</v>
      </c>
      <c r="I1009" s="13">
        <f t="shared" si="202"/>
        <v>0.9</v>
      </c>
      <c r="J1009">
        <f t="shared" si="195"/>
        <v>19</v>
      </c>
      <c r="K1009" s="2">
        <v>2.4305555555555555E-4</v>
      </c>
      <c r="L1009" s="11">
        <f t="shared" si="196"/>
        <v>60.199999999999996</v>
      </c>
      <c r="M1009" s="3">
        <f t="shared" si="203"/>
        <v>0.35</v>
      </c>
      <c r="N1009" s="4">
        <f t="shared" si="204"/>
        <v>21</v>
      </c>
      <c r="O1009" s="2">
        <v>1.8518518518518519E-3</v>
      </c>
      <c r="P1009" s="9">
        <f t="shared" si="197"/>
        <v>458.66666666666663</v>
      </c>
      <c r="Q1009" s="3">
        <f t="shared" si="205"/>
        <v>2.6666666666666665</v>
      </c>
      <c r="R1009" s="4">
        <f t="shared" si="206"/>
        <v>160</v>
      </c>
      <c r="S1009" s="3">
        <f t="shared" si="207"/>
        <v>126</v>
      </c>
      <c r="T1009" s="1">
        <v>0.73770000000000002</v>
      </c>
      <c r="U1009" s="6">
        <f t="shared" si="198"/>
        <v>126.8844</v>
      </c>
    </row>
    <row r="1010" spans="1:21" x14ac:dyDescent="0.35">
      <c r="A1010">
        <v>1009</v>
      </c>
      <c r="B1010" s="5">
        <v>45205</v>
      </c>
      <c r="C1010" s="4">
        <f t="shared" si="199"/>
        <v>2023</v>
      </c>
      <c r="D1010" s="4">
        <f t="shared" si="200"/>
        <v>10</v>
      </c>
      <c r="E1010" s="14">
        <v>45205</v>
      </c>
      <c r="F1010" s="4">
        <f t="shared" si="201"/>
        <v>6</v>
      </c>
      <c r="G1010">
        <v>171</v>
      </c>
      <c r="H1010">
        <v>157</v>
      </c>
      <c r="I1010" s="13">
        <f t="shared" si="202"/>
        <v>0.91</v>
      </c>
      <c r="J1010">
        <f t="shared" si="195"/>
        <v>14</v>
      </c>
      <c r="K1010" s="2">
        <v>2.199074074074074E-4</v>
      </c>
      <c r="L1010" s="11">
        <f t="shared" si="196"/>
        <v>49.716666666666661</v>
      </c>
      <c r="M1010" s="3">
        <f t="shared" si="203"/>
        <v>0.31666666666666665</v>
      </c>
      <c r="N1010" s="4">
        <f t="shared" si="204"/>
        <v>19</v>
      </c>
      <c r="O1010" s="2">
        <v>1.7824074074074075E-3</v>
      </c>
      <c r="P1010" s="9">
        <f t="shared" si="197"/>
        <v>402.96666666666664</v>
      </c>
      <c r="Q1010" s="3">
        <f t="shared" si="205"/>
        <v>2.5666666666666664</v>
      </c>
      <c r="R1010" s="4">
        <f t="shared" si="206"/>
        <v>154</v>
      </c>
      <c r="S1010" s="3">
        <f t="shared" si="207"/>
        <v>114</v>
      </c>
      <c r="T1010" s="1">
        <v>0.72619999999999996</v>
      </c>
      <c r="U1010" s="6">
        <f t="shared" si="198"/>
        <v>114.01339999999999</v>
      </c>
    </row>
    <row r="1011" spans="1:21" x14ac:dyDescent="0.35">
      <c r="A1011">
        <v>1010</v>
      </c>
      <c r="B1011" s="5">
        <v>45206</v>
      </c>
      <c r="C1011" s="4">
        <f t="shared" si="199"/>
        <v>2023</v>
      </c>
      <c r="D1011" s="4">
        <f t="shared" si="200"/>
        <v>10</v>
      </c>
      <c r="E1011" s="14">
        <v>45206</v>
      </c>
      <c r="F1011" s="4">
        <f t="shared" si="201"/>
        <v>7</v>
      </c>
      <c r="G1011">
        <v>153</v>
      </c>
      <c r="H1011">
        <v>124</v>
      </c>
      <c r="I1011" s="13">
        <f t="shared" si="202"/>
        <v>0.81</v>
      </c>
      <c r="J1011">
        <f t="shared" si="195"/>
        <v>29</v>
      </c>
      <c r="K1011" s="2">
        <v>5.7870370370370367E-4</v>
      </c>
      <c r="L1011" s="11">
        <f t="shared" si="196"/>
        <v>103.33333333333334</v>
      </c>
      <c r="M1011" s="3">
        <f t="shared" si="203"/>
        <v>0.83333333333333337</v>
      </c>
      <c r="N1011" s="4">
        <f t="shared" si="204"/>
        <v>50</v>
      </c>
      <c r="O1011" s="2">
        <v>2.1296296296296298E-3</v>
      </c>
      <c r="P1011" s="9">
        <f t="shared" si="197"/>
        <v>380.26666666666671</v>
      </c>
      <c r="Q1011" s="3">
        <f t="shared" si="205"/>
        <v>3.0666666666666669</v>
      </c>
      <c r="R1011" s="4">
        <f t="shared" si="206"/>
        <v>184</v>
      </c>
      <c r="S1011" s="3">
        <f t="shared" si="207"/>
        <v>56</v>
      </c>
      <c r="T1011" s="1">
        <v>0.45329999999999998</v>
      </c>
      <c r="U1011" s="6">
        <f t="shared" si="198"/>
        <v>56.209199999999996</v>
      </c>
    </row>
    <row r="1012" spans="1:21" x14ac:dyDescent="0.35">
      <c r="A1012">
        <v>1011</v>
      </c>
      <c r="B1012" s="5">
        <v>45207</v>
      </c>
      <c r="C1012" s="4">
        <f t="shared" si="199"/>
        <v>2023</v>
      </c>
      <c r="D1012" s="4">
        <f t="shared" si="200"/>
        <v>10</v>
      </c>
      <c r="E1012" s="14">
        <v>45207</v>
      </c>
      <c r="F1012" s="4">
        <f t="shared" si="201"/>
        <v>8</v>
      </c>
      <c r="G1012">
        <v>183</v>
      </c>
      <c r="H1012">
        <v>158</v>
      </c>
      <c r="I1012" s="13">
        <f t="shared" si="202"/>
        <v>0.86</v>
      </c>
      <c r="J1012">
        <f t="shared" si="195"/>
        <v>25</v>
      </c>
      <c r="K1012" s="2">
        <v>3.8194444444444446E-4</v>
      </c>
      <c r="L1012" s="11">
        <f t="shared" si="196"/>
        <v>86.9</v>
      </c>
      <c r="M1012" s="3">
        <f t="shared" si="203"/>
        <v>0.55000000000000004</v>
      </c>
      <c r="N1012" s="4">
        <f t="shared" si="204"/>
        <v>33</v>
      </c>
      <c r="O1012" s="2">
        <v>1.9907407407407408E-3</v>
      </c>
      <c r="P1012" s="9">
        <f t="shared" si="197"/>
        <v>452.93333333333334</v>
      </c>
      <c r="Q1012" s="3">
        <f t="shared" si="205"/>
        <v>2.8666666666666667</v>
      </c>
      <c r="R1012" s="4">
        <f t="shared" si="206"/>
        <v>172</v>
      </c>
      <c r="S1012" s="3">
        <f t="shared" si="207"/>
        <v>82</v>
      </c>
      <c r="T1012" s="1">
        <v>0.51910000000000001</v>
      </c>
      <c r="U1012" s="6">
        <f t="shared" si="198"/>
        <v>82.017799999999994</v>
      </c>
    </row>
    <row r="1013" spans="1:21" x14ac:dyDescent="0.35">
      <c r="A1013">
        <v>1012</v>
      </c>
      <c r="B1013" s="5">
        <v>45208</v>
      </c>
      <c r="C1013" s="4">
        <f t="shared" si="199"/>
        <v>2023</v>
      </c>
      <c r="D1013" s="4">
        <f t="shared" si="200"/>
        <v>10</v>
      </c>
      <c r="E1013" s="14">
        <v>45208</v>
      </c>
      <c r="F1013" s="4">
        <f t="shared" si="201"/>
        <v>9</v>
      </c>
      <c r="G1013">
        <v>14</v>
      </c>
      <c r="H1013">
        <v>14</v>
      </c>
      <c r="I1013" s="13">
        <f t="shared" si="202"/>
        <v>1</v>
      </c>
      <c r="J1013">
        <f t="shared" si="195"/>
        <v>0</v>
      </c>
      <c r="K1013" s="2">
        <v>1.7361111111111112E-4</v>
      </c>
      <c r="L1013" s="11">
        <f t="shared" si="196"/>
        <v>3.5</v>
      </c>
      <c r="M1013" s="3">
        <f t="shared" si="203"/>
        <v>0.25</v>
      </c>
      <c r="N1013" s="4">
        <f t="shared" si="204"/>
        <v>15</v>
      </c>
      <c r="O1013" s="2">
        <v>2.5810185185185185E-3</v>
      </c>
      <c r="P1013" s="9">
        <f t="shared" si="197"/>
        <v>52.033333333333331</v>
      </c>
      <c r="Q1013" s="3">
        <f t="shared" si="205"/>
        <v>3.7166666666666668</v>
      </c>
      <c r="R1013" s="4">
        <f t="shared" si="206"/>
        <v>223</v>
      </c>
      <c r="S1013" s="3">
        <f t="shared" si="207"/>
        <v>11</v>
      </c>
      <c r="T1013" s="1">
        <v>0.85709999999999997</v>
      </c>
      <c r="U1013" s="6">
        <f t="shared" si="198"/>
        <v>11.9994</v>
      </c>
    </row>
    <row r="1014" spans="1:21" x14ac:dyDescent="0.35">
      <c r="A1014">
        <v>1013</v>
      </c>
      <c r="B1014" s="5">
        <v>45209</v>
      </c>
      <c r="C1014" s="4">
        <f t="shared" si="199"/>
        <v>2023</v>
      </c>
      <c r="D1014" s="4">
        <f t="shared" si="200"/>
        <v>10</v>
      </c>
      <c r="E1014" s="14">
        <v>45209</v>
      </c>
      <c r="F1014" s="4">
        <f t="shared" si="201"/>
        <v>10</v>
      </c>
      <c r="G1014">
        <v>18</v>
      </c>
      <c r="H1014">
        <v>18</v>
      </c>
      <c r="I1014" s="13">
        <f t="shared" si="202"/>
        <v>1</v>
      </c>
      <c r="J1014">
        <f t="shared" si="195"/>
        <v>0</v>
      </c>
      <c r="K1014" s="2">
        <v>3.4722222222222222E-5</v>
      </c>
      <c r="L1014" s="11">
        <f t="shared" si="196"/>
        <v>0.9</v>
      </c>
      <c r="M1014" s="3">
        <f t="shared" si="203"/>
        <v>0.05</v>
      </c>
      <c r="N1014" s="4">
        <f t="shared" si="204"/>
        <v>3</v>
      </c>
      <c r="O1014" s="2">
        <v>2.0370370370370369E-3</v>
      </c>
      <c r="P1014" s="9">
        <f t="shared" si="197"/>
        <v>52.800000000000004</v>
      </c>
      <c r="Q1014" s="3">
        <f t="shared" si="205"/>
        <v>2.9333333333333336</v>
      </c>
      <c r="R1014" s="4">
        <f t="shared" si="206"/>
        <v>176</v>
      </c>
      <c r="S1014" s="3">
        <f t="shared" si="207"/>
        <v>18</v>
      </c>
      <c r="T1014" s="1">
        <v>1</v>
      </c>
      <c r="U1014" s="6">
        <f t="shared" si="198"/>
        <v>18</v>
      </c>
    </row>
    <row r="1015" spans="1:21" x14ac:dyDescent="0.35">
      <c r="A1015">
        <v>1014</v>
      </c>
      <c r="B1015" s="5">
        <v>45210</v>
      </c>
      <c r="C1015" s="4">
        <f t="shared" si="199"/>
        <v>2023</v>
      </c>
      <c r="D1015" s="4">
        <f t="shared" si="200"/>
        <v>10</v>
      </c>
      <c r="E1015" s="14">
        <v>45210</v>
      </c>
      <c r="F1015" s="4">
        <f t="shared" si="201"/>
        <v>11</v>
      </c>
      <c r="G1015">
        <v>159</v>
      </c>
      <c r="H1015">
        <v>148</v>
      </c>
      <c r="I1015" s="13">
        <f t="shared" si="202"/>
        <v>0.93</v>
      </c>
      <c r="J1015">
        <f t="shared" si="195"/>
        <v>11</v>
      </c>
      <c r="K1015" s="2">
        <v>2.5462962962962961E-4</v>
      </c>
      <c r="L1015" s="11">
        <f t="shared" si="196"/>
        <v>54.266666666666666</v>
      </c>
      <c r="M1015" s="3">
        <f t="shared" si="203"/>
        <v>0.36666666666666664</v>
      </c>
      <c r="N1015" s="4">
        <f t="shared" si="204"/>
        <v>22</v>
      </c>
      <c r="O1015" s="2">
        <v>1.8055555555555555E-3</v>
      </c>
      <c r="P1015" s="9">
        <f t="shared" si="197"/>
        <v>384.8</v>
      </c>
      <c r="Q1015" s="3">
        <f t="shared" si="205"/>
        <v>2.6</v>
      </c>
      <c r="R1015" s="4">
        <f t="shared" si="206"/>
        <v>156</v>
      </c>
      <c r="S1015" s="3">
        <f t="shared" si="207"/>
        <v>102</v>
      </c>
      <c r="T1015" s="1">
        <v>0.69430000000000003</v>
      </c>
      <c r="U1015" s="6">
        <f t="shared" si="198"/>
        <v>102.7564</v>
      </c>
    </row>
    <row r="1016" spans="1:21" x14ac:dyDescent="0.35">
      <c r="A1016">
        <v>1015</v>
      </c>
      <c r="B1016" s="5">
        <v>45211</v>
      </c>
      <c r="C1016" s="4">
        <f t="shared" si="199"/>
        <v>2023</v>
      </c>
      <c r="D1016" s="4">
        <f t="shared" si="200"/>
        <v>10</v>
      </c>
      <c r="E1016" s="14">
        <v>45211</v>
      </c>
      <c r="F1016" s="4">
        <f t="shared" si="201"/>
        <v>12</v>
      </c>
      <c r="G1016">
        <v>143</v>
      </c>
      <c r="H1016">
        <v>134</v>
      </c>
      <c r="I1016" s="13">
        <f t="shared" si="202"/>
        <v>0.93</v>
      </c>
      <c r="J1016">
        <f t="shared" si="195"/>
        <v>9</v>
      </c>
      <c r="K1016" s="2">
        <v>2.5462962962962961E-4</v>
      </c>
      <c r="L1016" s="11">
        <f t="shared" si="196"/>
        <v>49.133333333333333</v>
      </c>
      <c r="M1016" s="3">
        <f t="shared" si="203"/>
        <v>0.36666666666666664</v>
      </c>
      <c r="N1016" s="4">
        <f t="shared" si="204"/>
        <v>22</v>
      </c>
      <c r="O1016" s="2">
        <v>1.9791666666666668E-3</v>
      </c>
      <c r="P1016" s="9">
        <f t="shared" si="197"/>
        <v>381.90000000000003</v>
      </c>
      <c r="Q1016" s="3">
        <f t="shared" si="205"/>
        <v>2.85</v>
      </c>
      <c r="R1016" s="4">
        <f t="shared" si="206"/>
        <v>171</v>
      </c>
      <c r="S1016" s="3">
        <f t="shared" si="207"/>
        <v>99</v>
      </c>
      <c r="T1016" s="1">
        <v>0.74099999999999999</v>
      </c>
      <c r="U1016" s="6">
        <f t="shared" si="198"/>
        <v>99.293999999999997</v>
      </c>
    </row>
    <row r="1017" spans="1:21" x14ac:dyDescent="0.35">
      <c r="A1017">
        <v>1016</v>
      </c>
      <c r="B1017" s="5">
        <v>45212</v>
      </c>
      <c r="C1017" s="4">
        <f t="shared" si="199"/>
        <v>2023</v>
      </c>
      <c r="D1017" s="4">
        <f t="shared" si="200"/>
        <v>10</v>
      </c>
      <c r="E1017" s="14">
        <v>45212</v>
      </c>
      <c r="F1017" s="4">
        <f t="shared" si="201"/>
        <v>13</v>
      </c>
      <c r="G1017">
        <v>195</v>
      </c>
      <c r="H1017">
        <v>175</v>
      </c>
      <c r="I1017" s="13">
        <f t="shared" si="202"/>
        <v>0.89</v>
      </c>
      <c r="J1017">
        <f t="shared" si="195"/>
        <v>20</v>
      </c>
      <c r="K1017" s="2">
        <v>3.3564814814814812E-4</v>
      </c>
      <c r="L1017" s="11">
        <f t="shared" si="196"/>
        <v>84.583333333333329</v>
      </c>
      <c r="M1017" s="3">
        <f t="shared" si="203"/>
        <v>0.48333333333333334</v>
      </c>
      <c r="N1017" s="4">
        <f t="shared" si="204"/>
        <v>29</v>
      </c>
      <c r="O1017" s="2">
        <v>1.9328703703703704E-3</v>
      </c>
      <c r="P1017" s="9">
        <f t="shared" si="197"/>
        <v>487.08333333333331</v>
      </c>
      <c r="Q1017" s="3">
        <f t="shared" si="205"/>
        <v>2.7833333333333332</v>
      </c>
      <c r="R1017" s="4">
        <f t="shared" si="206"/>
        <v>167</v>
      </c>
      <c r="S1017" s="3">
        <f t="shared" si="207"/>
        <v>107</v>
      </c>
      <c r="T1017" s="1">
        <v>0.61580000000000001</v>
      </c>
      <c r="U1017" s="6">
        <f t="shared" si="198"/>
        <v>107.765</v>
      </c>
    </row>
    <row r="1018" spans="1:21" x14ac:dyDescent="0.35">
      <c r="A1018">
        <v>1017</v>
      </c>
      <c r="B1018" s="5">
        <v>45213</v>
      </c>
      <c r="C1018" s="4">
        <f t="shared" si="199"/>
        <v>2023</v>
      </c>
      <c r="D1018" s="4">
        <f t="shared" si="200"/>
        <v>10</v>
      </c>
      <c r="E1018" s="14">
        <v>45213</v>
      </c>
      <c r="F1018" s="4">
        <f t="shared" si="201"/>
        <v>14</v>
      </c>
      <c r="G1018">
        <v>194</v>
      </c>
      <c r="H1018">
        <v>150</v>
      </c>
      <c r="I1018" s="13">
        <f t="shared" si="202"/>
        <v>0.77</v>
      </c>
      <c r="J1018">
        <f t="shared" si="195"/>
        <v>44</v>
      </c>
      <c r="K1018" s="2">
        <v>4.2824074074074075E-4</v>
      </c>
      <c r="L1018" s="11">
        <f t="shared" si="196"/>
        <v>92.5</v>
      </c>
      <c r="M1018" s="3">
        <f t="shared" si="203"/>
        <v>0.6166666666666667</v>
      </c>
      <c r="N1018" s="4">
        <f t="shared" si="204"/>
        <v>37</v>
      </c>
      <c r="O1018" s="2">
        <v>1.9328703703703704E-3</v>
      </c>
      <c r="P1018" s="9">
        <f t="shared" si="197"/>
        <v>417.5</v>
      </c>
      <c r="Q1018" s="3">
        <f t="shared" si="205"/>
        <v>2.7833333333333332</v>
      </c>
      <c r="R1018" s="4">
        <f t="shared" si="206"/>
        <v>167</v>
      </c>
      <c r="S1018" s="3">
        <f t="shared" si="207"/>
        <v>71</v>
      </c>
      <c r="T1018" s="1">
        <v>0.47339999999999999</v>
      </c>
      <c r="U1018" s="6">
        <f t="shared" si="198"/>
        <v>71.010000000000005</v>
      </c>
    </row>
    <row r="1019" spans="1:21" x14ac:dyDescent="0.35">
      <c r="A1019">
        <v>1018</v>
      </c>
      <c r="B1019" s="5">
        <v>45214</v>
      </c>
      <c r="C1019" s="4">
        <f t="shared" si="199"/>
        <v>2023</v>
      </c>
      <c r="D1019" s="4">
        <f t="shared" si="200"/>
        <v>10</v>
      </c>
      <c r="E1019" s="14">
        <v>45214</v>
      </c>
      <c r="F1019" s="4">
        <f t="shared" si="201"/>
        <v>15</v>
      </c>
      <c r="G1019">
        <v>390</v>
      </c>
      <c r="H1019">
        <v>362</v>
      </c>
      <c r="I1019" s="13">
        <f t="shared" si="202"/>
        <v>0.92</v>
      </c>
      <c r="J1019">
        <f t="shared" si="195"/>
        <v>28</v>
      </c>
      <c r="K1019" s="2">
        <v>3.5879629629629629E-4</v>
      </c>
      <c r="L1019" s="11">
        <f t="shared" si="196"/>
        <v>187.03333333333336</v>
      </c>
      <c r="M1019" s="3">
        <f t="shared" si="203"/>
        <v>0.51666666666666672</v>
      </c>
      <c r="N1019" s="4">
        <f t="shared" si="204"/>
        <v>31.000000000000004</v>
      </c>
      <c r="O1019" s="2">
        <v>1.9675925925925924E-3</v>
      </c>
      <c r="P1019" s="9">
        <f t="shared" si="197"/>
        <v>1025.6666666666667</v>
      </c>
      <c r="Q1019" s="3">
        <f t="shared" si="205"/>
        <v>2.8333333333333335</v>
      </c>
      <c r="R1019" s="4">
        <f t="shared" si="206"/>
        <v>170</v>
      </c>
      <c r="S1019" s="3">
        <f t="shared" si="207"/>
        <v>215</v>
      </c>
      <c r="T1019" s="1">
        <v>0.5948</v>
      </c>
      <c r="U1019" s="6">
        <f t="shared" si="198"/>
        <v>215.3176</v>
      </c>
    </row>
    <row r="1020" spans="1:21" x14ac:dyDescent="0.35">
      <c r="A1020">
        <v>1019</v>
      </c>
      <c r="B1020" s="5">
        <v>45215</v>
      </c>
      <c r="C1020" s="4">
        <f t="shared" si="199"/>
        <v>2023</v>
      </c>
      <c r="D1020" s="4">
        <f t="shared" si="200"/>
        <v>10</v>
      </c>
      <c r="E1020" s="14">
        <v>45215</v>
      </c>
      <c r="F1020" s="4">
        <f t="shared" si="201"/>
        <v>16</v>
      </c>
      <c r="G1020">
        <v>238</v>
      </c>
      <c r="H1020">
        <v>205</v>
      </c>
      <c r="I1020" s="13">
        <f t="shared" si="202"/>
        <v>0.86</v>
      </c>
      <c r="J1020">
        <f t="shared" si="195"/>
        <v>33</v>
      </c>
      <c r="K1020" s="2">
        <v>3.3564814814814812E-4</v>
      </c>
      <c r="L1020" s="11">
        <f t="shared" si="196"/>
        <v>99.083333333333329</v>
      </c>
      <c r="M1020" s="3">
        <f t="shared" si="203"/>
        <v>0.48333333333333334</v>
      </c>
      <c r="N1020" s="4">
        <f t="shared" si="204"/>
        <v>29</v>
      </c>
      <c r="O1020" s="2">
        <v>1.5972222222222223E-3</v>
      </c>
      <c r="P1020" s="9">
        <f t="shared" si="197"/>
        <v>471.49999999999994</v>
      </c>
      <c r="Q1020" s="3">
        <f t="shared" si="205"/>
        <v>2.2999999999999998</v>
      </c>
      <c r="R1020" s="4">
        <f t="shared" si="206"/>
        <v>138</v>
      </c>
      <c r="S1020" s="3">
        <f t="shared" si="207"/>
        <v>124</v>
      </c>
      <c r="T1020" s="1">
        <v>0.60870000000000002</v>
      </c>
      <c r="U1020" s="6">
        <f t="shared" si="198"/>
        <v>124.7835</v>
      </c>
    </row>
    <row r="1021" spans="1:21" x14ac:dyDescent="0.35">
      <c r="A1021">
        <v>1020</v>
      </c>
      <c r="B1021" s="5">
        <v>45216</v>
      </c>
      <c r="C1021" s="4">
        <f t="shared" si="199"/>
        <v>2023</v>
      </c>
      <c r="D1021" s="4">
        <f t="shared" si="200"/>
        <v>10</v>
      </c>
      <c r="E1021" s="14">
        <v>45216</v>
      </c>
      <c r="F1021" s="4">
        <f t="shared" si="201"/>
        <v>17</v>
      </c>
      <c r="G1021">
        <v>29</v>
      </c>
      <c r="H1021">
        <v>28</v>
      </c>
      <c r="I1021" s="13">
        <f t="shared" si="202"/>
        <v>0.96</v>
      </c>
      <c r="J1021">
        <f t="shared" si="195"/>
        <v>1</v>
      </c>
      <c r="K1021" s="2">
        <v>1.0416666666666667E-4</v>
      </c>
      <c r="L1021" s="11">
        <f t="shared" si="196"/>
        <v>4.2</v>
      </c>
      <c r="M1021" s="3">
        <f t="shared" si="203"/>
        <v>0.15</v>
      </c>
      <c r="N1021" s="4">
        <f t="shared" si="204"/>
        <v>9</v>
      </c>
      <c r="O1021" s="2">
        <v>1.712962962962963E-3</v>
      </c>
      <c r="P1021" s="9">
        <f t="shared" si="197"/>
        <v>69.066666666666663</v>
      </c>
      <c r="Q1021" s="3">
        <f t="shared" si="205"/>
        <v>2.4666666666666668</v>
      </c>
      <c r="R1021" s="4">
        <f t="shared" si="206"/>
        <v>148</v>
      </c>
      <c r="S1021" s="3">
        <f t="shared" si="207"/>
        <v>25</v>
      </c>
      <c r="T1021" s="1">
        <v>0.89290000000000003</v>
      </c>
      <c r="U1021" s="6">
        <f t="shared" si="198"/>
        <v>25.001200000000001</v>
      </c>
    </row>
    <row r="1022" spans="1:21" x14ac:dyDescent="0.35">
      <c r="A1022">
        <v>1021</v>
      </c>
      <c r="B1022" s="5">
        <v>45217</v>
      </c>
      <c r="C1022" s="4">
        <f t="shared" si="199"/>
        <v>2023</v>
      </c>
      <c r="D1022" s="4">
        <f t="shared" si="200"/>
        <v>10</v>
      </c>
      <c r="E1022" s="14">
        <v>45217</v>
      </c>
      <c r="F1022" s="4">
        <f t="shared" si="201"/>
        <v>18</v>
      </c>
      <c r="G1022">
        <v>30</v>
      </c>
      <c r="H1022">
        <v>29</v>
      </c>
      <c r="I1022" s="13">
        <f t="shared" si="202"/>
        <v>0.96</v>
      </c>
      <c r="J1022">
        <f t="shared" si="195"/>
        <v>1</v>
      </c>
      <c r="K1022" s="2">
        <v>2.199074074074074E-4</v>
      </c>
      <c r="L1022" s="11">
        <f t="shared" si="196"/>
        <v>9.1833333333333336</v>
      </c>
      <c r="M1022" s="3">
        <f t="shared" si="203"/>
        <v>0.31666666666666665</v>
      </c>
      <c r="N1022" s="4">
        <f t="shared" si="204"/>
        <v>19</v>
      </c>
      <c r="O1022" s="2">
        <v>1.736111111111111E-3</v>
      </c>
      <c r="P1022" s="9">
        <f t="shared" si="197"/>
        <v>72.5</v>
      </c>
      <c r="Q1022" s="3">
        <f t="shared" si="205"/>
        <v>2.5</v>
      </c>
      <c r="R1022" s="4">
        <f t="shared" si="206"/>
        <v>150</v>
      </c>
      <c r="S1022" s="3">
        <f t="shared" si="207"/>
        <v>24</v>
      </c>
      <c r="T1022" s="1">
        <v>0.83330000000000004</v>
      </c>
      <c r="U1022" s="6">
        <f t="shared" si="198"/>
        <v>24.165700000000001</v>
      </c>
    </row>
    <row r="1023" spans="1:21" x14ac:dyDescent="0.35">
      <c r="A1023">
        <v>1022</v>
      </c>
      <c r="B1023" s="5">
        <v>45218</v>
      </c>
      <c r="C1023" s="4">
        <f t="shared" si="199"/>
        <v>2023</v>
      </c>
      <c r="D1023" s="4">
        <f t="shared" si="200"/>
        <v>10</v>
      </c>
      <c r="E1023" s="14">
        <v>45218</v>
      </c>
      <c r="F1023" s="4">
        <f t="shared" si="201"/>
        <v>19</v>
      </c>
      <c r="G1023">
        <v>287</v>
      </c>
      <c r="H1023">
        <v>273</v>
      </c>
      <c r="I1023" s="13">
        <f t="shared" si="202"/>
        <v>0.95</v>
      </c>
      <c r="J1023">
        <f t="shared" si="195"/>
        <v>14</v>
      </c>
      <c r="K1023" s="2">
        <v>1.8518518518518518E-4</v>
      </c>
      <c r="L1023" s="11">
        <f t="shared" si="196"/>
        <v>72.8</v>
      </c>
      <c r="M1023" s="3">
        <f t="shared" si="203"/>
        <v>0.26666666666666666</v>
      </c>
      <c r="N1023" s="4">
        <f t="shared" si="204"/>
        <v>16</v>
      </c>
      <c r="O1023" s="2">
        <v>1.6203703703703703E-3</v>
      </c>
      <c r="P1023" s="9">
        <f t="shared" si="197"/>
        <v>637</v>
      </c>
      <c r="Q1023" s="3">
        <f t="shared" si="205"/>
        <v>2.3333333333333335</v>
      </c>
      <c r="R1023" s="4">
        <f t="shared" si="206"/>
        <v>140</v>
      </c>
      <c r="S1023" s="3">
        <f t="shared" si="207"/>
        <v>215</v>
      </c>
      <c r="T1023" s="1">
        <v>0.79</v>
      </c>
      <c r="U1023" s="6">
        <f t="shared" si="198"/>
        <v>215.67000000000002</v>
      </c>
    </row>
    <row r="1024" spans="1:21" x14ac:dyDescent="0.35">
      <c r="A1024">
        <v>1023</v>
      </c>
      <c r="B1024" s="5">
        <v>45219</v>
      </c>
      <c r="C1024" s="4">
        <f t="shared" si="199"/>
        <v>2023</v>
      </c>
      <c r="D1024" s="4">
        <f t="shared" si="200"/>
        <v>10</v>
      </c>
      <c r="E1024" s="14">
        <v>45219</v>
      </c>
      <c r="F1024" s="4">
        <f t="shared" si="201"/>
        <v>20</v>
      </c>
      <c r="G1024">
        <v>474</v>
      </c>
      <c r="H1024">
        <v>380</v>
      </c>
      <c r="I1024" s="13">
        <f t="shared" si="202"/>
        <v>0.8</v>
      </c>
      <c r="J1024">
        <f t="shared" si="195"/>
        <v>94</v>
      </c>
      <c r="K1024" s="2">
        <v>4.5138888888888887E-4</v>
      </c>
      <c r="L1024" s="11">
        <f t="shared" si="196"/>
        <v>247</v>
      </c>
      <c r="M1024" s="3">
        <f t="shared" si="203"/>
        <v>0.65</v>
      </c>
      <c r="N1024" s="4">
        <f t="shared" si="204"/>
        <v>39</v>
      </c>
      <c r="O1024" s="2">
        <v>1.4814814814814814E-3</v>
      </c>
      <c r="P1024" s="9">
        <f t="shared" si="197"/>
        <v>810.66666666666663</v>
      </c>
      <c r="Q1024" s="3">
        <f t="shared" si="205"/>
        <v>2.1333333333333333</v>
      </c>
      <c r="R1024" s="4">
        <f t="shared" si="206"/>
        <v>128</v>
      </c>
      <c r="S1024" s="3">
        <f t="shared" si="207"/>
        <v>180</v>
      </c>
      <c r="T1024" s="1">
        <v>0.47420000000000001</v>
      </c>
      <c r="U1024" s="6">
        <f t="shared" si="198"/>
        <v>180.196</v>
      </c>
    </row>
    <row r="1025" spans="1:21" x14ac:dyDescent="0.35">
      <c r="A1025">
        <v>1024</v>
      </c>
      <c r="B1025" s="5">
        <v>45220</v>
      </c>
      <c r="C1025" s="4">
        <f t="shared" si="199"/>
        <v>2023</v>
      </c>
      <c r="D1025" s="4">
        <f t="shared" si="200"/>
        <v>10</v>
      </c>
      <c r="E1025" s="14">
        <v>45220</v>
      </c>
      <c r="F1025" s="4">
        <f t="shared" si="201"/>
        <v>21</v>
      </c>
      <c r="G1025">
        <v>277</v>
      </c>
      <c r="H1025">
        <v>230</v>
      </c>
      <c r="I1025" s="13">
        <f t="shared" si="202"/>
        <v>0.83</v>
      </c>
      <c r="J1025">
        <f t="shared" si="195"/>
        <v>47</v>
      </c>
      <c r="K1025" s="2">
        <v>4.6296296296296298E-4</v>
      </c>
      <c r="L1025" s="11">
        <f t="shared" si="196"/>
        <v>153.33333333333331</v>
      </c>
      <c r="M1025" s="3">
        <f t="shared" si="203"/>
        <v>0.66666666666666663</v>
      </c>
      <c r="N1025" s="4">
        <f t="shared" si="204"/>
        <v>40</v>
      </c>
      <c r="O1025" s="2">
        <v>1.9907407407407408E-3</v>
      </c>
      <c r="P1025" s="9">
        <f t="shared" si="197"/>
        <v>659.33333333333337</v>
      </c>
      <c r="Q1025" s="3">
        <f t="shared" si="205"/>
        <v>2.8666666666666667</v>
      </c>
      <c r="R1025" s="4">
        <f t="shared" si="206"/>
        <v>172</v>
      </c>
      <c r="S1025" s="3">
        <f t="shared" si="207"/>
        <v>106</v>
      </c>
      <c r="T1025" s="1">
        <v>0.46179999999999999</v>
      </c>
      <c r="U1025" s="6">
        <f t="shared" si="198"/>
        <v>106.214</v>
      </c>
    </row>
    <row r="1026" spans="1:21" x14ac:dyDescent="0.35">
      <c r="A1026">
        <v>1025</v>
      </c>
      <c r="B1026" s="5">
        <v>45221</v>
      </c>
      <c r="C1026" s="4">
        <f t="shared" si="199"/>
        <v>2023</v>
      </c>
      <c r="D1026" s="4">
        <f t="shared" si="200"/>
        <v>10</v>
      </c>
      <c r="E1026" s="14">
        <v>45221</v>
      </c>
      <c r="F1026" s="4">
        <f t="shared" si="201"/>
        <v>22</v>
      </c>
      <c r="G1026">
        <v>173</v>
      </c>
      <c r="H1026">
        <v>163</v>
      </c>
      <c r="I1026" s="13">
        <f t="shared" si="202"/>
        <v>0.94</v>
      </c>
      <c r="J1026">
        <f t="shared" ref="J1026:J1089" si="208">G1026-H1026</f>
        <v>10</v>
      </c>
      <c r="K1026" s="2">
        <v>1.9675925925925926E-4</v>
      </c>
      <c r="L1026" s="11">
        <f t="shared" ref="L1026:L1089" si="209">H1026*M1026</f>
        <v>46.18333333333333</v>
      </c>
      <c r="M1026" s="3">
        <f t="shared" si="203"/>
        <v>0.28333333333333333</v>
      </c>
      <c r="N1026" s="4">
        <f t="shared" si="204"/>
        <v>17</v>
      </c>
      <c r="O1026" s="2">
        <v>1.9212962962962964E-3</v>
      </c>
      <c r="P1026" s="9">
        <f t="shared" ref="P1026:P1089" si="210">Q1026*H1026</f>
        <v>450.96666666666664</v>
      </c>
      <c r="Q1026" s="3">
        <f t="shared" si="205"/>
        <v>2.7666666666666666</v>
      </c>
      <c r="R1026" s="4">
        <f t="shared" si="206"/>
        <v>166</v>
      </c>
      <c r="S1026" s="3">
        <f t="shared" si="207"/>
        <v>125</v>
      </c>
      <c r="T1026" s="1">
        <v>0.77190000000000003</v>
      </c>
      <c r="U1026" s="6">
        <f t="shared" ref="U1026:U1089" si="211">T1026*H1026</f>
        <v>125.81970000000001</v>
      </c>
    </row>
    <row r="1027" spans="1:21" x14ac:dyDescent="0.35">
      <c r="A1027">
        <v>1026</v>
      </c>
      <c r="B1027" s="5">
        <v>45222</v>
      </c>
      <c r="C1027" s="4">
        <f t="shared" ref="C1027:C1090" si="212">YEAR(B1027)</f>
        <v>2023</v>
      </c>
      <c r="D1027" s="4">
        <f t="shared" ref="D1027:D1090" si="213">MONTH(B1027)</f>
        <v>10</v>
      </c>
      <c r="E1027" s="14">
        <v>45222</v>
      </c>
      <c r="F1027" s="4">
        <f t="shared" ref="F1027:F1090" si="214">DAY(B1027)</f>
        <v>23</v>
      </c>
      <c r="G1027">
        <v>167</v>
      </c>
      <c r="H1027">
        <v>152</v>
      </c>
      <c r="I1027" s="13">
        <f t="shared" ref="I1027:I1090" si="215">TRUNC(H1027/G1027,2)</f>
        <v>0.91</v>
      </c>
      <c r="J1027">
        <f t="shared" si="208"/>
        <v>15</v>
      </c>
      <c r="K1027" s="2">
        <v>1.5046296296296297E-4</v>
      </c>
      <c r="L1027" s="11">
        <f t="shared" si="209"/>
        <v>32.933333333333337</v>
      </c>
      <c r="M1027" s="3">
        <f t="shared" ref="M1027:M1090" si="216">MINUTE(K1027)+SECOND(K1027)/60</f>
        <v>0.21666666666666667</v>
      </c>
      <c r="N1027" s="4">
        <f t="shared" ref="N1027:N1090" si="217">M1027*60</f>
        <v>13</v>
      </c>
      <c r="O1027" s="2">
        <v>1.8171296296296297E-3</v>
      </c>
      <c r="P1027" s="9">
        <f t="shared" si="210"/>
        <v>397.73333333333335</v>
      </c>
      <c r="Q1027" s="3">
        <f t="shared" ref="Q1027:Q1090" si="218">MINUTE(O1027)+SECOND(O1027)/60</f>
        <v>2.6166666666666667</v>
      </c>
      <c r="R1027" s="4">
        <f t="shared" ref="R1027:R1090" si="219">Q1027*60</f>
        <v>157</v>
      </c>
      <c r="S1027" s="3">
        <f t="shared" ref="S1027:S1090" si="220">TRUNC(U1027,0)</f>
        <v>127</v>
      </c>
      <c r="T1027" s="1">
        <v>0.84150000000000003</v>
      </c>
      <c r="U1027" s="6">
        <f t="shared" si="211"/>
        <v>127.908</v>
      </c>
    </row>
    <row r="1028" spans="1:21" x14ac:dyDescent="0.35">
      <c r="A1028">
        <v>1027</v>
      </c>
      <c r="B1028" s="5">
        <v>45223</v>
      </c>
      <c r="C1028" s="4">
        <f t="shared" si="212"/>
        <v>2023</v>
      </c>
      <c r="D1028" s="4">
        <f t="shared" si="213"/>
        <v>10</v>
      </c>
      <c r="E1028" s="14">
        <v>45223</v>
      </c>
      <c r="F1028" s="4">
        <f t="shared" si="214"/>
        <v>24</v>
      </c>
      <c r="G1028">
        <v>27</v>
      </c>
      <c r="H1028">
        <v>24</v>
      </c>
      <c r="I1028" s="13">
        <f t="shared" si="215"/>
        <v>0.88</v>
      </c>
      <c r="J1028">
        <f t="shared" si="208"/>
        <v>3</v>
      </c>
      <c r="K1028" s="2">
        <v>2.3148148148148149E-4</v>
      </c>
      <c r="L1028" s="11">
        <f t="shared" si="209"/>
        <v>8</v>
      </c>
      <c r="M1028" s="3">
        <f t="shared" si="216"/>
        <v>0.33333333333333331</v>
      </c>
      <c r="N1028" s="4">
        <f t="shared" si="217"/>
        <v>20</v>
      </c>
      <c r="O1028" s="2">
        <v>1.4467592592592592E-3</v>
      </c>
      <c r="P1028" s="9">
        <f t="shared" si="210"/>
        <v>50</v>
      </c>
      <c r="Q1028" s="3">
        <f t="shared" si="218"/>
        <v>2.0833333333333335</v>
      </c>
      <c r="R1028" s="4">
        <f t="shared" si="219"/>
        <v>125.00000000000001</v>
      </c>
      <c r="S1028" s="3">
        <f t="shared" si="220"/>
        <v>18</v>
      </c>
      <c r="T1028" s="1">
        <v>0.76919999999999999</v>
      </c>
      <c r="U1028" s="6">
        <f t="shared" si="211"/>
        <v>18.460799999999999</v>
      </c>
    </row>
    <row r="1029" spans="1:21" x14ac:dyDescent="0.35">
      <c r="A1029">
        <v>1028</v>
      </c>
      <c r="B1029" s="5">
        <v>45224</v>
      </c>
      <c r="C1029" s="4">
        <f t="shared" si="212"/>
        <v>2023</v>
      </c>
      <c r="D1029" s="4">
        <f t="shared" si="213"/>
        <v>10</v>
      </c>
      <c r="E1029" s="14">
        <v>45224</v>
      </c>
      <c r="F1029" s="4">
        <f t="shared" si="214"/>
        <v>25</v>
      </c>
      <c r="G1029">
        <v>173</v>
      </c>
      <c r="H1029">
        <v>153</v>
      </c>
      <c r="I1029" s="13">
        <f t="shared" si="215"/>
        <v>0.88</v>
      </c>
      <c r="J1029">
        <f t="shared" si="208"/>
        <v>20</v>
      </c>
      <c r="K1029" s="2">
        <v>3.3564814814814812E-4</v>
      </c>
      <c r="L1029" s="11">
        <f t="shared" si="209"/>
        <v>73.95</v>
      </c>
      <c r="M1029" s="3">
        <f t="shared" si="216"/>
        <v>0.48333333333333334</v>
      </c>
      <c r="N1029" s="4">
        <f t="shared" si="217"/>
        <v>29</v>
      </c>
      <c r="O1029" s="2">
        <v>1.9212962962962964E-3</v>
      </c>
      <c r="P1029" s="9">
        <f t="shared" si="210"/>
        <v>423.3</v>
      </c>
      <c r="Q1029" s="3">
        <f t="shared" si="218"/>
        <v>2.7666666666666666</v>
      </c>
      <c r="R1029" s="4">
        <f t="shared" si="219"/>
        <v>166</v>
      </c>
      <c r="S1029" s="3">
        <f t="shared" si="220"/>
        <v>88</v>
      </c>
      <c r="T1029" s="1">
        <v>0.57989999999999997</v>
      </c>
      <c r="U1029" s="6">
        <f t="shared" si="211"/>
        <v>88.724699999999999</v>
      </c>
    </row>
    <row r="1030" spans="1:21" x14ac:dyDescent="0.35">
      <c r="A1030">
        <v>1029</v>
      </c>
      <c r="B1030" s="5">
        <v>45225</v>
      </c>
      <c r="C1030" s="4">
        <f t="shared" si="212"/>
        <v>2023</v>
      </c>
      <c r="D1030" s="4">
        <f t="shared" si="213"/>
        <v>10</v>
      </c>
      <c r="E1030" s="14">
        <v>45225</v>
      </c>
      <c r="F1030" s="4">
        <f t="shared" si="214"/>
        <v>26</v>
      </c>
      <c r="G1030">
        <v>36</v>
      </c>
      <c r="H1030">
        <v>27</v>
      </c>
      <c r="I1030" s="13">
        <f t="shared" si="215"/>
        <v>0.75</v>
      </c>
      <c r="J1030">
        <f t="shared" si="208"/>
        <v>9</v>
      </c>
      <c r="K1030" s="2">
        <v>4.1666666666666669E-4</v>
      </c>
      <c r="L1030" s="11">
        <f t="shared" si="209"/>
        <v>16.2</v>
      </c>
      <c r="M1030" s="3">
        <f t="shared" si="216"/>
        <v>0.6</v>
      </c>
      <c r="N1030" s="4">
        <f t="shared" si="217"/>
        <v>36</v>
      </c>
      <c r="O1030" s="2">
        <v>2.0254629629629629E-3</v>
      </c>
      <c r="P1030" s="9">
        <f t="shared" si="210"/>
        <v>78.75</v>
      </c>
      <c r="Q1030" s="3">
        <f t="shared" si="218"/>
        <v>2.9166666666666665</v>
      </c>
      <c r="R1030" s="4">
        <f t="shared" si="219"/>
        <v>175</v>
      </c>
      <c r="S1030" s="3">
        <f t="shared" si="220"/>
        <v>11</v>
      </c>
      <c r="T1030" s="1">
        <v>0.41670000000000001</v>
      </c>
      <c r="U1030" s="6">
        <f t="shared" si="211"/>
        <v>11.2509</v>
      </c>
    </row>
    <row r="1031" spans="1:21" x14ac:dyDescent="0.35">
      <c r="A1031">
        <v>1030</v>
      </c>
      <c r="B1031" s="5">
        <v>45226</v>
      </c>
      <c r="C1031" s="4">
        <f t="shared" si="212"/>
        <v>2023</v>
      </c>
      <c r="D1031" s="4">
        <f t="shared" si="213"/>
        <v>10</v>
      </c>
      <c r="E1031" s="14">
        <v>45226</v>
      </c>
      <c r="F1031" s="4">
        <f t="shared" si="214"/>
        <v>27</v>
      </c>
      <c r="G1031">
        <v>186</v>
      </c>
      <c r="H1031">
        <v>171</v>
      </c>
      <c r="I1031" s="13">
        <f t="shared" si="215"/>
        <v>0.91</v>
      </c>
      <c r="J1031">
        <f t="shared" si="208"/>
        <v>15</v>
      </c>
      <c r="K1031" s="2">
        <v>3.1250000000000001E-4</v>
      </c>
      <c r="L1031" s="11">
        <f t="shared" si="209"/>
        <v>76.95</v>
      </c>
      <c r="M1031" s="3">
        <f t="shared" si="216"/>
        <v>0.45</v>
      </c>
      <c r="N1031" s="4">
        <f t="shared" si="217"/>
        <v>27</v>
      </c>
      <c r="O1031" s="2">
        <v>1.9560185185185184E-3</v>
      </c>
      <c r="P1031" s="9">
        <f t="shared" si="210"/>
        <v>481.65</v>
      </c>
      <c r="Q1031" s="3">
        <f t="shared" si="218"/>
        <v>2.8166666666666664</v>
      </c>
      <c r="R1031" s="4">
        <f t="shared" si="219"/>
        <v>169</v>
      </c>
      <c r="S1031" s="3">
        <f t="shared" si="220"/>
        <v>110</v>
      </c>
      <c r="T1031" s="1">
        <v>0.64480000000000004</v>
      </c>
      <c r="U1031" s="6">
        <f t="shared" si="211"/>
        <v>110.2608</v>
      </c>
    </row>
    <row r="1032" spans="1:21" x14ac:dyDescent="0.35">
      <c r="A1032">
        <v>1031</v>
      </c>
      <c r="B1032" s="5">
        <v>45227</v>
      </c>
      <c r="C1032" s="4">
        <f t="shared" si="212"/>
        <v>2023</v>
      </c>
      <c r="D1032" s="4">
        <f t="shared" si="213"/>
        <v>10</v>
      </c>
      <c r="E1032" s="14">
        <v>45227</v>
      </c>
      <c r="F1032" s="4">
        <f t="shared" si="214"/>
        <v>28</v>
      </c>
      <c r="G1032">
        <v>160</v>
      </c>
      <c r="H1032">
        <v>149</v>
      </c>
      <c r="I1032" s="13">
        <f t="shared" si="215"/>
        <v>0.93</v>
      </c>
      <c r="J1032">
        <f t="shared" si="208"/>
        <v>11</v>
      </c>
      <c r="K1032" s="2">
        <v>2.6620370370370372E-4</v>
      </c>
      <c r="L1032" s="11">
        <f t="shared" si="209"/>
        <v>57.116666666666667</v>
      </c>
      <c r="M1032" s="3">
        <f t="shared" si="216"/>
        <v>0.38333333333333336</v>
      </c>
      <c r="N1032" s="4">
        <f t="shared" si="217"/>
        <v>23</v>
      </c>
      <c r="O1032" s="2">
        <v>1.9328703703703704E-3</v>
      </c>
      <c r="P1032" s="9">
        <f t="shared" si="210"/>
        <v>414.71666666666664</v>
      </c>
      <c r="Q1032" s="3">
        <f t="shared" si="218"/>
        <v>2.7833333333333332</v>
      </c>
      <c r="R1032" s="4">
        <f t="shared" si="219"/>
        <v>167</v>
      </c>
      <c r="S1032" s="3">
        <f t="shared" si="220"/>
        <v>110</v>
      </c>
      <c r="T1032" s="1">
        <v>0.74050000000000005</v>
      </c>
      <c r="U1032" s="6">
        <f t="shared" si="211"/>
        <v>110.33450000000001</v>
      </c>
    </row>
    <row r="1033" spans="1:21" x14ac:dyDescent="0.35">
      <c r="A1033">
        <v>1032</v>
      </c>
      <c r="B1033" s="5">
        <v>45228</v>
      </c>
      <c r="C1033" s="4">
        <f t="shared" si="212"/>
        <v>2023</v>
      </c>
      <c r="D1033" s="4">
        <f t="shared" si="213"/>
        <v>10</v>
      </c>
      <c r="E1033" s="14">
        <v>45228</v>
      </c>
      <c r="F1033" s="4">
        <f t="shared" si="214"/>
        <v>29</v>
      </c>
      <c r="G1033">
        <v>233</v>
      </c>
      <c r="H1033">
        <v>215</v>
      </c>
      <c r="I1033" s="13">
        <f t="shared" si="215"/>
        <v>0.92</v>
      </c>
      <c r="J1033">
        <f t="shared" si="208"/>
        <v>18</v>
      </c>
      <c r="K1033" s="2">
        <v>2.5462962962962961E-4</v>
      </c>
      <c r="L1033" s="11">
        <f t="shared" si="209"/>
        <v>78.833333333333329</v>
      </c>
      <c r="M1033" s="3">
        <f t="shared" si="216"/>
        <v>0.36666666666666664</v>
      </c>
      <c r="N1033" s="4">
        <f t="shared" si="217"/>
        <v>22</v>
      </c>
      <c r="O1033" s="2">
        <v>1.7824074074074075E-3</v>
      </c>
      <c r="P1033" s="9">
        <f t="shared" si="210"/>
        <v>551.83333333333326</v>
      </c>
      <c r="Q1033" s="3">
        <f t="shared" si="218"/>
        <v>2.5666666666666664</v>
      </c>
      <c r="R1033" s="4">
        <f t="shared" si="219"/>
        <v>154</v>
      </c>
      <c r="S1033" s="3">
        <f t="shared" si="220"/>
        <v>159</v>
      </c>
      <c r="T1033" s="1">
        <v>0.74119999999999997</v>
      </c>
      <c r="U1033" s="6">
        <f t="shared" si="211"/>
        <v>159.358</v>
      </c>
    </row>
    <row r="1034" spans="1:21" x14ac:dyDescent="0.35">
      <c r="A1034">
        <v>1033</v>
      </c>
      <c r="B1034" s="5">
        <v>45229</v>
      </c>
      <c r="C1034" s="4">
        <f t="shared" si="212"/>
        <v>2023</v>
      </c>
      <c r="D1034" s="4">
        <f t="shared" si="213"/>
        <v>10</v>
      </c>
      <c r="E1034" s="14">
        <v>45229</v>
      </c>
      <c r="F1034" s="4">
        <f t="shared" si="214"/>
        <v>30</v>
      </c>
      <c r="G1034">
        <v>162</v>
      </c>
      <c r="H1034">
        <v>157</v>
      </c>
      <c r="I1034" s="13">
        <f t="shared" si="215"/>
        <v>0.96</v>
      </c>
      <c r="J1034">
        <f t="shared" si="208"/>
        <v>5</v>
      </c>
      <c r="K1034" s="2">
        <v>1.5046296296296297E-4</v>
      </c>
      <c r="L1034" s="11">
        <f t="shared" si="209"/>
        <v>34.016666666666666</v>
      </c>
      <c r="M1034" s="3">
        <f t="shared" si="216"/>
        <v>0.21666666666666667</v>
      </c>
      <c r="N1034" s="4">
        <f t="shared" si="217"/>
        <v>13</v>
      </c>
      <c r="O1034" s="2">
        <v>1.7592592592592592E-3</v>
      </c>
      <c r="P1034" s="9">
        <f t="shared" si="210"/>
        <v>397.73333333333329</v>
      </c>
      <c r="Q1034" s="3">
        <f t="shared" si="218"/>
        <v>2.5333333333333332</v>
      </c>
      <c r="R1034" s="4">
        <f t="shared" si="219"/>
        <v>152</v>
      </c>
      <c r="S1034" s="3">
        <f t="shared" si="220"/>
        <v>129</v>
      </c>
      <c r="T1034" s="1">
        <v>0.82720000000000005</v>
      </c>
      <c r="U1034" s="6">
        <f t="shared" si="211"/>
        <v>129.87040000000002</v>
      </c>
    </row>
    <row r="1035" spans="1:21" x14ac:dyDescent="0.35">
      <c r="A1035">
        <v>1034</v>
      </c>
      <c r="B1035" s="5">
        <v>45230</v>
      </c>
      <c r="C1035" s="4">
        <f t="shared" si="212"/>
        <v>2023</v>
      </c>
      <c r="D1035" s="4">
        <f t="shared" si="213"/>
        <v>10</v>
      </c>
      <c r="E1035" s="14">
        <v>45230</v>
      </c>
      <c r="F1035" s="4">
        <f t="shared" si="214"/>
        <v>31</v>
      </c>
      <c r="G1035">
        <v>27</v>
      </c>
      <c r="H1035">
        <v>24</v>
      </c>
      <c r="I1035" s="13">
        <f t="shared" si="215"/>
        <v>0.88</v>
      </c>
      <c r="J1035">
        <f t="shared" si="208"/>
        <v>3</v>
      </c>
      <c r="K1035" s="2">
        <v>2.0833333333333335E-4</v>
      </c>
      <c r="L1035" s="11">
        <f t="shared" si="209"/>
        <v>7.1999999999999993</v>
      </c>
      <c r="M1035" s="3">
        <f t="shared" si="216"/>
        <v>0.3</v>
      </c>
      <c r="N1035" s="4">
        <f t="shared" si="217"/>
        <v>18</v>
      </c>
      <c r="O1035" s="2">
        <v>1.5046296296296296E-3</v>
      </c>
      <c r="P1035" s="9">
        <f t="shared" si="210"/>
        <v>52</v>
      </c>
      <c r="Q1035" s="3">
        <f t="shared" si="218"/>
        <v>2.1666666666666665</v>
      </c>
      <c r="R1035" s="4">
        <f t="shared" si="219"/>
        <v>130</v>
      </c>
      <c r="S1035" s="3">
        <f t="shared" si="220"/>
        <v>16</v>
      </c>
      <c r="T1035" s="1">
        <v>0.70369999999999999</v>
      </c>
      <c r="U1035" s="6">
        <f t="shared" si="211"/>
        <v>16.8888</v>
      </c>
    </row>
    <row r="1036" spans="1:21" x14ac:dyDescent="0.35">
      <c r="A1036">
        <v>1035</v>
      </c>
      <c r="B1036" s="5">
        <v>45231</v>
      </c>
      <c r="C1036" s="4">
        <f t="shared" si="212"/>
        <v>2023</v>
      </c>
      <c r="D1036" s="4">
        <f t="shared" si="213"/>
        <v>11</v>
      </c>
      <c r="E1036" s="14">
        <v>45231</v>
      </c>
      <c r="F1036" s="4">
        <f t="shared" si="214"/>
        <v>1</v>
      </c>
      <c r="G1036">
        <v>168</v>
      </c>
      <c r="H1036">
        <v>155</v>
      </c>
      <c r="I1036" s="13">
        <f t="shared" si="215"/>
        <v>0.92</v>
      </c>
      <c r="J1036">
        <f t="shared" si="208"/>
        <v>13</v>
      </c>
      <c r="K1036" s="2">
        <v>3.0092592592592595E-4</v>
      </c>
      <c r="L1036" s="11">
        <f t="shared" si="209"/>
        <v>67.166666666666671</v>
      </c>
      <c r="M1036" s="3">
        <f t="shared" si="216"/>
        <v>0.43333333333333335</v>
      </c>
      <c r="N1036" s="4">
        <f t="shared" si="217"/>
        <v>26</v>
      </c>
      <c r="O1036" s="2">
        <v>2.2916666666666667E-3</v>
      </c>
      <c r="P1036" s="9">
        <f t="shared" si="210"/>
        <v>511.5</v>
      </c>
      <c r="Q1036" s="3">
        <f t="shared" si="218"/>
        <v>3.3</v>
      </c>
      <c r="R1036" s="4">
        <f t="shared" si="219"/>
        <v>198</v>
      </c>
      <c r="S1036" s="3">
        <f t="shared" si="220"/>
        <v>100</v>
      </c>
      <c r="T1036" s="1">
        <v>0.64880000000000004</v>
      </c>
      <c r="U1036" s="6">
        <f t="shared" si="211"/>
        <v>100.56400000000001</v>
      </c>
    </row>
    <row r="1037" spans="1:21" x14ac:dyDescent="0.35">
      <c r="A1037">
        <v>1036</v>
      </c>
      <c r="B1037" s="5">
        <v>45232</v>
      </c>
      <c r="C1037" s="4">
        <f t="shared" si="212"/>
        <v>2023</v>
      </c>
      <c r="D1037" s="4">
        <f t="shared" si="213"/>
        <v>11</v>
      </c>
      <c r="E1037" s="14">
        <v>45232</v>
      </c>
      <c r="F1037" s="4">
        <f t="shared" si="214"/>
        <v>2</v>
      </c>
      <c r="G1037">
        <v>328</v>
      </c>
      <c r="H1037">
        <v>301</v>
      </c>
      <c r="I1037" s="13">
        <f t="shared" si="215"/>
        <v>0.91</v>
      </c>
      <c r="J1037">
        <f t="shared" si="208"/>
        <v>27</v>
      </c>
      <c r="K1037" s="2">
        <v>2.6620370370370372E-4</v>
      </c>
      <c r="L1037" s="11">
        <f t="shared" si="209"/>
        <v>115.38333333333334</v>
      </c>
      <c r="M1037" s="3">
        <f t="shared" si="216"/>
        <v>0.38333333333333336</v>
      </c>
      <c r="N1037" s="4">
        <f t="shared" si="217"/>
        <v>23</v>
      </c>
      <c r="O1037" s="2">
        <v>1.724537037037037E-3</v>
      </c>
      <c r="P1037" s="9">
        <f t="shared" si="210"/>
        <v>747.48333333333335</v>
      </c>
      <c r="Q1037" s="3">
        <f t="shared" si="218"/>
        <v>2.4833333333333334</v>
      </c>
      <c r="R1037" s="4">
        <f t="shared" si="219"/>
        <v>149</v>
      </c>
      <c r="S1037" s="3">
        <f t="shared" si="220"/>
        <v>204</v>
      </c>
      <c r="T1037" s="1">
        <v>0.67910000000000004</v>
      </c>
      <c r="U1037" s="6">
        <f t="shared" si="211"/>
        <v>204.40910000000002</v>
      </c>
    </row>
    <row r="1038" spans="1:21" x14ac:dyDescent="0.35">
      <c r="A1038">
        <v>1037</v>
      </c>
      <c r="B1038" s="5">
        <v>45233</v>
      </c>
      <c r="C1038" s="4">
        <f t="shared" si="212"/>
        <v>2023</v>
      </c>
      <c r="D1038" s="4">
        <f t="shared" si="213"/>
        <v>11</v>
      </c>
      <c r="E1038" s="14">
        <v>45233</v>
      </c>
      <c r="F1038" s="4">
        <f t="shared" si="214"/>
        <v>3</v>
      </c>
      <c r="G1038">
        <v>234</v>
      </c>
      <c r="H1038">
        <v>208</v>
      </c>
      <c r="I1038" s="13">
        <f t="shared" si="215"/>
        <v>0.88</v>
      </c>
      <c r="J1038">
        <f t="shared" si="208"/>
        <v>26</v>
      </c>
      <c r="K1038" s="2">
        <v>2.3148148148148149E-4</v>
      </c>
      <c r="L1038" s="11">
        <f t="shared" si="209"/>
        <v>69.333333333333329</v>
      </c>
      <c r="M1038" s="3">
        <f t="shared" si="216"/>
        <v>0.33333333333333331</v>
      </c>
      <c r="N1038" s="4">
        <f t="shared" si="217"/>
        <v>20</v>
      </c>
      <c r="O1038" s="2">
        <v>1.8981481481481482E-3</v>
      </c>
      <c r="P1038" s="9">
        <f t="shared" si="210"/>
        <v>568.5333333333333</v>
      </c>
      <c r="Q1038" s="3">
        <f t="shared" si="218"/>
        <v>2.7333333333333334</v>
      </c>
      <c r="R1038" s="4">
        <f t="shared" si="219"/>
        <v>164</v>
      </c>
      <c r="S1038" s="3">
        <f t="shared" si="220"/>
        <v>150</v>
      </c>
      <c r="T1038" s="1">
        <v>0.72250000000000003</v>
      </c>
      <c r="U1038" s="6">
        <f t="shared" si="211"/>
        <v>150.28</v>
      </c>
    </row>
    <row r="1039" spans="1:21" x14ac:dyDescent="0.35">
      <c r="A1039">
        <v>1038</v>
      </c>
      <c r="B1039" s="5">
        <v>45234</v>
      </c>
      <c r="C1039" s="4">
        <f t="shared" si="212"/>
        <v>2023</v>
      </c>
      <c r="D1039" s="4">
        <f t="shared" si="213"/>
        <v>11</v>
      </c>
      <c r="E1039" s="14">
        <v>45234</v>
      </c>
      <c r="F1039" s="4">
        <f t="shared" si="214"/>
        <v>4</v>
      </c>
      <c r="G1039">
        <v>37</v>
      </c>
      <c r="H1039">
        <v>34</v>
      </c>
      <c r="I1039" s="13">
        <f t="shared" si="215"/>
        <v>0.91</v>
      </c>
      <c r="J1039">
        <f t="shared" si="208"/>
        <v>3</v>
      </c>
      <c r="K1039" s="2">
        <v>1.6203703703703703E-4</v>
      </c>
      <c r="L1039" s="11">
        <f t="shared" si="209"/>
        <v>7.9333333333333336</v>
      </c>
      <c r="M1039" s="3">
        <f t="shared" si="216"/>
        <v>0.23333333333333334</v>
      </c>
      <c r="N1039" s="4">
        <f t="shared" si="217"/>
        <v>14</v>
      </c>
      <c r="O1039" s="2">
        <v>1.5740740740740741E-3</v>
      </c>
      <c r="P1039" s="9">
        <f t="shared" si="210"/>
        <v>77.066666666666663</v>
      </c>
      <c r="Q1039" s="3">
        <f t="shared" si="218"/>
        <v>2.2666666666666666</v>
      </c>
      <c r="R1039" s="4">
        <f t="shared" si="219"/>
        <v>136</v>
      </c>
      <c r="S1039" s="3">
        <f t="shared" si="220"/>
        <v>28</v>
      </c>
      <c r="T1039" s="1">
        <v>0.83779999999999999</v>
      </c>
      <c r="U1039" s="6">
        <f t="shared" si="211"/>
        <v>28.485199999999999</v>
      </c>
    </row>
    <row r="1040" spans="1:21" x14ac:dyDescent="0.35">
      <c r="A1040">
        <v>1039</v>
      </c>
      <c r="B1040" s="5">
        <v>45235</v>
      </c>
      <c r="C1040" s="4">
        <f t="shared" si="212"/>
        <v>2023</v>
      </c>
      <c r="D1040" s="4">
        <f t="shared" si="213"/>
        <v>11</v>
      </c>
      <c r="E1040" s="14">
        <v>45235</v>
      </c>
      <c r="F1040" s="4">
        <f t="shared" si="214"/>
        <v>5</v>
      </c>
      <c r="G1040">
        <v>185</v>
      </c>
      <c r="H1040">
        <v>167</v>
      </c>
      <c r="I1040" s="13">
        <f t="shared" si="215"/>
        <v>0.9</v>
      </c>
      <c r="J1040">
        <f t="shared" si="208"/>
        <v>18</v>
      </c>
      <c r="K1040" s="2">
        <v>2.0833333333333335E-4</v>
      </c>
      <c r="L1040" s="11">
        <f t="shared" si="209"/>
        <v>50.1</v>
      </c>
      <c r="M1040" s="3">
        <f t="shared" si="216"/>
        <v>0.3</v>
      </c>
      <c r="N1040" s="4">
        <f t="shared" si="217"/>
        <v>18</v>
      </c>
      <c r="O1040" s="2">
        <v>1.8865740740740742E-3</v>
      </c>
      <c r="P1040" s="9">
        <f t="shared" si="210"/>
        <v>453.68333333333334</v>
      </c>
      <c r="Q1040" s="3">
        <f t="shared" si="218"/>
        <v>2.7166666666666668</v>
      </c>
      <c r="R1040" s="4">
        <f t="shared" si="219"/>
        <v>163</v>
      </c>
      <c r="S1040" s="3">
        <f t="shared" si="220"/>
        <v>122</v>
      </c>
      <c r="T1040" s="1">
        <v>0.73509999999999998</v>
      </c>
      <c r="U1040" s="6">
        <f t="shared" si="211"/>
        <v>122.76169999999999</v>
      </c>
    </row>
    <row r="1041" spans="1:21" x14ac:dyDescent="0.35">
      <c r="A1041">
        <v>1040</v>
      </c>
      <c r="B1041" s="5">
        <v>45236</v>
      </c>
      <c r="C1041" s="4">
        <f t="shared" si="212"/>
        <v>2023</v>
      </c>
      <c r="D1041" s="4">
        <f t="shared" si="213"/>
        <v>11</v>
      </c>
      <c r="E1041" s="14">
        <v>45236</v>
      </c>
      <c r="F1041" s="4">
        <f t="shared" si="214"/>
        <v>6</v>
      </c>
      <c r="G1041">
        <v>139</v>
      </c>
      <c r="H1041">
        <v>132</v>
      </c>
      <c r="I1041" s="13">
        <f t="shared" si="215"/>
        <v>0.94</v>
      </c>
      <c r="J1041">
        <f t="shared" si="208"/>
        <v>7</v>
      </c>
      <c r="K1041" s="2">
        <v>1.1574074074074075E-4</v>
      </c>
      <c r="L1041" s="11">
        <f t="shared" si="209"/>
        <v>22</v>
      </c>
      <c r="M1041" s="3">
        <f t="shared" si="216"/>
        <v>0.16666666666666666</v>
      </c>
      <c r="N1041" s="4">
        <f t="shared" si="217"/>
        <v>10</v>
      </c>
      <c r="O1041" s="2">
        <v>2.0486111111111113E-3</v>
      </c>
      <c r="P1041" s="9">
        <f t="shared" si="210"/>
        <v>389.40000000000003</v>
      </c>
      <c r="Q1041" s="3">
        <f t="shared" si="218"/>
        <v>2.95</v>
      </c>
      <c r="R1041" s="4">
        <f t="shared" si="219"/>
        <v>177</v>
      </c>
      <c r="S1041" s="3">
        <f t="shared" si="220"/>
        <v>116</v>
      </c>
      <c r="T1041" s="1">
        <v>0.88319999999999999</v>
      </c>
      <c r="U1041" s="6">
        <f t="shared" si="211"/>
        <v>116.58239999999999</v>
      </c>
    </row>
    <row r="1042" spans="1:21" x14ac:dyDescent="0.35">
      <c r="A1042">
        <v>1041</v>
      </c>
      <c r="B1042" s="5">
        <v>45237</v>
      </c>
      <c r="C1042" s="4">
        <f t="shared" si="212"/>
        <v>2023</v>
      </c>
      <c r="D1042" s="4">
        <f t="shared" si="213"/>
        <v>11</v>
      </c>
      <c r="E1042" s="14">
        <v>45237</v>
      </c>
      <c r="F1042" s="4">
        <f t="shared" si="214"/>
        <v>7</v>
      </c>
      <c r="G1042">
        <v>13</v>
      </c>
      <c r="H1042">
        <v>11</v>
      </c>
      <c r="I1042" s="13">
        <f t="shared" si="215"/>
        <v>0.84</v>
      </c>
      <c r="J1042">
        <f t="shared" si="208"/>
        <v>2</v>
      </c>
      <c r="K1042" s="2">
        <v>5.3240740740740744E-4</v>
      </c>
      <c r="L1042" s="11">
        <f t="shared" si="209"/>
        <v>8.4333333333333336</v>
      </c>
      <c r="M1042" s="3">
        <f t="shared" si="216"/>
        <v>0.76666666666666672</v>
      </c>
      <c r="N1042" s="4">
        <f t="shared" si="217"/>
        <v>46</v>
      </c>
      <c r="O1042" s="2">
        <v>1.4699074074074074E-3</v>
      </c>
      <c r="P1042" s="9">
        <f t="shared" si="210"/>
        <v>23.283333333333335</v>
      </c>
      <c r="Q1042" s="3">
        <f t="shared" si="218"/>
        <v>2.1166666666666667</v>
      </c>
      <c r="R1042" s="4">
        <f t="shared" si="219"/>
        <v>127</v>
      </c>
      <c r="S1042" s="3">
        <f t="shared" si="220"/>
        <v>4</v>
      </c>
      <c r="T1042" s="1">
        <v>0.41670000000000001</v>
      </c>
      <c r="U1042" s="6">
        <f t="shared" si="211"/>
        <v>4.5837000000000003</v>
      </c>
    </row>
    <row r="1043" spans="1:21" x14ac:dyDescent="0.35">
      <c r="A1043">
        <v>1042</v>
      </c>
      <c r="B1043" s="5">
        <v>45238</v>
      </c>
      <c r="C1043" s="4">
        <f t="shared" si="212"/>
        <v>2023</v>
      </c>
      <c r="D1043" s="4">
        <f t="shared" si="213"/>
        <v>11</v>
      </c>
      <c r="E1043" s="14">
        <v>45238</v>
      </c>
      <c r="F1043" s="4">
        <f t="shared" si="214"/>
        <v>8</v>
      </c>
      <c r="G1043">
        <v>161</v>
      </c>
      <c r="H1043">
        <v>152</v>
      </c>
      <c r="I1043" s="13">
        <f t="shared" si="215"/>
        <v>0.94</v>
      </c>
      <c r="J1043">
        <f t="shared" si="208"/>
        <v>9</v>
      </c>
      <c r="K1043" s="2">
        <v>2.6620370370370372E-4</v>
      </c>
      <c r="L1043" s="11">
        <f t="shared" si="209"/>
        <v>58.266666666666673</v>
      </c>
      <c r="M1043" s="3">
        <f t="shared" si="216"/>
        <v>0.38333333333333336</v>
      </c>
      <c r="N1043" s="4">
        <f t="shared" si="217"/>
        <v>23</v>
      </c>
      <c r="O1043" s="2">
        <v>1.712962962962963E-3</v>
      </c>
      <c r="P1043" s="9">
        <f t="shared" si="210"/>
        <v>374.93333333333334</v>
      </c>
      <c r="Q1043" s="3">
        <f t="shared" si="218"/>
        <v>2.4666666666666668</v>
      </c>
      <c r="R1043" s="4">
        <f t="shared" si="219"/>
        <v>148</v>
      </c>
      <c r="S1043" s="3">
        <f t="shared" si="220"/>
        <v>105</v>
      </c>
      <c r="T1043" s="1">
        <v>0.69620000000000004</v>
      </c>
      <c r="U1043" s="6">
        <f t="shared" si="211"/>
        <v>105.8224</v>
      </c>
    </row>
    <row r="1044" spans="1:21" x14ac:dyDescent="0.35">
      <c r="A1044">
        <v>1043</v>
      </c>
      <c r="B1044" s="5">
        <v>45239</v>
      </c>
      <c r="C1044" s="4">
        <f t="shared" si="212"/>
        <v>2023</v>
      </c>
      <c r="D1044" s="4">
        <f t="shared" si="213"/>
        <v>11</v>
      </c>
      <c r="E1044" s="14">
        <v>45239</v>
      </c>
      <c r="F1044" s="4">
        <f t="shared" si="214"/>
        <v>9</v>
      </c>
      <c r="G1044">
        <v>149</v>
      </c>
      <c r="H1044">
        <v>144</v>
      </c>
      <c r="I1044" s="13">
        <f t="shared" si="215"/>
        <v>0.96</v>
      </c>
      <c r="J1044">
        <f t="shared" si="208"/>
        <v>5</v>
      </c>
      <c r="K1044" s="2">
        <v>1.7361111111111112E-4</v>
      </c>
      <c r="L1044" s="11">
        <f t="shared" si="209"/>
        <v>36</v>
      </c>
      <c r="M1044" s="3">
        <f t="shared" si="216"/>
        <v>0.25</v>
      </c>
      <c r="N1044" s="4">
        <f t="shared" si="217"/>
        <v>15</v>
      </c>
      <c r="O1044" s="2">
        <v>1.9212962962962964E-3</v>
      </c>
      <c r="P1044" s="9">
        <f t="shared" si="210"/>
        <v>398.4</v>
      </c>
      <c r="Q1044" s="3">
        <f t="shared" si="218"/>
        <v>2.7666666666666666</v>
      </c>
      <c r="R1044" s="4">
        <f t="shared" si="219"/>
        <v>166</v>
      </c>
      <c r="S1044" s="3">
        <f t="shared" si="220"/>
        <v>119</v>
      </c>
      <c r="T1044" s="1">
        <v>0.83109999999999995</v>
      </c>
      <c r="U1044" s="6">
        <f t="shared" si="211"/>
        <v>119.6784</v>
      </c>
    </row>
    <row r="1045" spans="1:21" x14ac:dyDescent="0.35">
      <c r="A1045">
        <v>1044</v>
      </c>
      <c r="B1045" s="5">
        <v>45240</v>
      </c>
      <c r="C1045" s="4">
        <f t="shared" si="212"/>
        <v>2023</v>
      </c>
      <c r="D1045" s="4">
        <f t="shared" si="213"/>
        <v>11</v>
      </c>
      <c r="E1045" s="14">
        <v>45240</v>
      </c>
      <c r="F1045" s="4">
        <f t="shared" si="214"/>
        <v>10</v>
      </c>
      <c r="G1045">
        <v>178</v>
      </c>
      <c r="H1045">
        <v>167</v>
      </c>
      <c r="I1045" s="13">
        <f t="shared" si="215"/>
        <v>0.93</v>
      </c>
      <c r="J1045">
        <f t="shared" si="208"/>
        <v>11</v>
      </c>
      <c r="K1045" s="2">
        <v>2.5462962962962961E-4</v>
      </c>
      <c r="L1045" s="11">
        <f t="shared" si="209"/>
        <v>61.233333333333327</v>
      </c>
      <c r="M1045" s="3">
        <f t="shared" si="216"/>
        <v>0.36666666666666664</v>
      </c>
      <c r="N1045" s="4">
        <f t="shared" si="217"/>
        <v>22</v>
      </c>
      <c r="O1045" s="2">
        <v>1.8749999999999999E-3</v>
      </c>
      <c r="P1045" s="9">
        <f t="shared" si="210"/>
        <v>450.90000000000003</v>
      </c>
      <c r="Q1045" s="3">
        <f t="shared" si="218"/>
        <v>2.7</v>
      </c>
      <c r="R1045" s="4">
        <f t="shared" si="219"/>
        <v>162</v>
      </c>
      <c r="S1045" s="3">
        <f t="shared" si="220"/>
        <v>125</v>
      </c>
      <c r="T1045" s="1">
        <v>0.74860000000000004</v>
      </c>
      <c r="U1045" s="6">
        <f t="shared" si="211"/>
        <v>125.01620000000001</v>
      </c>
    </row>
    <row r="1046" spans="1:21" x14ac:dyDescent="0.35">
      <c r="A1046">
        <v>1045</v>
      </c>
      <c r="B1046" s="5">
        <v>45241</v>
      </c>
      <c r="C1046" s="4">
        <f t="shared" si="212"/>
        <v>2023</v>
      </c>
      <c r="D1046" s="4">
        <f t="shared" si="213"/>
        <v>11</v>
      </c>
      <c r="E1046" s="14">
        <v>45241</v>
      </c>
      <c r="F1046" s="4">
        <f t="shared" si="214"/>
        <v>11</v>
      </c>
      <c r="G1046">
        <v>224</v>
      </c>
      <c r="H1046">
        <v>210</v>
      </c>
      <c r="I1046" s="13">
        <f t="shared" si="215"/>
        <v>0.93</v>
      </c>
      <c r="J1046">
        <f t="shared" si="208"/>
        <v>14</v>
      </c>
      <c r="K1046" s="2">
        <v>2.4305555555555555E-4</v>
      </c>
      <c r="L1046" s="11">
        <f t="shared" si="209"/>
        <v>73.5</v>
      </c>
      <c r="M1046" s="3">
        <f t="shared" si="216"/>
        <v>0.35</v>
      </c>
      <c r="N1046" s="4">
        <f t="shared" si="217"/>
        <v>21</v>
      </c>
      <c r="O1046" s="2">
        <v>2.0833333333333333E-3</v>
      </c>
      <c r="P1046" s="9">
        <f t="shared" si="210"/>
        <v>630</v>
      </c>
      <c r="Q1046" s="3">
        <f t="shared" si="218"/>
        <v>3</v>
      </c>
      <c r="R1046" s="4">
        <f t="shared" si="219"/>
        <v>180</v>
      </c>
      <c r="S1046" s="3">
        <f t="shared" si="220"/>
        <v>152</v>
      </c>
      <c r="T1046" s="1">
        <v>0.72519999999999996</v>
      </c>
      <c r="U1046" s="6">
        <f t="shared" si="211"/>
        <v>152.292</v>
      </c>
    </row>
    <row r="1047" spans="1:21" x14ac:dyDescent="0.35">
      <c r="A1047">
        <v>1046</v>
      </c>
      <c r="B1047" s="5">
        <v>45242</v>
      </c>
      <c r="C1047" s="4">
        <f t="shared" si="212"/>
        <v>2023</v>
      </c>
      <c r="D1047" s="4">
        <f t="shared" si="213"/>
        <v>11</v>
      </c>
      <c r="E1047" s="14">
        <v>45242</v>
      </c>
      <c r="F1047" s="4">
        <f t="shared" si="214"/>
        <v>12</v>
      </c>
      <c r="G1047">
        <v>277</v>
      </c>
      <c r="H1047">
        <v>273</v>
      </c>
      <c r="I1047" s="13">
        <f t="shared" si="215"/>
        <v>0.98</v>
      </c>
      <c r="J1047">
        <f t="shared" si="208"/>
        <v>4</v>
      </c>
      <c r="K1047" s="2">
        <v>1.1574074074074075E-4</v>
      </c>
      <c r="L1047" s="11">
        <f t="shared" si="209"/>
        <v>45.5</v>
      </c>
      <c r="M1047" s="3">
        <f t="shared" si="216"/>
        <v>0.16666666666666666</v>
      </c>
      <c r="N1047" s="4">
        <f t="shared" si="217"/>
        <v>10</v>
      </c>
      <c r="O1047" s="2">
        <v>1.3888888888888889E-3</v>
      </c>
      <c r="P1047" s="9">
        <f t="shared" si="210"/>
        <v>546</v>
      </c>
      <c r="Q1047" s="3">
        <f t="shared" si="218"/>
        <v>2</v>
      </c>
      <c r="R1047" s="4">
        <f t="shared" si="219"/>
        <v>120</v>
      </c>
      <c r="S1047" s="3">
        <f t="shared" si="220"/>
        <v>244</v>
      </c>
      <c r="T1047" s="1">
        <v>0.89739999999999998</v>
      </c>
      <c r="U1047" s="6">
        <f t="shared" si="211"/>
        <v>244.99019999999999</v>
      </c>
    </row>
    <row r="1048" spans="1:21" x14ac:dyDescent="0.35">
      <c r="A1048">
        <v>1047</v>
      </c>
      <c r="B1048" s="5">
        <v>45243</v>
      </c>
      <c r="C1048" s="4">
        <f t="shared" si="212"/>
        <v>2023</v>
      </c>
      <c r="D1048" s="4">
        <f t="shared" si="213"/>
        <v>11</v>
      </c>
      <c r="E1048" s="14">
        <v>45243</v>
      </c>
      <c r="F1048" s="4">
        <f t="shared" si="214"/>
        <v>13</v>
      </c>
      <c r="G1048">
        <v>188</v>
      </c>
      <c r="H1048">
        <v>172</v>
      </c>
      <c r="I1048" s="13">
        <f t="shared" si="215"/>
        <v>0.91</v>
      </c>
      <c r="J1048">
        <f t="shared" si="208"/>
        <v>16</v>
      </c>
      <c r="K1048" s="2">
        <v>2.3148148148148149E-4</v>
      </c>
      <c r="L1048" s="11">
        <f t="shared" si="209"/>
        <v>57.333333333333329</v>
      </c>
      <c r="M1048" s="3">
        <f t="shared" si="216"/>
        <v>0.33333333333333331</v>
      </c>
      <c r="N1048" s="4">
        <f t="shared" si="217"/>
        <v>20</v>
      </c>
      <c r="O1048" s="2">
        <v>1.8634259259259259E-3</v>
      </c>
      <c r="P1048" s="9">
        <f t="shared" si="210"/>
        <v>461.53333333333336</v>
      </c>
      <c r="Q1048" s="3">
        <f t="shared" si="218"/>
        <v>2.6833333333333336</v>
      </c>
      <c r="R1048" s="4">
        <f t="shared" si="219"/>
        <v>161</v>
      </c>
      <c r="S1048" s="3">
        <f t="shared" si="220"/>
        <v>124</v>
      </c>
      <c r="T1048" s="1">
        <v>0.72189999999999999</v>
      </c>
      <c r="U1048" s="6">
        <f t="shared" si="211"/>
        <v>124.16679999999999</v>
      </c>
    </row>
    <row r="1049" spans="1:21" x14ac:dyDescent="0.35">
      <c r="A1049">
        <v>1048</v>
      </c>
      <c r="B1049" s="5">
        <v>45244</v>
      </c>
      <c r="C1049" s="4">
        <f t="shared" si="212"/>
        <v>2023</v>
      </c>
      <c r="D1049" s="4">
        <f t="shared" si="213"/>
        <v>11</v>
      </c>
      <c r="E1049" s="14">
        <v>45244</v>
      </c>
      <c r="F1049" s="4">
        <f t="shared" si="214"/>
        <v>14</v>
      </c>
      <c r="G1049">
        <v>26</v>
      </c>
      <c r="H1049">
        <v>22</v>
      </c>
      <c r="I1049" s="13">
        <f t="shared" si="215"/>
        <v>0.84</v>
      </c>
      <c r="J1049">
        <f t="shared" si="208"/>
        <v>4</v>
      </c>
      <c r="K1049" s="2">
        <v>3.9351851851851852E-4</v>
      </c>
      <c r="L1049" s="11">
        <f t="shared" si="209"/>
        <v>12.466666666666667</v>
      </c>
      <c r="M1049" s="3">
        <f t="shared" si="216"/>
        <v>0.56666666666666665</v>
      </c>
      <c r="N1049" s="4">
        <f t="shared" si="217"/>
        <v>34</v>
      </c>
      <c r="O1049" s="2">
        <v>1.6550925925925926E-3</v>
      </c>
      <c r="P1049" s="9">
        <f t="shared" si="210"/>
        <v>52.43333333333333</v>
      </c>
      <c r="Q1049" s="3">
        <f t="shared" si="218"/>
        <v>2.3833333333333333</v>
      </c>
      <c r="R1049" s="4">
        <f t="shared" si="219"/>
        <v>143</v>
      </c>
      <c r="S1049" s="3">
        <f t="shared" si="220"/>
        <v>14</v>
      </c>
      <c r="T1049" s="1">
        <v>0.68</v>
      </c>
      <c r="U1049" s="6">
        <f t="shared" si="211"/>
        <v>14.96</v>
      </c>
    </row>
    <row r="1050" spans="1:21" x14ac:dyDescent="0.35">
      <c r="A1050">
        <v>1049</v>
      </c>
      <c r="B1050" s="5">
        <v>45245</v>
      </c>
      <c r="C1050" s="4">
        <f t="shared" si="212"/>
        <v>2023</v>
      </c>
      <c r="D1050" s="4">
        <f t="shared" si="213"/>
        <v>11</v>
      </c>
      <c r="E1050" s="14">
        <v>45245</v>
      </c>
      <c r="F1050" s="4">
        <f t="shared" si="214"/>
        <v>15</v>
      </c>
      <c r="G1050">
        <v>177</v>
      </c>
      <c r="H1050">
        <v>167</v>
      </c>
      <c r="I1050" s="13">
        <f t="shared" si="215"/>
        <v>0.94</v>
      </c>
      <c r="J1050">
        <f t="shared" si="208"/>
        <v>10</v>
      </c>
      <c r="K1050" s="2">
        <v>4.0509259259259258E-4</v>
      </c>
      <c r="L1050" s="11">
        <f t="shared" si="209"/>
        <v>97.416666666666671</v>
      </c>
      <c r="M1050" s="3">
        <f t="shared" si="216"/>
        <v>0.58333333333333337</v>
      </c>
      <c r="N1050" s="4">
        <f t="shared" si="217"/>
        <v>35</v>
      </c>
      <c r="O1050" s="2">
        <v>2.0370370370370369E-3</v>
      </c>
      <c r="P1050" s="9">
        <f t="shared" si="210"/>
        <v>489.86666666666673</v>
      </c>
      <c r="Q1050" s="3">
        <f t="shared" si="218"/>
        <v>2.9333333333333336</v>
      </c>
      <c r="R1050" s="4">
        <f t="shared" si="219"/>
        <v>176</v>
      </c>
      <c r="S1050" s="3">
        <f t="shared" si="220"/>
        <v>93</v>
      </c>
      <c r="T1050" s="1">
        <v>0.5625</v>
      </c>
      <c r="U1050" s="6">
        <f t="shared" si="211"/>
        <v>93.9375</v>
      </c>
    </row>
    <row r="1051" spans="1:21" x14ac:dyDescent="0.35">
      <c r="A1051">
        <v>1050</v>
      </c>
      <c r="B1051" s="5">
        <v>45246</v>
      </c>
      <c r="C1051" s="4">
        <f t="shared" si="212"/>
        <v>2023</v>
      </c>
      <c r="D1051" s="4">
        <f t="shared" si="213"/>
        <v>11</v>
      </c>
      <c r="E1051" s="14">
        <v>45246</v>
      </c>
      <c r="F1051" s="4">
        <f t="shared" si="214"/>
        <v>16</v>
      </c>
      <c r="G1051">
        <v>149</v>
      </c>
      <c r="H1051">
        <v>144</v>
      </c>
      <c r="I1051" s="13">
        <f t="shared" si="215"/>
        <v>0.96</v>
      </c>
      <c r="J1051">
        <f t="shared" si="208"/>
        <v>5</v>
      </c>
      <c r="K1051" s="2">
        <v>3.2407407407407406E-4</v>
      </c>
      <c r="L1051" s="11">
        <f t="shared" si="209"/>
        <v>67.2</v>
      </c>
      <c r="M1051" s="3">
        <f t="shared" si="216"/>
        <v>0.46666666666666667</v>
      </c>
      <c r="N1051" s="4">
        <f t="shared" si="217"/>
        <v>28</v>
      </c>
      <c r="O1051" s="2">
        <v>1.9328703703703704E-3</v>
      </c>
      <c r="P1051" s="9">
        <f t="shared" si="210"/>
        <v>400.79999999999995</v>
      </c>
      <c r="Q1051" s="3">
        <f t="shared" si="218"/>
        <v>2.7833333333333332</v>
      </c>
      <c r="R1051" s="4">
        <f t="shared" si="219"/>
        <v>167</v>
      </c>
      <c r="S1051" s="3">
        <f t="shared" si="220"/>
        <v>95</v>
      </c>
      <c r="T1051" s="1">
        <v>0.66220000000000001</v>
      </c>
      <c r="U1051" s="6">
        <f t="shared" si="211"/>
        <v>95.356800000000007</v>
      </c>
    </row>
    <row r="1052" spans="1:21" x14ac:dyDescent="0.35">
      <c r="A1052">
        <v>1051</v>
      </c>
      <c r="B1052" s="5">
        <v>45247</v>
      </c>
      <c r="C1052" s="4">
        <f t="shared" si="212"/>
        <v>2023</v>
      </c>
      <c r="D1052" s="4">
        <f t="shared" si="213"/>
        <v>11</v>
      </c>
      <c r="E1052" s="14">
        <v>45247</v>
      </c>
      <c r="F1052" s="4">
        <f t="shared" si="214"/>
        <v>17</v>
      </c>
      <c r="G1052">
        <v>147</v>
      </c>
      <c r="H1052">
        <v>147</v>
      </c>
      <c r="I1052" s="13">
        <f t="shared" si="215"/>
        <v>1</v>
      </c>
      <c r="J1052">
        <f t="shared" si="208"/>
        <v>0</v>
      </c>
      <c r="K1052" s="2">
        <v>1.273148148148148E-4</v>
      </c>
      <c r="L1052" s="11">
        <f t="shared" si="209"/>
        <v>26.95</v>
      </c>
      <c r="M1052" s="3">
        <f t="shared" si="216"/>
        <v>0.18333333333333332</v>
      </c>
      <c r="N1052" s="4">
        <f t="shared" si="217"/>
        <v>11</v>
      </c>
      <c r="O1052" s="2">
        <v>1.9791666666666668E-3</v>
      </c>
      <c r="P1052" s="9">
        <f t="shared" si="210"/>
        <v>418.95</v>
      </c>
      <c r="Q1052" s="3">
        <f t="shared" si="218"/>
        <v>2.85</v>
      </c>
      <c r="R1052" s="4">
        <f t="shared" si="219"/>
        <v>171</v>
      </c>
      <c r="S1052" s="3">
        <f t="shared" si="220"/>
        <v>125</v>
      </c>
      <c r="T1052" s="1">
        <v>0.85709999999999997</v>
      </c>
      <c r="U1052" s="6">
        <f t="shared" si="211"/>
        <v>125.99369999999999</v>
      </c>
    </row>
    <row r="1053" spans="1:21" x14ac:dyDescent="0.35">
      <c r="A1053">
        <v>1052</v>
      </c>
      <c r="B1053" s="5">
        <v>45248</v>
      </c>
      <c r="C1053" s="4">
        <f t="shared" si="212"/>
        <v>2023</v>
      </c>
      <c r="D1053" s="4">
        <f t="shared" si="213"/>
        <v>11</v>
      </c>
      <c r="E1053" s="14">
        <v>45248</v>
      </c>
      <c r="F1053" s="4">
        <f t="shared" si="214"/>
        <v>18</v>
      </c>
      <c r="G1053">
        <v>140</v>
      </c>
      <c r="H1053">
        <v>134</v>
      </c>
      <c r="I1053" s="13">
        <f t="shared" si="215"/>
        <v>0.95</v>
      </c>
      <c r="J1053">
        <f t="shared" si="208"/>
        <v>6</v>
      </c>
      <c r="K1053" s="2">
        <v>2.199074074074074E-4</v>
      </c>
      <c r="L1053" s="11">
        <f t="shared" si="209"/>
        <v>42.43333333333333</v>
      </c>
      <c r="M1053" s="3">
        <f t="shared" si="216"/>
        <v>0.31666666666666665</v>
      </c>
      <c r="N1053" s="4">
        <f t="shared" si="217"/>
        <v>19</v>
      </c>
      <c r="O1053" s="2">
        <v>1.8981481481481482E-3</v>
      </c>
      <c r="P1053" s="9">
        <f t="shared" si="210"/>
        <v>366.26666666666665</v>
      </c>
      <c r="Q1053" s="3">
        <f t="shared" si="218"/>
        <v>2.7333333333333334</v>
      </c>
      <c r="R1053" s="4">
        <f t="shared" si="219"/>
        <v>164</v>
      </c>
      <c r="S1053" s="3">
        <f t="shared" si="220"/>
        <v>105</v>
      </c>
      <c r="T1053" s="1">
        <v>0.78569999999999995</v>
      </c>
      <c r="U1053" s="6">
        <f t="shared" si="211"/>
        <v>105.2838</v>
      </c>
    </row>
    <row r="1054" spans="1:21" x14ac:dyDescent="0.35">
      <c r="A1054">
        <v>1053</v>
      </c>
      <c r="B1054" s="5">
        <v>45249</v>
      </c>
      <c r="C1054" s="4">
        <f t="shared" si="212"/>
        <v>2023</v>
      </c>
      <c r="D1054" s="4">
        <f t="shared" si="213"/>
        <v>11</v>
      </c>
      <c r="E1054" s="14">
        <v>45249</v>
      </c>
      <c r="F1054" s="4">
        <f t="shared" si="214"/>
        <v>19</v>
      </c>
      <c r="G1054">
        <v>177</v>
      </c>
      <c r="H1054">
        <v>163</v>
      </c>
      <c r="I1054" s="13">
        <f t="shared" si="215"/>
        <v>0.92</v>
      </c>
      <c r="J1054">
        <f t="shared" si="208"/>
        <v>14</v>
      </c>
      <c r="K1054" s="2">
        <v>2.199074074074074E-4</v>
      </c>
      <c r="L1054" s="11">
        <f t="shared" si="209"/>
        <v>51.616666666666667</v>
      </c>
      <c r="M1054" s="3">
        <f t="shared" si="216"/>
        <v>0.31666666666666665</v>
      </c>
      <c r="N1054" s="4">
        <f t="shared" si="217"/>
        <v>19</v>
      </c>
      <c r="O1054" s="2">
        <v>1.7939814814814815E-3</v>
      </c>
      <c r="P1054" s="9">
        <f t="shared" si="210"/>
        <v>421.08333333333337</v>
      </c>
      <c r="Q1054" s="3">
        <f t="shared" si="218"/>
        <v>2.5833333333333335</v>
      </c>
      <c r="R1054" s="4">
        <f t="shared" si="219"/>
        <v>155</v>
      </c>
      <c r="S1054" s="3">
        <f t="shared" si="220"/>
        <v>123</v>
      </c>
      <c r="T1054" s="1">
        <v>0.7571</v>
      </c>
      <c r="U1054" s="6">
        <f t="shared" si="211"/>
        <v>123.40729999999999</v>
      </c>
    </row>
    <row r="1055" spans="1:21" x14ac:dyDescent="0.35">
      <c r="A1055">
        <v>1054</v>
      </c>
      <c r="B1055" s="5">
        <v>45250</v>
      </c>
      <c r="C1055" s="4">
        <f t="shared" si="212"/>
        <v>2023</v>
      </c>
      <c r="D1055" s="4">
        <f t="shared" si="213"/>
        <v>11</v>
      </c>
      <c r="E1055" s="14">
        <v>45250</v>
      </c>
      <c r="F1055" s="4">
        <f t="shared" si="214"/>
        <v>20</v>
      </c>
      <c r="G1055">
        <v>169</v>
      </c>
      <c r="H1055">
        <v>169</v>
      </c>
      <c r="I1055" s="13">
        <f t="shared" si="215"/>
        <v>1</v>
      </c>
      <c r="J1055">
        <f t="shared" si="208"/>
        <v>0</v>
      </c>
      <c r="K1055" s="2">
        <v>1.0416666666666667E-4</v>
      </c>
      <c r="L1055" s="11">
        <f t="shared" si="209"/>
        <v>25.349999999999998</v>
      </c>
      <c r="M1055" s="3">
        <f t="shared" si="216"/>
        <v>0.15</v>
      </c>
      <c r="N1055" s="4">
        <f t="shared" si="217"/>
        <v>9</v>
      </c>
      <c r="O1055" s="2">
        <v>1.9097222222222222E-3</v>
      </c>
      <c r="P1055" s="9">
        <f t="shared" si="210"/>
        <v>464.75</v>
      </c>
      <c r="Q1055" s="3">
        <f t="shared" si="218"/>
        <v>2.75</v>
      </c>
      <c r="R1055" s="4">
        <f t="shared" si="219"/>
        <v>165</v>
      </c>
      <c r="S1055" s="3">
        <f t="shared" si="220"/>
        <v>151</v>
      </c>
      <c r="T1055" s="1">
        <v>0.89939999999999998</v>
      </c>
      <c r="U1055" s="6">
        <f t="shared" si="211"/>
        <v>151.99860000000001</v>
      </c>
    </row>
    <row r="1056" spans="1:21" x14ac:dyDescent="0.35">
      <c r="A1056">
        <v>1055</v>
      </c>
      <c r="B1056" s="5">
        <v>45251</v>
      </c>
      <c r="C1056" s="4">
        <f t="shared" si="212"/>
        <v>2023</v>
      </c>
      <c r="D1056" s="4">
        <f t="shared" si="213"/>
        <v>11</v>
      </c>
      <c r="E1056" s="14">
        <v>45251</v>
      </c>
      <c r="F1056" s="4">
        <f t="shared" si="214"/>
        <v>21</v>
      </c>
      <c r="G1056">
        <v>26</v>
      </c>
      <c r="H1056">
        <v>21</v>
      </c>
      <c r="I1056" s="13">
        <f t="shared" si="215"/>
        <v>0.8</v>
      </c>
      <c r="J1056">
        <f t="shared" si="208"/>
        <v>5</v>
      </c>
      <c r="K1056" s="2">
        <v>3.1250000000000001E-4</v>
      </c>
      <c r="L1056" s="11">
        <f t="shared" si="209"/>
        <v>9.4500000000000011</v>
      </c>
      <c r="M1056" s="3">
        <f t="shared" si="216"/>
        <v>0.45</v>
      </c>
      <c r="N1056" s="4">
        <f t="shared" si="217"/>
        <v>27</v>
      </c>
      <c r="O1056" s="2">
        <v>1.712962962962963E-3</v>
      </c>
      <c r="P1056" s="9">
        <f t="shared" si="210"/>
        <v>51.800000000000004</v>
      </c>
      <c r="Q1056" s="3">
        <f t="shared" si="218"/>
        <v>2.4666666666666668</v>
      </c>
      <c r="R1056" s="4">
        <f t="shared" si="219"/>
        <v>148</v>
      </c>
      <c r="S1056" s="3">
        <f t="shared" si="220"/>
        <v>10</v>
      </c>
      <c r="T1056" s="1">
        <v>0.48</v>
      </c>
      <c r="U1056" s="6">
        <f t="shared" si="211"/>
        <v>10.08</v>
      </c>
    </row>
    <row r="1057" spans="1:21" x14ac:dyDescent="0.35">
      <c r="A1057">
        <v>1056</v>
      </c>
      <c r="B1057" s="5">
        <v>45252</v>
      </c>
      <c r="C1057" s="4">
        <f t="shared" si="212"/>
        <v>2023</v>
      </c>
      <c r="D1057" s="4">
        <f t="shared" si="213"/>
        <v>11</v>
      </c>
      <c r="E1057" s="14">
        <v>45252</v>
      </c>
      <c r="F1057" s="4">
        <f t="shared" si="214"/>
        <v>22</v>
      </c>
      <c r="G1057">
        <v>147</v>
      </c>
      <c r="H1057">
        <v>140</v>
      </c>
      <c r="I1057" s="13">
        <f t="shared" si="215"/>
        <v>0.95</v>
      </c>
      <c r="J1057">
        <f t="shared" si="208"/>
        <v>7</v>
      </c>
      <c r="K1057" s="2">
        <v>1.3888888888888889E-4</v>
      </c>
      <c r="L1057" s="11">
        <f t="shared" si="209"/>
        <v>28</v>
      </c>
      <c r="M1057" s="3">
        <f t="shared" si="216"/>
        <v>0.2</v>
      </c>
      <c r="N1057" s="4">
        <f t="shared" si="217"/>
        <v>12</v>
      </c>
      <c r="O1057" s="2">
        <v>1.9444444444444444E-3</v>
      </c>
      <c r="P1057" s="9">
        <f t="shared" si="210"/>
        <v>392</v>
      </c>
      <c r="Q1057" s="3">
        <f t="shared" si="218"/>
        <v>2.8</v>
      </c>
      <c r="R1057" s="4">
        <f t="shared" si="219"/>
        <v>168</v>
      </c>
      <c r="S1057" s="3">
        <f t="shared" si="220"/>
        <v>119</v>
      </c>
      <c r="T1057" s="1">
        <v>0.85519999999999996</v>
      </c>
      <c r="U1057" s="6">
        <f t="shared" si="211"/>
        <v>119.72799999999999</v>
      </c>
    </row>
    <row r="1058" spans="1:21" x14ac:dyDescent="0.35">
      <c r="A1058">
        <v>1057</v>
      </c>
      <c r="B1058" s="5">
        <v>45253</v>
      </c>
      <c r="C1058" s="4">
        <f t="shared" si="212"/>
        <v>2023</v>
      </c>
      <c r="D1058" s="4">
        <f t="shared" si="213"/>
        <v>11</v>
      </c>
      <c r="E1058" s="14">
        <v>45253</v>
      </c>
      <c r="F1058" s="4">
        <f t="shared" si="214"/>
        <v>23</v>
      </c>
      <c r="G1058">
        <v>127</v>
      </c>
      <c r="H1058">
        <v>122</v>
      </c>
      <c r="I1058" s="13">
        <f t="shared" si="215"/>
        <v>0.96</v>
      </c>
      <c r="J1058">
        <f t="shared" si="208"/>
        <v>5</v>
      </c>
      <c r="K1058" s="2">
        <v>2.4305555555555555E-4</v>
      </c>
      <c r="L1058" s="11">
        <f t="shared" si="209"/>
        <v>42.699999999999996</v>
      </c>
      <c r="M1058" s="3">
        <f t="shared" si="216"/>
        <v>0.35</v>
      </c>
      <c r="N1058" s="4">
        <f t="shared" si="217"/>
        <v>21</v>
      </c>
      <c r="O1058" s="2">
        <v>1.9444444444444444E-3</v>
      </c>
      <c r="P1058" s="9">
        <f t="shared" si="210"/>
        <v>341.59999999999997</v>
      </c>
      <c r="Q1058" s="3">
        <f t="shared" si="218"/>
        <v>2.8</v>
      </c>
      <c r="R1058" s="4">
        <f t="shared" si="219"/>
        <v>168</v>
      </c>
      <c r="S1058" s="3">
        <f t="shared" si="220"/>
        <v>86</v>
      </c>
      <c r="T1058" s="1">
        <v>0.7087</v>
      </c>
      <c r="U1058" s="6">
        <f t="shared" si="211"/>
        <v>86.461399999999998</v>
      </c>
    </row>
    <row r="1059" spans="1:21" x14ac:dyDescent="0.35">
      <c r="A1059">
        <v>1058</v>
      </c>
      <c r="B1059" s="5">
        <v>45254</v>
      </c>
      <c r="C1059" s="4">
        <f t="shared" si="212"/>
        <v>2023</v>
      </c>
      <c r="D1059" s="4">
        <f t="shared" si="213"/>
        <v>11</v>
      </c>
      <c r="E1059" s="14">
        <v>45254</v>
      </c>
      <c r="F1059" s="4">
        <f t="shared" si="214"/>
        <v>24</v>
      </c>
      <c r="G1059">
        <v>141</v>
      </c>
      <c r="H1059">
        <v>135</v>
      </c>
      <c r="I1059" s="13">
        <f t="shared" si="215"/>
        <v>0.95</v>
      </c>
      <c r="J1059">
        <f t="shared" si="208"/>
        <v>6</v>
      </c>
      <c r="K1059" s="2">
        <v>1.9675925925925926E-4</v>
      </c>
      <c r="L1059" s="11">
        <f t="shared" si="209"/>
        <v>38.25</v>
      </c>
      <c r="M1059" s="3">
        <f t="shared" si="216"/>
        <v>0.28333333333333333</v>
      </c>
      <c r="N1059" s="4">
        <f t="shared" si="217"/>
        <v>17</v>
      </c>
      <c r="O1059" s="2">
        <v>1.7013888888888888E-3</v>
      </c>
      <c r="P1059" s="9">
        <f t="shared" si="210"/>
        <v>330.75</v>
      </c>
      <c r="Q1059" s="3">
        <f t="shared" si="218"/>
        <v>2.4500000000000002</v>
      </c>
      <c r="R1059" s="4">
        <f t="shared" si="219"/>
        <v>147</v>
      </c>
      <c r="S1059" s="3">
        <f t="shared" si="220"/>
        <v>105</v>
      </c>
      <c r="T1059" s="1">
        <v>0.78010000000000002</v>
      </c>
      <c r="U1059" s="6">
        <f t="shared" si="211"/>
        <v>105.3135</v>
      </c>
    </row>
    <row r="1060" spans="1:21" x14ac:dyDescent="0.35">
      <c r="A1060">
        <v>1059</v>
      </c>
      <c r="B1060" s="5">
        <v>45255</v>
      </c>
      <c r="C1060" s="4">
        <f t="shared" si="212"/>
        <v>2023</v>
      </c>
      <c r="D1060" s="4">
        <f t="shared" si="213"/>
        <v>11</v>
      </c>
      <c r="E1060" s="14">
        <v>45255</v>
      </c>
      <c r="F1060" s="4">
        <f t="shared" si="214"/>
        <v>25</v>
      </c>
      <c r="G1060">
        <v>208</v>
      </c>
      <c r="H1060">
        <v>181</v>
      </c>
      <c r="I1060" s="13">
        <f t="shared" si="215"/>
        <v>0.87</v>
      </c>
      <c r="J1060">
        <f t="shared" si="208"/>
        <v>27</v>
      </c>
      <c r="K1060" s="2">
        <v>4.3981481481481481E-4</v>
      </c>
      <c r="L1060" s="11">
        <f t="shared" si="209"/>
        <v>114.63333333333333</v>
      </c>
      <c r="M1060" s="3">
        <f t="shared" si="216"/>
        <v>0.6333333333333333</v>
      </c>
      <c r="N1060" s="4">
        <f t="shared" si="217"/>
        <v>38</v>
      </c>
      <c r="O1060" s="2">
        <v>1.8402777777777777E-3</v>
      </c>
      <c r="P1060" s="9">
        <f t="shared" si="210"/>
        <v>479.65</v>
      </c>
      <c r="Q1060" s="3">
        <f t="shared" si="218"/>
        <v>2.65</v>
      </c>
      <c r="R1060" s="4">
        <f t="shared" si="219"/>
        <v>159</v>
      </c>
      <c r="S1060" s="3">
        <f t="shared" si="220"/>
        <v>88</v>
      </c>
      <c r="T1060" s="1">
        <v>0.49020000000000002</v>
      </c>
      <c r="U1060" s="6">
        <f t="shared" si="211"/>
        <v>88.726200000000006</v>
      </c>
    </row>
    <row r="1061" spans="1:21" x14ac:dyDescent="0.35">
      <c r="A1061">
        <v>1060</v>
      </c>
      <c r="B1061" s="5">
        <v>45256</v>
      </c>
      <c r="C1061" s="4">
        <f t="shared" si="212"/>
        <v>2023</v>
      </c>
      <c r="D1061" s="4">
        <f t="shared" si="213"/>
        <v>11</v>
      </c>
      <c r="E1061" s="14">
        <v>45256</v>
      </c>
      <c r="F1061" s="4">
        <f t="shared" si="214"/>
        <v>26</v>
      </c>
      <c r="G1061">
        <v>178</v>
      </c>
      <c r="H1061">
        <v>163</v>
      </c>
      <c r="I1061" s="13">
        <f t="shared" si="215"/>
        <v>0.91</v>
      </c>
      <c r="J1061">
        <f t="shared" si="208"/>
        <v>15</v>
      </c>
      <c r="K1061" s="2">
        <v>3.8194444444444446E-4</v>
      </c>
      <c r="L1061" s="11">
        <f t="shared" si="209"/>
        <v>89.65</v>
      </c>
      <c r="M1061" s="3">
        <f t="shared" si="216"/>
        <v>0.55000000000000004</v>
      </c>
      <c r="N1061" s="4">
        <f t="shared" si="217"/>
        <v>33</v>
      </c>
      <c r="O1061" s="2">
        <v>2.0138888888888888E-3</v>
      </c>
      <c r="P1061" s="9">
        <f t="shared" si="210"/>
        <v>472.7</v>
      </c>
      <c r="Q1061" s="3">
        <f t="shared" si="218"/>
        <v>2.9</v>
      </c>
      <c r="R1061" s="4">
        <f t="shared" si="219"/>
        <v>174</v>
      </c>
      <c r="S1061" s="3">
        <f t="shared" si="220"/>
        <v>89</v>
      </c>
      <c r="T1061" s="1">
        <v>0.54800000000000004</v>
      </c>
      <c r="U1061" s="6">
        <f t="shared" si="211"/>
        <v>89.324000000000012</v>
      </c>
    </row>
    <row r="1062" spans="1:21" x14ac:dyDescent="0.35">
      <c r="A1062">
        <v>1061</v>
      </c>
      <c r="B1062" s="5">
        <v>45257</v>
      </c>
      <c r="C1062" s="4">
        <f t="shared" si="212"/>
        <v>2023</v>
      </c>
      <c r="D1062" s="4">
        <f t="shared" si="213"/>
        <v>11</v>
      </c>
      <c r="E1062" s="14">
        <v>45257</v>
      </c>
      <c r="F1062" s="4">
        <f t="shared" si="214"/>
        <v>27</v>
      </c>
      <c r="G1062">
        <v>198</v>
      </c>
      <c r="H1062">
        <v>190</v>
      </c>
      <c r="I1062" s="13">
        <f t="shared" si="215"/>
        <v>0.95</v>
      </c>
      <c r="J1062">
        <f t="shared" si="208"/>
        <v>8</v>
      </c>
      <c r="K1062" s="2">
        <v>2.8935185185185184E-4</v>
      </c>
      <c r="L1062" s="11">
        <f t="shared" si="209"/>
        <v>79.166666666666671</v>
      </c>
      <c r="M1062" s="3">
        <f t="shared" si="216"/>
        <v>0.41666666666666669</v>
      </c>
      <c r="N1062" s="4">
        <f t="shared" si="217"/>
        <v>25</v>
      </c>
      <c r="O1062" s="2">
        <v>1.7592592592592592E-3</v>
      </c>
      <c r="P1062" s="9">
        <f t="shared" si="210"/>
        <v>481.33333333333331</v>
      </c>
      <c r="Q1062" s="3">
        <f t="shared" si="218"/>
        <v>2.5333333333333332</v>
      </c>
      <c r="R1062" s="4">
        <f t="shared" si="219"/>
        <v>152</v>
      </c>
      <c r="S1062" s="3">
        <f t="shared" si="220"/>
        <v>127</v>
      </c>
      <c r="T1062" s="1">
        <v>0.67010000000000003</v>
      </c>
      <c r="U1062" s="6">
        <f t="shared" si="211"/>
        <v>127.319</v>
      </c>
    </row>
    <row r="1063" spans="1:21" x14ac:dyDescent="0.35">
      <c r="A1063">
        <v>1062</v>
      </c>
      <c r="B1063" s="5">
        <v>45258</v>
      </c>
      <c r="C1063" s="4">
        <f t="shared" si="212"/>
        <v>2023</v>
      </c>
      <c r="D1063" s="4">
        <f t="shared" si="213"/>
        <v>11</v>
      </c>
      <c r="E1063" s="14">
        <v>45258</v>
      </c>
      <c r="F1063" s="4">
        <f t="shared" si="214"/>
        <v>28</v>
      </c>
      <c r="G1063">
        <v>21</v>
      </c>
      <c r="H1063">
        <v>17</v>
      </c>
      <c r="I1063" s="13">
        <f t="shared" si="215"/>
        <v>0.8</v>
      </c>
      <c r="J1063">
        <f t="shared" si="208"/>
        <v>4</v>
      </c>
      <c r="K1063" s="2">
        <v>5.0925925925925921E-4</v>
      </c>
      <c r="L1063" s="11">
        <f t="shared" si="209"/>
        <v>12.466666666666665</v>
      </c>
      <c r="M1063" s="3">
        <f t="shared" si="216"/>
        <v>0.73333333333333328</v>
      </c>
      <c r="N1063" s="4">
        <f t="shared" si="217"/>
        <v>44</v>
      </c>
      <c r="O1063" s="2">
        <v>2.4421296296296296E-3</v>
      </c>
      <c r="P1063" s="9">
        <f t="shared" si="210"/>
        <v>59.783333333333331</v>
      </c>
      <c r="Q1063" s="3">
        <f t="shared" si="218"/>
        <v>3.5166666666666666</v>
      </c>
      <c r="R1063" s="4">
        <f t="shared" si="219"/>
        <v>211</v>
      </c>
      <c r="S1063" s="3">
        <f t="shared" si="220"/>
        <v>8</v>
      </c>
      <c r="T1063" s="1">
        <v>0.47620000000000001</v>
      </c>
      <c r="U1063" s="6">
        <f t="shared" si="211"/>
        <v>8.0953999999999997</v>
      </c>
    </row>
    <row r="1064" spans="1:21" x14ac:dyDescent="0.35">
      <c r="A1064">
        <v>1063</v>
      </c>
      <c r="B1064" s="5">
        <v>45259</v>
      </c>
      <c r="C1064" s="4">
        <f t="shared" si="212"/>
        <v>2023</v>
      </c>
      <c r="D1064" s="4">
        <f t="shared" si="213"/>
        <v>11</v>
      </c>
      <c r="E1064" s="14">
        <v>45259</v>
      </c>
      <c r="F1064" s="4">
        <f t="shared" si="214"/>
        <v>29</v>
      </c>
      <c r="G1064">
        <v>171</v>
      </c>
      <c r="H1064">
        <v>161</v>
      </c>
      <c r="I1064" s="13">
        <f t="shared" si="215"/>
        <v>0.94</v>
      </c>
      <c r="J1064">
        <f t="shared" si="208"/>
        <v>10</v>
      </c>
      <c r="K1064" s="2">
        <v>1.8518518518518518E-4</v>
      </c>
      <c r="L1064" s="11">
        <f t="shared" si="209"/>
        <v>42.93333333333333</v>
      </c>
      <c r="M1064" s="3">
        <f t="shared" si="216"/>
        <v>0.26666666666666666</v>
      </c>
      <c r="N1064" s="4">
        <f t="shared" si="217"/>
        <v>16</v>
      </c>
      <c r="O1064" s="2">
        <v>1.7939814814814815E-3</v>
      </c>
      <c r="P1064" s="9">
        <f t="shared" si="210"/>
        <v>415.91666666666669</v>
      </c>
      <c r="Q1064" s="3">
        <f t="shared" si="218"/>
        <v>2.5833333333333335</v>
      </c>
      <c r="R1064" s="4">
        <f t="shared" si="219"/>
        <v>155</v>
      </c>
      <c r="S1064" s="3">
        <f t="shared" si="220"/>
        <v>131</v>
      </c>
      <c r="T1064" s="1">
        <v>0.81440000000000001</v>
      </c>
      <c r="U1064" s="6">
        <f t="shared" si="211"/>
        <v>131.11840000000001</v>
      </c>
    </row>
    <row r="1065" spans="1:21" x14ac:dyDescent="0.35">
      <c r="A1065">
        <v>1064</v>
      </c>
      <c r="B1065" s="5">
        <v>45260</v>
      </c>
      <c r="C1065" s="4">
        <f t="shared" si="212"/>
        <v>2023</v>
      </c>
      <c r="D1065" s="4">
        <f t="shared" si="213"/>
        <v>11</v>
      </c>
      <c r="E1065" s="14">
        <v>45260</v>
      </c>
      <c r="F1065" s="4">
        <f t="shared" si="214"/>
        <v>30</v>
      </c>
      <c r="G1065">
        <v>200</v>
      </c>
      <c r="H1065">
        <v>196</v>
      </c>
      <c r="I1065" s="13">
        <f t="shared" si="215"/>
        <v>0.98</v>
      </c>
      <c r="J1065">
        <f t="shared" si="208"/>
        <v>4</v>
      </c>
      <c r="K1065" s="2">
        <v>1.0416666666666667E-4</v>
      </c>
      <c r="L1065" s="11">
        <f t="shared" si="209"/>
        <v>29.4</v>
      </c>
      <c r="M1065" s="3">
        <f t="shared" si="216"/>
        <v>0.15</v>
      </c>
      <c r="N1065" s="4">
        <f t="shared" si="217"/>
        <v>9</v>
      </c>
      <c r="O1065" s="2">
        <v>1.9791666666666668E-3</v>
      </c>
      <c r="P1065" s="9">
        <f t="shared" si="210"/>
        <v>558.6</v>
      </c>
      <c r="Q1065" s="3">
        <f t="shared" si="218"/>
        <v>2.85</v>
      </c>
      <c r="R1065" s="4">
        <f t="shared" si="219"/>
        <v>171</v>
      </c>
      <c r="S1065" s="3">
        <f t="shared" si="220"/>
        <v>180</v>
      </c>
      <c r="T1065" s="1">
        <v>0.91920000000000002</v>
      </c>
      <c r="U1065" s="6">
        <f t="shared" si="211"/>
        <v>180.16320000000002</v>
      </c>
    </row>
    <row r="1066" spans="1:21" x14ac:dyDescent="0.35">
      <c r="A1066">
        <v>1065</v>
      </c>
      <c r="B1066" s="5">
        <v>45261</v>
      </c>
      <c r="C1066" s="4">
        <f t="shared" si="212"/>
        <v>2023</v>
      </c>
      <c r="D1066" s="4">
        <f t="shared" si="213"/>
        <v>12</v>
      </c>
      <c r="E1066" s="14">
        <v>45261</v>
      </c>
      <c r="F1066" s="4">
        <f t="shared" si="214"/>
        <v>1</v>
      </c>
      <c r="G1066">
        <v>166</v>
      </c>
      <c r="H1066">
        <v>157</v>
      </c>
      <c r="I1066" s="13">
        <f t="shared" si="215"/>
        <v>0.94</v>
      </c>
      <c r="J1066">
        <f t="shared" si="208"/>
        <v>9</v>
      </c>
      <c r="K1066" s="2">
        <v>2.7777777777777778E-4</v>
      </c>
      <c r="L1066" s="11">
        <f t="shared" si="209"/>
        <v>62.800000000000004</v>
      </c>
      <c r="M1066" s="3">
        <f t="shared" si="216"/>
        <v>0.4</v>
      </c>
      <c r="N1066" s="4">
        <f t="shared" si="217"/>
        <v>24</v>
      </c>
      <c r="O1066" s="2">
        <v>1.8518518518518519E-3</v>
      </c>
      <c r="P1066" s="9">
        <f t="shared" si="210"/>
        <v>418.66666666666663</v>
      </c>
      <c r="Q1066" s="3">
        <f t="shared" si="218"/>
        <v>2.6666666666666665</v>
      </c>
      <c r="R1066" s="4">
        <f t="shared" si="219"/>
        <v>160</v>
      </c>
      <c r="S1066" s="3">
        <f t="shared" si="220"/>
        <v>101</v>
      </c>
      <c r="T1066" s="1">
        <v>0.64629999999999999</v>
      </c>
      <c r="U1066" s="6">
        <f t="shared" si="211"/>
        <v>101.4691</v>
      </c>
    </row>
    <row r="1067" spans="1:21" x14ac:dyDescent="0.35">
      <c r="A1067">
        <v>1066</v>
      </c>
      <c r="B1067" s="5">
        <v>45262</v>
      </c>
      <c r="C1067" s="4">
        <f t="shared" si="212"/>
        <v>2023</v>
      </c>
      <c r="D1067" s="4">
        <f t="shared" si="213"/>
        <v>12</v>
      </c>
      <c r="E1067" s="14">
        <v>45262</v>
      </c>
      <c r="F1067" s="4">
        <f t="shared" si="214"/>
        <v>2</v>
      </c>
      <c r="G1067">
        <v>230</v>
      </c>
      <c r="H1067">
        <v>217</v>
      </c>
      <c r="I1067" s="13">
        <f t="shared" si="215"/>
        <v>0.94</v>
      </c>
      <c r="J1067">
        <f t="shared" si="208"/>
        <v>13</v>
      </c>
      <c r="K1067" s="2">
        <v>3.1250000000000001E-4</v>
      </c>
      <c r="L1067" s="11">
        <f t="shared" si="209"/>
        <v>97.65</v>
      </c>
      <c r="M1067" s="3">
        <f t="shared" si="216"/>
        <v>0.45</v>
      </c>
      <c r="N1067" s="4">
        <f t="shared" si="217"/>
        <v>27</v>
      </c>
      <c r="O1067" s="2">
        <v>1.8402777777777777E-3</v>
      </c>
      <c r="P1067" s="9">
        <f t="shared" si="210"/>
        <v>575.04999999999995</v>
      </c>
      <c r="Q1067" s="3">
        <f t="shared" si="218"/>
        <v>2.65</v>
      </c>
      <c r="R1067" s="4">
        <f t="shared" si="219"/>
        <v>159</v>
      </c>
      <c r="S1067" s="3">
        <f t="shared" si="220"/>
        <v>124</v>
      </c>
      <c r="T1067" s="1">
        <v>0.57210000000000005</v>
      </c>
      <c r="U1067" s="6">
        <f t="shared" si="211"/>
        <v>124.14570000000001</v>
      </c>
    </row>
    <row r="1068" spans="1:21" x14ac:dyDescent="0.35">
      <c r="A1068">
        <v>1067</v>
      </c>
      <c r="B1068" s="5">
        <v>45263</v>
      </c>
      <c r="C1068" s="4">
        <f t="shared" si="212"/>
        <v>2023</v>
      </c>
      <c r="D1068" s="4">
        <f t="shared" si="213"/>
        <v>12</v>
      </c>
      <c r="E1068" s="14">
        <v>45263</v>
      </c>
      <c r="F1068" s="4">
        <f t="shared" si="214"/>
        <v>3</v>
      </c>
      <c r="G1068">
        <v>174</v>
      </c>
      <c r="H1068">
        <v>168</v>
      </c>
      <c r="I1068" s="13">
        <f t="shared" si="215"/>
        <v>0.96</v>
      </c>
      <c r="J1068">
        <f t="shared" si="208"/>
        <v>6</v>
      </c>
      <c r="K1068" s="2">
        <v>2.7777777777777778E-4</v>
      </c>
      <c r="L1068" s="11">
        <f t="shared" si="209"/>
        <v>67.2</v>
      </c>
      <c r="M1068" s="3">
        <f t="shared" si="216"/>
        <v>0.4</v>
      </c>
      <c r="N1068" s="4">
        <f t="shared" si="217"/>
        <v>24</v>
      </c>
      <c r="O1068" s="2">
        <v>2.0486111111111113E-3</v>
      </c>
      <c r="P1068" s="9">
        <f t="shared" si="210"/>
        <v>495.6</v>
      </c>
      <c r="Q1068" s="3">
        <f t="shared" si="218"/>
        <v>2.95</v>
      </c>
      <c r="R1068" s="4">
        <f t="shared" si="219"/>
        <v>177</v>
      </c>
      <c r="S1068" s="3">
        <f t="shared" si="220"/>
        <v>116</v>
      </c>
      <c r="T1068" s="1">
        <v>0.69589999999999996</v>
      </c>
      <c r="U1068" s="6">
        <f t="shared" si="211"/>
        <v>116.91119999999999</v>
      </c>
    </row>
    <row r="1069" spans="1:21" x14ac:dyDescent="0.35">
      <c r="A1069">
        <v>1068</v>
      </c>
      <c r="B1069" s="5">
        <v>45264</v>
      </c>
      <c r="C1069" s="4">
        <f t="shared" si="212"/>
        <v>2023</v>
      </c>
      <c r="D1069" s="4">
        <f t="shared" si="213"/>
        <v>12</v>
      </c>
      <c r="E1069" s="14">
        <v>45264</v>
      </c>
      <c r="F1069" s="4">
        <f t="shared" si="214"/>
        <v>4</v>
      </c>
      <c r="G1069">
        <v>240</v>
      </c>
      <c r="H1069">
        <v>185</v>
      </c>
      <c r="I1069" s="13">
        <f t="shared" si="215"/>
        <v>0.77</v>
      </c>
      <c r="J1069">
        <f t="shared" si="208"/>
        <v>55</v>
      </c>
      <c r="K1069" s="2">
        <v>6.9444444444444447E-4</v>
      </c>
      <c r="L1069" s="11">
        <f t="shared" si="209"/>
        <v>185</v>
      </c>
      <c r="M1069" s="3">
        <f t="shared" si="216"/>
        <v>1</v>
      </c>
      <c r="N1069" s="4">
        <f t="shared" si="217"/>
        <v>60</v>
      </c>
      <c r="O1069" s="2">
        <v>2.1064814814814813E-3</v>
      </c>
      <c r="P1069" s="9">
        <f t="shared" si="210"/>
        <v>561.16666666666663</v>
      </c>
      <c r="Q1069" s="3">
        <f t="shared" si="218"/>
        <v>3.0333333333333332</v>
      </c>
      <c r="R1069" s="4">
        <f t="shared" si="219"/>
        <v>182</v>
      </c>
      <c r="S1069" s="3">
        <f t="shared" si="220"/>
        <v>55</v>
      </c>
      <c r="T1069" s="1">
        <v>0.2979</v>
      </c>
      <c r="U1069" s="6">
        <f t="shared" si="211"/>
        <v>55.111499999999999</v>
      </c>
    </row>
    <row r="1070" spans="1:21" x14ac:dyDescent="0.35">
      <c r="A1070">
        <v>1069</v>
      </c>
      <c r="B1070" s="5">
        <v>45265</v>
      </c>
      <c r="C1070" s="4">
        <f t="shared" si="212"/>
        <v>2023</v>
      </c>
      <c r="D1070" s="4">
        <f t="shared" si="213"/>
        <v>12</v>
      </c>
      <c r="E1070" s="14">
        <v>45265</v>
      </c>
      <c r="F1070" s="4">
        <f t="shared" si="214"/>
        <v>5</v>
      </c>
      <c r="G1070">
        <v>35</v>
      </c>
      <c r="H1070">
        <v>27</v>
      </c>
      <c r="I1070" s="13">
        <f t="shared" si="215"/>
        <v>0.77</v>
      </c>
      <c r="J1070">
        <f t="shared" si="208"/>
        <v>8</v>
      </c>
      <c r="K1070" s="2">
        <v>5.5555555555555556E-4</v>
      </c>
      <c r="L1070" s="11">
        <f t="shared" si="209"/>
        <v>21.6</v>
      </c>
      <c r="M1070" s="3">
        <f t="shared" si="216"/>
        <v>0.8</v>
      </c>
      <c r="N1070" s="4">
        <f t="shared" si="217"/>
        <v>48</v>
      </c>
      <c r="O1070" s="2">
        <v>2.0370370370370369E-3</v>
      </c>
      <c r="P1070" s="9">
        <f t="shared" si="210"/>
        <v>79.2</v>
      </c>
      <c r="Q1070" s="3">
        <f t="shared" si="218"/>
        <v>2.9333333333333336</v>
      </c>
      <c r="R1070" s="4">
        <f t="shared" si="219"/>
        <v>176</v>
      </c>
      <c r="S1070" s="3">
        <f t="shared" si="220"/>
        <v>11</v>
      </c>
      <c r="T1070" s="1">
        <v>0.43330000000000002</v>
      </c>
      <c r="U1070" s="6">
        <f t="shared" si="211"/>
        <v>11.699100000000001</v>
      </c>
    </row>
    <row r="1071" spans="1:21" x14ac:dyDescent="0.35">
      <c r="A1071">
        <v>1070</v>
      </c>
      <c r="B1071" s="5">
        <v>45266</v>
      </c>
      <c r="C1071" s="4">
        <f t="shared" si="212"/>
        <v>2023</v>
      </c>
      <c r="D1071" s="4">
        <f t="shared" si="213"/>
        <v>12</v>
      </c>
      <c r="E1071" s="14">
        <v>45266</v>
      </c>
      <c r="F1071" s="4">
        <f t="shared" si="214"/>
        <v>6</v>
      </c>
      <c r="G1071">
        <v>198</v>
      </c>
      <c r="H1071">
        <v>179</v>
      </c>
      <c r="I1071" s="13">
        <f t="shared" si="215"/>
        <v>0.9</v>
      </c>
      <c r="J1071">
        <f t="shared" si="208"/>
        <v>19</v>
      </c>
      <c r="K1071" s="2">
        <v>3.1250000000000001E-4</v>
      </c>
      <c r="L1071" s="11">
        <f t="shared" si="209"/>
        <v>80.55</v>
      </c>
      <c r="M1071" s="3">
        <f t="shared" si="216"/>
        <v>0.45</v>
      </c>
      <c r="N1071" s="4">
        <f t="shared" si="217"/>
        <v>27</v>
      </c>
      <c r="O1071" s="2">
        <v>1.8634259259259259E-3</v>
      </c>
      <c r="P1071" s="9">
        <f t="shared" si="210"/>
        <v>480.31666666666672</v>
      </c>
      <c r="Q1071" s="3">
        <f t="shared" si="218"/>
        <v>2.6833333333333336</v>
      </c>
      <c r="R1071" s="4">
        <f t="shared" si="219"/>
        <v>161</v>
      </c>
      <c r="S1071" s="3">
        <f t="shared" si="220"/>
        <v>107</v>
      </c>
      <c r="T1071" s="1">
        <v>0.60099999999999998</v>
      </c>
      <c r="U1071" s="6">
        <f t="shared" si="211"/>
        <v>107.57899999999999</v>
      </c>
    </row>
    <row r="1072" spans="1:21" x14ac:dyDescent="0.35">
      <c r="A1072">
        <v>1071</v>
      </c>
      <c r="B1072" s="5">
        <v>45267</v>
      </c>
      <c r="C1072" s="4">
        <f t="shared" si="212"/>
        <v>2023</v>
      </c>
      <c r="D1072" s="4">
        <f t="shared" si="213"/>
        <v>12</v>
      </c>
      <c r="E1072" s="14">
        <v>45267</v>
      </c>
      <c r="F1072" s="4">
        <f t="shared" si="214"/>
        <v>7</v>
      </c>
      <c r="G1072">
        <v>189</v>
      </c>
      <c r="H1072">
        <v>181</v>
      </c>
      <c r="I1072" s="13">
        <f t="shared" si="215"/>
        <v>0.95</v>
      </c>
      <c r="J1072">
        <f t="shared" si="208"/>
        <v>8</v>
      </c>
      <c r="K1072" s="2">
        <v>2.199074074074074E-4</v>
      </c>
      <c r="L1072" s="11">
        <f t="shared" si="209"/>
        <v>57.316666666666663</v>
      </c>
      <c r="M1072" s="3">
        <f t="shared" si="216"/>
        <v>0.31666666666666665</v>
      </c>
      <c r="N1072" s="4">
        <f t="shared" si="217"/>
        <v>19</v>
      </c>
      <c r="O1072" s="2">
        <v>2.0717592592592593E-3</v>
      </c>
      <c r="P1072" s="9">
        <f t="shared" si="210"/>
        <v>539.98333333333335</v>
      </c>
      <c r="Q1072" s="3">
        <f t="shared" si="218"/>
        <v>2.9833333333333334</v>
      </c>
      <c r="R1072" s="4">
        <f t="shared" si="219"/>
        <v>179</v>
      </c>
      <c r="S1072" s="3">
        <f t="shared" si="220"/>
        <v>129</v>
      </c>
      <c r="T1072" s="1">
        <v>0.71430000000000005</v>
      </c>
      <c r="U1072" s="6">
        <f t="shared" si="211"/>
        <v>129.28830000000002</v>
      </c>
    </row>
    <row r="1073" spans="1:21" x14ac:dyDescent="0.35">
      <c r="A1073">
        <v>1072</v>
      </c>
      <c r="B1073" s="5">
        <v>45268</v>
      </c>
      <c r="C1073" s="4">
        <f t="shared" si="212"/>
        <v>2023</v>
      </c>
      <c r="D1073" s="4">
        <f t="shared" si="213"/>
        <v>12</v>
      </c>
      <c r="E1073" s="14">
        <v>45268</v>
      </c>
      <c r="F1073" s="4">
        <f t="shared" si="214"/>
        <v>8</v>
      </c>
      <c r="G1073">
        <v>229</v>
      </c>
      <c r="H1073">
        <v>219</v>
      </c>
      <c r="I1073" s="13">
        <f t="shared" si="215"/>
        <v>0.95</v>
      </c>
      <c r="J1073">
        <f t="shared" si="208"/>
        <v>10</v>
      </c>
      <c r="K1073" s="2">
        <v>3.4722222222222224E-4</v>
      </c>
      <c r="L1073" s="11">
        <f t="shared" si="209"/>
        <v>109.5</v>
      </c>
      <c r="M1073" s="3">
        <f t="shared" si="216"/>
        <v>0.5</v>
      </c>
      <c r="N1073" s="4">
        <f t="shared" si="217"/>
        <v>30</v>
      </c>
      <c r="O1073" s="2">
        <v>2.2569444444444442E-3</v>
      </c>
      <c r="P1073" s="9">
        <f t="shared" si="210"/>
        <v>711.75</v>
      </c>
      <c r="Q1073" s="3">
        <f t="shared" si="218"/>
        <v>3.25</v>
      </c>
      <c r="R1073" s="4">
        <f t="shared" si="219"/>
        <v>195</v>
      </c>
      <c r="S1073" s="3">
        <f t="shared" si="220"/>
        <v>129</v>
      </c>
      <c r="T1073" s="1">
        <v>0.59209999999999996</v>
      </c>
      <c r="U1073" s="6">
        <f t="shared" si="211"/>
        <v>129.66989999999998</v>
      </c>
    </row>
    <row r="1074" spans="1:21" x14ac:dyDescent="0.35">
      <c r="A1074">
        <v>1073</v>
      </c>
      <c r="B1074" s="5">
        <v>45269</v>
      </c>
      <c r="C1074" s="4">
        <f t="shared" si="212"/>
        <v>2023</v>
      </c>
      <c r="D1074" s="4">
        <f t="shared" si="213"/>
        <v>12</v>
      </c>
      <c r="E1074" s="14">
        <v>45269</v>
      </c>
      <c r="F1074" s="4">
        <f t="shared" si="214"/>
        <v>9</v>
      </c>
      <c r="G1074">
        <v>254</v>
      </c>
      <c r="H1074">
        <v>235</v>
      </c>
      <c r="I1074" s="13">
        <f t="shared" si="215"/>
        <v>0.92</v>
      </c>
      <c r="J1074">
        <f t="shared" si="208"/>
        <v>19</v>
      </c>
      <c r="K1074" s="2">
        <v>3.1250000000000001E-4</v>
      </c>
      <c r="L1074" s="11">
        <f t="shared" si="209"/>
        <v>105.75</v>
      </c>
      <c r="M1074" s="3">
        <f t="shared" si="216"/>
        <v>0.45</v>
      </c>
      <c r="N1074" s="4">
        <f t="shared" si="217"/>
        <v>27</v>
      </c>
      <c r="O1074" s="2">
        <v>2.0370370370370369E-3</v>
      </c>
      <c r="P1074" s="9">
        <f t="shared" si="210"/>
        <v>689.33333333333337</v>
      </c>
      <c r="Q1074" s="3">
        <f t="shared" si="218"/>
        <v>2.9333333333333336</v>
      </c>
      <c r="R1074" s="4">
        <f t="shared" si="219"/>
        <v>176</v>
      </c>
      <c r="S1074" s="3">
        <f t="shared" si="220"/>
        <v>140</v>
      </c>
      <c r="T1074" s="1">
        <v>0.5968</v>
      </c>
      <c r="U1074" s="6">
        <f t="shared" si="211"/>
        <v>140.24799999999999</v>
      </c>
    </row>
    <row r="1075" spans="1:21" x14ac:dyDescent="0.35">
      <c r="A1075">
        <v>1074</v>
      </c>
      <c r="B1075" s="5">
        <v>45270</v>
      </c>
      <c r="C1075" s="4">
        <f t="shared" si="212"/>
        <v>2023</v>
      </c>
      <c r="D1075" s="4">
        <f t="shared" si="213"/>
        <v>12</v>
      </c>
      <c r="E1075" s="14">
        <v>45270</v>
      </c>
      <c r="F1075" s="4">
        <f t="shared" si="214"/>
        <v>10</v>
      </c>
      <c r="G1075">
        <v>584</v>
      </c>
      <c r="H1075">
        <v>521</v>
      </c>
      <c r="I1075" s="13">
        <f t="shared" si="215"/>
        <v>0.89</v>
      </c>
      <c r="J1075">
        <f t="shared" si="208"/>
        <v>63</v>
      </c>
      <c r="K1075" s="2">
        <v>3.3564814814814812E-4</v>
      </c>
      <c r="L1075" s="11">
        <f t="shared" si="209"/>
        <v>251.81666666666666</v>
      </c>
      <c r="M1075" s="3">
        <f t="shared" si="216"/>
        <v>0.48333333333333334</v>
      </c>
      <c r="N1075" s="4">
        <f t="shared" si="217"/>
        <v>29</v>
      </c>
      <c r="O1075" s="2">
        <v>1.5740740740740741E-3</v>
      </c>
      <c r="P1075" s="9">
        <f t="shared" si="210"/>
        <v>1180.9333333333334</v>
      </c>
      <c r="Q1075" s="3">
        <f t="shared" si="218"/>
        <v>2.2666666666666666</v>
      </c>
      <c r="R1075" s="4">
        <f t="shared" si="219"/>
        <v>136</v>
      </c>
      <c r="S1075" s="3">
        <f t="shared" si="220"/>
        <v>303</v>
      </c>
      <c r="T1075" s="1">
        <v>0.58299999999999996</v>
      </c>
      <c r="U1075" s="6">
        <f t="shared" si="211"/>
        <v>303.74299999999999</v>
      </c>
    </row>
    <row r="1076" spans="1:21" x14ac:dyDescent="0.35">
      <c r="A1076">
        <v>1075</v>
      </c>
      <c r="B1076" s="5">
        <v>45271</v>
      </c>
      <c r="C1076" s="4">
        <f t="shared" si="212"/>
        <v>2023</v>
      </c>
      <c r="D1076" s="4">
        <f t="shared" si="213"/>
        <v>12</v>
      </c>
      <c r="E1076" s="14">
        <v>45271</v>
      </c>
      <c r="F1076" s="4">
        <f t="shared" si="214"/>
        <v>11</v>
      </c>
      <c r="G1076">
        <v>564</v>
      </c>
      <c r="H1076">
        <v>551</v>
      </c>
      <c r="I1076" s="13">
        <f t="shared" si="215"/>
        <v>0.97</v>
      </c>
      <c r="J1076">
        <f t="shared" si="208"/>
        <v>13</v>
      </c>
      <c r="K1076" s="2">
        <v>1.3888888888888889E-4</v>
      </c>
      <c r="L1076" s="11">
        <f t="shared" si="209"/>
        <v>110.2</v>
      </c>
      <c r="M1076" s="3">
        <f t="shared" si="216"/>
        <v>0.2</v>
      </c>
      <c r="N1076" s="4">
        <f t="shared" si="217"/>
        <v>12</v>
      </c>
      <c r="O1076" s="2">
        <v>1.1574074074074073E-3</v>
      </c>
      <c r="P1076" s="9">
        <f t="shared" si="210"/>
        <v>918.33333333333326</v>
      </c>
      <c r="Q1076" s="3">
        <f t="shared" si="218"/>
        <v>1.6666666666666665</v>
      </c>
      <c r="R1076" s="4">
        <f t="shared" si="219"/>
        <v>99.999999999999986</v>
      </c>
      <c r="S1076" s="3">
        <f t="shared" si="220"/>
        <v>462</v>
      </c>
      <c r="T1076" s="1">
        <v>0.83960000000000001</v>
      </c>
      <c r="U1076" s="6">
        <f t="shared" si="211"/>
        <v>462.61959999999999</v>
      </c>
    </row>
    <row r="1077" spans="1:21" x14ac:dyDescent="0.35">
      <c r="A1077">
        <v>1076</v>
      </c>
      <c r="B1077" s="5">
        <v>45272</v>
      </c>
      <c r="C1077" s="4">
        <f t="shared" si="212"/>
        <v>2023</v>
      </c>
      <c r="D1077" s="4">
        <f t="shared" si="213"/>
        <v>12</v>
      </c>
      <c r="E1077" s="14">
        <v>45272</v>
      </c>
      <c r="F1077" s="4">
        <f t="shared" si="214"/>
        <v>12</v>
      </c>
      <c r="G1077">
        <v>150</v>
      </c>
      <c r="H1077">
        <v>149</v>
      </c>
      <c r="I1077" s="13">
        <f t="shared" si="215"/>
        <v>0.99</v>
      </c>
      <c r="J1077">
        <f t="shared" si="208"/>
        <v>1</v>
      </c>
      <c r="K1077" s="2">
        <v>1.1574074074074075E-4</v>
      </c>
      <c r="L1077" s="11">
        <f t="shared" si="209"/>
        <v>24.833333333333332</v>
      </c>
      <c r="M1077" s="3">
        <f t="shared" si="216"/>
        <v>0.16666666666666666</v>
      </c>
      <c r="N1077" s="4">
        <f t="shared" si="217"/>
        <v>10</v>
      </c>
      <c r="O1077" s="2">
        <v>1.1574074074074073E-3</v>
      </c>
      <c r="P1077" s="9">
        <f t="shared" si="210"/>
        <v>248.33333333333331</v>
      </c>
      <c r="Q1077" s="3">
        <f t="shared" si="218"/>
        <v>1.6666666666666665</v>
      </c>
      <c r="R1077" s="4">
        <f t="shared" si="219"/>
        <v>99.999999999999986</v>
      </c>
      <c r="S1077" s="3">
        <f t="shared" si="220"/>
        <v>133</v>
      </c>
      <c r="T1077" s="1">
        <v>0.89329999999999998</v>
      </c>
      <c r="U1077" s="6">
        <f t="shared" si="211"/>
        <v>133.10169999999999</v>
      </c>
    </row>
    <row r="1078" spans="1:21" x14ac:dyDescent="0.35">
      <c r="A1078">
        <v>1077</v>
      </c>
      <c r="B1078" s="5">
        <v>45273</v>
      </c>
      <c r="C1078" s="4">
        <f t="shared" si="212"/>
        <v>2023</v>
      </c>
      <c r="D1078" s="4">
        <f t="shared" si="213"/>
        <v>12</v>
      </c>
      <c r="E1078" s="14">
        <v>45273</v>
      </c>
      <c r="F1078" s="4">
        <f t="shared" si="214"/>
        <v>13</v>
      </c>
      <c r="G1078">
        <v>521</v>
      </c>
      <c r="H1078">
        <v>499</v>
      </c>
      <c r="I1078" s="13">
        <f t="shared" si="215"/>
        <v>0.95</v>
      </c>
      <c r="J1078">
        <f t="shared" si="208"/>
        <v>22</v>
      </c>
      <c r="K1078" s="2">
        <v>2.6620370370370372E-4</v>
      </c>
      <c r="L1078" s="11">
        <f t="shared" si="209"/>
        <v>191.28333333333336</v>
      </c>
      <c r="M1078" s="3">
        <f t="shared" si="216"/>
        <v>0.38333333333333336</v>
      </c>
      <c r="N1078" s="4">
        <f t="shared" si="217"/>
        <v>23</v>
      </c>
      <c r="O1078" s="2">
        <v>1.1111111111111111E-3</v>
      </c>
      <c r="P1078" s="9">
        <f t="shared" si="210"/>
        <v>798.40000000000009</v>
      </c>
      <c r="Q1078" s="3">
        <f t="shared" si="218"/>
        <v>1.6</v>
      </c>
      <c r="R1078" s="4">
        <f t="shared" si="219"/>
        <v>96</v>
      </c>
      <c r="S1078" s="3">
        <f t="shared" si="220"/>
        <v>353</v>
      </c>
      <c r="T1078" s="1">
        <v>0.70930000000000004</v>
      </c>
      <c r="U1078" s="6">
        <f t="shared" si="211"/>
        <v>353.94069999999999</v>
      </c>
    </row>
    <row r="1079" spans="1:21" x14ac:dyDescent="0.35">
      <c r="A1079">
        <v>1078</v>
      </c>
      <c r="B1079" s="5">
        <v>45274</v>
      </c>
      <c r="C1079" s="4">
        <f t="shared" si="212"/>
        <v>2023</v>
      </c>
      <c r="D1079" s="4">
        <f t="shared" si="213"/>
        <v>12</v>
      </c>
      <c r="E1079" s="14">
        <v>45274</v>
      </c>
      <c r="F1079" s="4">
        <f t="shared" si="214"/>
        <v>14</v>
      </c>
      <c r="G1079">
        <v>330</v>
      </c>
      <c r="H1079">
        <v>309</v>
      </c>
      <c r="I1079" s="13">
        <f t="shared" si="215"/>
        <v>0.93</v>
      </c>
      <c r="J1079">
        <f t="shared" si="208"/>
        <v>21</v>
      </c>
      <c r="K1079" s="2">
        <v>2.4305555555555555E-4</v>
      </c>
      <c r="L1079" s="11">
        <f t="shared" si="209"/>
        <v>108.14999999999999</v>
      </c>
      <c r="M1079" s="3">
        <f t="shared" si="216"/>
        <v>0.35</v>
      </c>
      <c r="N1079" s="4">
        <f t="shared" si="217"/>
        <v>21</v>
      </c>
      <c r="O1079" s="2">
        <v>2.3032407407407407E-3</v>
      </c>
      <c r="P1079" s="9">
        <f t="shared" si="210"/>
        <v>1024.8499999999999</v>
      </c>
      <c r="Q1079" s="3">
        <f t="shared" si="218"/>
        <v>3.3166666666666664</v>
      </c>
      <c r="R1079" s="4">
        <f t="shared" si="219"/>
        <v>199</v>
      </c>
      <c r="S1079" s="3">
        <f t="shared" si="220"/>
        <v>214</v>
      </c>
      <c r="T1079" s="1">
        <v>0.69540000000000002</v>
      </c>
      <c r="U1079" s="6">
        <f t="shared" si="211"/>
        <v>214.87860000000001</v>
      </c>
    </row>
    <row r="1080" spans="1:21" x14ac:dyDescent="0.35">
      <c r="A1080">
        <v>1079</v>
      </c>
      <c r="B1080" s="5">
        <v>45275</v>
      </c>
      <c r="C1080" s="4">
        <f t="shared" si="212"/>
        <v>2023</v>
      </c>
      <c r="D1080" s="4">
        <f t="shared" si="213"/>
        <v>12</v>
      </c>
      <c r="E1080" s="14">
        <v>45275</v>
      </c>
      <c r="F1080" s="4">
        <f t="shared" si="214"/>
        <v>15</v>
      </c>
      <c r="G1080">
        <v>298</v>
      </c>
      <c r="H1080">
        <v>288</v>
      </c>
      <c r="I1080" s="13">
        <f t="shared" si="215"/>
        <v>0.96</v>
      </c>
      <c r="J1080">
        <f t="shared" si="208"/>
        <v>10</v>
      </c>
      <c r="K1080" s="2">
        <v>1.5046296296296297E-4</v>
      </c>
      <c r="L1080" s="11">
        <f t="shared" si="209"/>
        <v>62.400000000000006</v>
      </c>
      <c r="M1080" s="3">
        <f t="shared" si="216"/>
        <v>0.21666666666666667</v>
      </c>
      <c r="N1080" s="4">
        <f t="shared" si="217"/>
        <v>13</v>
      </c>
      <c r="O1080" s="2">
        <v>2.3148148148148147E-3</v>
      </c>
      <c r="P1080" s="9">
        <f t="shared" si="210"/>
        <v>960</v>
      </c>
      <c r="Q1080" s="3">
        <f t="shared" si="218"/>
        <v>3.3333333333333335</v>
      </c>
      <c r="R1080" s="4">
        <f t="shared" si="219"/>
        <v>200</v>
      </c>
      <c r="S1080" s="3">
        <f t="shared" si="220"/>
        <v>244</v>
      </c>
      <c r="T1080" s="1">
        <v>0.84750000000000003</v>
      </c>
      <c r="U1080" s="6">
        <f t="shared" si="211"/>
        <v>244.08</v>
      </c>
    </row>
    <row r="1081" spans="1:21" x14ac:dyDescent="0.35">
      <c r="A1081">
        <v>1080</v>
      </c>
      <c r="B1081" s="5">
        <v>45276</v>
      </c>
      <c r="C1081" s="4">
        <f t="shared" si="212"/>
        <v>2023</v>
      </c>
      <c r="D1081" s="4">
        <f t="shared" si="213"/>
        <v>12</v>
      </c>
      <c r="E1081" s="14">
        <v>45276</v>
      </c>
      <c r="F1081" s="4">
        <f t="shared" si="214"/>
        <v>16</v>
      </c>
      <c r="G1081">
        <v>294</v>
      </c>
      <c r="H1081">
        <v>287</v>
      </c>
      <c r="I1081" s="13">
        <f t="shared" si="215"/>
        <v>0.97</v>
      </c>
      <c r="J1081">
        <f t="shared" si="208"/>
        <v>7</v>
      </c>
      <c r="K1081" s="2">
        <v>1.6203703703703703E-4</v>
      </c>
      <c r="L1081" s="11">
        <f t="shared" si="209"/>
        <v>66.966666666666669</v>
      </c>
      <c r="M1081" s="3">
        <f t="shared" si="216"/>
        <v>0.23333333333333334</v>
      </c>
      <c r="N1081" s="4">
        <f t="shared" si="217"/>
        <v>14</v>
      </c>
      <c r="O1081" s="2">
        <v>2.4074074074074076E-3</v>
      </c>
      <c r="P1081" s="9">
        <f t="shared" si="210"/>
        <v>994.93333333333339</v>
      </c>
      <c r="Q1081" s="3">
        <f t="shared" si="218"/>
        <v>3.4666666666666668</v>
      </c>
      <c r="R1081" s="4">
        <f t="shared" si="219"/>
        <v>208</v>
      </c>
      <c r="S1081" s="3">
        <f t="shared" si="220"/>
        <v>236</v>
      </c>
      <c r="T1081" s="1">
        <v>0.82250000000000001</v>
      </c>
      <c r="U1081" s="6">
        <f t="shared" si="211"/>
        <v>236.0575</v>
      </c>
    </row>
    <row r="1082" spans="1:21" x14ac:dyDescent="0.35">
      <c r="A1082">
        <v>1081</v>
      </c>
      <c r="B1082" s="5">
        <v>45277</v>
      </c>
      <c r="C1082" s="4">
        <f t="shared" si="212"/>
        <v>2023</v>
      </c>
      <c r="D1082" s="4">
        <f t="shared" si="213"/>
        <v>12</v>
      </c>
      <c r="E1082" s="14">
        <v>45277</v>
      </c>
      <c r="F1082" s="4">
        <f t="shared" si="214"/>
        <v>17</v>
      </c>
      <c r="G1082">
        <v>261</v>
      </c>
      <c r="H1082">
        <v>253</v>
      </c>
      <c r="I1082" s="13">
        <f t="shared" si="215"/>
        <v>0.96</v>
      </c>
      <c r="J1082">
        <f t="shared" si="208"/>
        <v>8</v>
      </c>
      <c r="K1082" s="2">
        <v>1.1574074074074075E-4</v>
      </c>
      <c r="L1082" s="11">
        <f t="shared" si="209"/>
        <v>42.166666666666664</v>
      </c>
      <c r="M1082" s="3">
        <f t="shared" si="216"/>
        <v>0.16666666666666666</v>
      </c>
      <c r="N1082" s="4">
        <f t="shared" si="217"/>
        <v>10</v>
      </c>
      <c r="O1082" s="2">
        <v>2.1180555555555558E-3</v>
      </c>
      <c r="P1082" s="9">
        <f t="shared" si="210"/>
        <v>771.65</v>
      </c>
      <c r="Q1082" s="3">
        <f t="shared" si="218"/>
        <v>3.05</v>
      </c>
      <c r="R1082" s="4">
        <f t="shared" si="219"/>
        <v>183</v>
      </c>
      <c r="S1082" s="3">
        <f t="shared" si="220"/>
        <v>227</v>
      </c>
      <c r="T1082" s="1">
        <v>0.89959999999999996</v>
      </c>
      <c r="U1082" s="6">
        <f t="shared" si="211"/>
        <v>227.59879999999998</v>
      </c>
    </row>
    <row r="1083" spans="1:21" x14ac:dyDescent="0.35">
      <c r="A1083">
        <v>1082</v>
      </c>
      <c r="B1083" s="5">
        <v>45278</v>
      </c>
      <c r="C1083" s="4">
        <f t="shared" si="212"/>
        <v>2023</v>
      </c>
      <c r="D1083" s="4">
        <f t="shared" si="213"/>
        <v>12</v>
      </c>
      <c r="E1083" s="14">
        <v>45278</v>
      </c>
      <c r="F1083" s="4">
        <f t="shared" si="214"/>
        <v>18</v>
      </c>
      <c r="G1083">
        <v>223</v>
      </c>
      <c r="H1083">
        <v>210</v>
      </c>
      <c r="I1083" s="13">
        <f t="shared" si="215"/>
        <v>0.94</v>
      </c>
      <c r="J1083">
        <f t="shared" si="208"/>
        <v>13</v>
      </c>
      <c r="K1083" s="2">
        <v>1.8518518518518518E-4</v>
      </c>
      <c r="L1083" s="11">
        <f t="shared" si="209"/>
        <v>56</v>
      </c>
      <c r="M1083" s="3">
        <f t="shared" si="216"/>
        <v>0.26666666666666666</v>
      </c>
      <c r="N1083" s="4">
        <f t="shared" si="217"/>
        <v>16</v>
      </c>
      <c r="O1083" s="2">
        <v>2.1643518518518518E-3</v>
      </c>
      <c r="P1083" s="9">
        <f t="shared" si="210"/>
        <v>654.5</v>
      </c>
      <c r="Q1083" s="3">
        <f t="shared" si="218"/>
        <v>3.1166666666666667</v>
      </c>
      <c r="R1083" s="4">
        <f t="shared" si="219"/>
        <v>187</v>
      </c>
      <c r="S1083" s="3">
        <f t="shared" si="220"/>
        <v>168</v>
      </c>
      <c r="T1083" s="1">
        <v>0.80089999999999995</v>
      </c>
      <c r="U1083" s="6">
        <f t="shared" si="211"/>
        <v>168.18899999999999</v>
      </c>
    </row>
    <row r="1084" spans="1:21" x14ac:dyDescent="0.35">
      <c r="A1084">
        <v>1083</v>
      </c>
      <c r="B1084" s="5">
        <v>45279</v>
      </c>
      <c r="C1084" s="4">
        <f t="shared" si="212"/>
        <v>2023</v>
      </c>
      <c r="D1084" s="4">
        <f t="shared" si="213"/>
        <v>12</v>
      </c>
      <c r="E1084" s="14">
        <v>45279</v>
      </c>
      <c r="F1084" s="4">
        <f t="shared" si="214"/>
        <v>19</v>
      </c>
      <c r="G1084">
        <v>59</v>
      </c>
      <c r="H1084">
        <v>58</v>
      </c>
      <c r="I1084" s="13">
        <f t="shared" si="215"/>
        <v>0.98</v>
      </c>
      <c r="J1084">
        <f t="shared" si="208"/>
        <v>1</v>
      </c>
      <c r="K1084" s="2">
        <v>2.4305555555555555E-4</v>
      </c>
      <c r="L1084" s="11">
        <f t="shared" si="209"/>
        <v>20.299999999999997</v>
      </c>
      <c r="M1084" s="3">
        <f t="shared" si="216"/>
        <v>0.35</v>
      </c>
      <c r="N1084" s="4">
        <f t="shared" si="217"/>
        <v>21</v>
      </c>
      <c r="O1084" s="2">
        <v>2.5578703703703705E-3</v>
      </c>
      <c r="P1084" s="9">
        <f t="shared" si="210"/>
        <v>213.63333333333335</v>
      </c>
      <c r="Q1084" s="3">
        <f t="shared" si="218"/>
        <v>3.6833333333333336</v>
      </c>
      <c r="R1084" s="4">
        <f t="shared" si="219"/>
        <v>221</v>
      </c>
      <c r="S1084" s="3">
        <f t="shared" si="220"/>
        <v>43</v>
      </c>
      <c r="T1084" s="1">
        <v>0.74580000000000002</v>
      </c>
      <c r="U1084" s="6">
        <f t="shared" si="211"/>
        <v>43.256399999999999</v>
      </c>
    </row>
    <row r="1085" spans="1:21" x14ac:dyDescent="0.35">
      <c r="A1085">
        <v>1084</v>
      </c>
      <c r="B1085" s="5">
        <v>45280</v>
      </c>
      <c r="C1085" s="4">
        <f t="shared" si="212"/>
        <v>2023</v>
      </c>
      <c r="D1085" s="4">
        <f t="shared" si="213"/>
        <v>12</v>
      </c>
      <c r="E1085" s="14">
        <v>45280</v>
      </c>
      <c r="F1085" s="4">
        <f t="shared" si="214"/>
        <v>20</v>
      </c>
      <c r="G1085">
        <v>340</v>
      </c>
      <c r="H1085">
        <v>327</v>
      </c>
      <c r="I1085" s="13">
        <f t="shared" si="215"/>
        <v>0.96</v>
      </c>
      <c r="J1085">
        <f t="shared" si="208"/>
        <v>13</v>
      </c>
      <c r="K1085" s="2">
        <v>2.4305555555555555E-4</v>
      </c>
      <c r="L1085" s="11">
        <f t="shared" si="209"/>
        <v>114.44999999999999</v>
      </c>
      <c r="M1085" s="3">
        <f t="shared" si="216"/>
        <v>0.35</v>
      </c>
      <c r="N1085" s="4">
        <f t="shared" si="217"/>
        <v>21</v>
      </c>
      <c r="O1085" s="2">
        <v>1.3310185185185185E-3</v>
      </c>
      <c r="P1085" s="9">
        <f t="shared" si="210"/>
        <v>626.75</v>
      </c>
      <c r="Q1085" s="3">
        <f t="shared" si="218"/>
        <v>1.9166666666666665</v>
      </c>
      <c r="R1085" s="4">
        <f t="shared" si="219"/>
        <v>114.99999999999999</v>
      </c>
      <c r="S1085" s="3">
        <f t="shared" si="220"/>
        <v>253</v>
      </c>
      <c r="T1085" s="1">
        <v>0.77610000000000001</v>
      </c>
      <c r="U1085" s="6">
        <f t="shared" si="211"/>
        <v>253.78470000000002</v>
      </c>
    </row>
    <row r="1086" spans="1:21" x14ac:dyDescent="0.35">
      <c r="A1086">
        <v>1085</v>
      </c>
      <c r="B1086" s="5">
        <v>45281</v>
      </c>
      <c r="C1086" s="4">
        <f t="shared" si="212"/>
        <v>2023</v>
      </c>
      <c r="D1086" s="4">
        <f t="shared" si="213"/>
        <v>12</v>
      </c>
      <c r="E1086" s="14">
        <v>45281</v>
      </c>
      <c r="F1086" s="4">
        <f t="shared" si="214"/>
        <v>21</v>
      </c>
      <c r="G1086">
        <v>287</v>
      </c>
      <c r="H1086">
        <v>280</v>
      </c>
      <c r="I1086" s="13">
        <f t="shared" si="215"/>
        <v>0.97</v>
      </c>
      <c r="J1086">
        <f t="shared" si="208"/>
        <v>7</v>
      </c>
      <c r="K1086" s="2">
        <v>1.5046296296296297E-4</v>
      </c>
      <c r="L1086" s="11">
        <f t="shared" si="209"/>
        <v>60.666666666666671</v>
      </c>
      <c r="M1086" s="3">
        <f t="shared" si="216"/>
        <v>0.21666666666666667</v>
      </c>
      <c r="N1086" s="4">
        <f t="shared" si="217"/>
        <v>13</v>
      </c>
      <c r="O1086" s="2">
        <v>2.1412037037037038E-3</v>
      </c>
      <c r="P1086" s="9">
        <f t="shared" si="210"/>
        <v>863.33333333333337</v>
      </c>
      <c r="Q1086" s="3">
        <f t="shared" si="218"/>
        <v>3.0833333333333335</v>
      </c>
      <c r="R1086" s="4">
        <f t="shared" si="219"/>
        <v>185</v>
      </c>
      <c r="S1086" s="3">
        <f t="shared" si="220"/>
        <v>236</v>
      </c>
      <c r="T1086" s="1">
        <v>0.84319999999999995</v>
      </c>
      <c r="U1086" s="6">
        <f t="shared" si="211"/>
        <v>236.09599999999998</v>
      </c>
    </row>
    <row r="1087" spans="1:21" x14ac:dyDescent="0.35">
      <c r="A1087">
        <v>1086</v>
      </c>
      <c r="B1087" s="5">
        <v>45282</v>
      </c>
      <c r="C1087" s="4">
        <f t="shared" si="212"/>
        <v>2023</v>
      </c>
      <c r="D1087" s="4">
        <f t="shared" si="213"/>
        <v>12</v>
      </c>
      <c r="E1087" s="14">
        <v>45282</v>
      </c>
      <c r="F1087" s="4">
        <f t="shared" si="214"/>
        <v>22</v>
      </c>
      <c r="G1087">
        <v>269</v>
      </c>
      <c r="H1087">
        <v>257</v>
      </c>
      <c r="I1087" s="13">
        <f t="shared" si="215"/>
        <v>0.95</v>
      </c>
      <c r="J1087">
        <f t="shared" si="208"/>
        <v>12</v>
      </c>
      <c r="K1087" s="2">
        <v>1.8518518518518518E-4</v>
      </c>
      <c r="L1087" s="11">
        <f t="shared" si="209"/>
        <v>68.533333333333331</v>
      </c>
      <c r="M1087" s="3">
        <f t="shared" si="216"/>
        <v>0.26666666666666666</v>
      </c>
      <c r="N1087" s="4">
        <f t="shared" si="217"/>
        <v>16</v>
      </c>
      <c r="O1087" s="2">
        <v>2.1296296296296298E-3</v>
      </c>
      <c r="P1087" s="9">
        <f t="shared" si="210"/>
        <v>788.13333333333344</v>
      </c>
      <c r="Q1087" s="3">
        <f t="shared" si="218"/>
        <v>3.0666666666666669</v>
      </c>
      <c r="R1087" s="4">
        <f t="shared" si="219"/>
        <v>184</v>
      </c>
      <c r="S1087" s="3">
        <f t="shared" si="220"/>
        <v>210</v>
      </c>
      <c r="T1087" s="1">
        <v>0.82020000000000004</v>
      </c>
      <c r="U1087" s="6">
        <f t="shared" si="211"/>
        <v>210.79140000000001</v>
      </c>
    </row>
    <row r="1088" spans="1:21" x14ac:dyDescent="0.35">
      <c r="A1088">
        <v>1087</v>
      </c>
      <c r="B1088" s="5">
        <v>45283</v>
      </c>
      <c r="C1088" s="4">
        <f t="shared" si="212"/>
        <v>2023</v>
      </c>
      <c r="D1088" s="4">
        <f t="shared" si="213"/>
        <v>12</v>
      </c>
      <c r="E1088" s="14">
        <v>45283</v>
      </c>
      <c r="F1088" s="4">
        <f t="shared" si="214"/>
        <v>23</v>
      </c>
      <c r="G1088">
        <v>270</v>
      </c>
      <c r="H1088">
        <v>261</v>
      </c>
      <c r="I1088" s="13">
        <f t="shared" si="215"/>
        <v>0.96</v>
      </c>
      <c r="J1088">
        <f t="shared" si="208"/>
        <v>9</v>
      </c>
      <c r="K1088" s="2">
        <v>1.3888888888888889E-4</v>
      </c>
      <c r="L1088" s="11">
        <f t="shared" si="209"/>
        <v>52.2</v>
      </c>
      <c r="M1088" s="3">
        <f t="shared" si="216"/>
        <v>0.2</v>
      </c>
      <c r="N1088" s="4">
        <f t="shared" si="217"/>
        <v>12</v>
      </c>
      <c r="O1088" s="2">
        <v>2.1527777777777778E-3</v>
      </c>
      <c r="P1088" s="9">
        <f t="shared" si="210"/>
        <v>809.1</v>
      </c>
      <c r="Q1088" s="3">
        <f t="shared" si="218"/>
        <v>3.1</v>
      </c>
      <c r="R1088" s="4">
        <f t="shared" si="219"/>
        <v>186</v>
      </c>
      <c r="S1088" s="3">
        <f t="shared" si="220"/>
        <v>224</v>
      </c>
      <c r="T1088" s="1">
        <v>0.85870000000000002</v>
      </c>
      <c r="U1088" s="6">
        <f t="shared" si="211"/>
        <v>224.1207</v>
      </c>
    </row>
    <row r="1089" spans="1:21" x14ac:dyDescent="0.35">
      <c r="A1089">
        <v>1088</v>
      </c>
      <c r="B1089" s="5">
        <v>45284</v>
      </c>
      <c r="C1089" s="4">
        <f t="shared" si="212"/>
        <v>2023</v>
      </c>
      <c r="D1089" s="4">
        <f t="shared" si="213"/>
        <v>12</v>
      </c>
      <c r="E1089" s="14">
        <v>45284</v>
      </c>
      <c r="F1089" s="4">
        <f t="shared" si="214"/>
        <v>24</v>
      </c>
      <c r="G1089">
        <v>285</v>
      </c>
      <c r="H1089">
        <v>273</v>
      </c>
      <c r="I1089" s="13">
        <f t="shared" si="215"/>
        <v>0.95</v>
      </c>
      <c r="J1089">
        <f t="shared" si="208"/>
        <v>12</v>
      </c>
      <c r="K1089" s="2">
        <v>1.3888888888888889E-4</v>
      </c>
      <c r="L1089" s="11">
        <f t="shared" si="209"/>
        <v>54.6</v>
      </c>
      <c r="M1089" s="3">
        <f t="shared" si="216"/>
        <v>0.2</v>
      </c>
      <c r="N1089" s="4">
        <f t="shared" si="217"/>
        <v>12</v>
      </c>
      <c r="O1089" s="2">
        <v>2.2453703703703702E-3</v>
      </c>
      <c r="P1089" s="9">
        <f t="shared" si="210"/>
        <v>882.7</v>
      </c>
      <c r="Q1089" s="3">
        <f t="shared" si="218"/>
        <v>3.2333333333333334</v>
      </c>
      <c r="R1089" s="4">
        <f t="shared" si="219"/>
        <v>194</v>
      </c>
      <c r="S1089" s="3">
        <f t="shared" si="220"/>
        <v>233</v>
      </c>
      <c r="T1089" s="1">
        <v>0.85360000000000003</v>
      </c>
      <c r="U1089" s="6">
        <f t="shared" si="211"/>
        <v>233.03280000000001</v>
      </c>
    </row>
    <row r="1090" spans="1:21" x14ac:dyDescent="0.35">
      <c r="A1090">
        <v>1089</v>
      </c>
      <c r="B1090" s="5">
        <v>45285</v>
      </c>
      <c r="C1090" s="4">
        <f t="shared" si="212"/>
        <v>2023</v>
      </c>
      <c r="D1090" s="4">
        <f t="shared" si="213"/>
        <v>12</v>
      </c>
      <c r="E1090" s="14">
        <v>45285</v>
      </c>
      <c r="F1090" s="4">
        <f t="shared" si="214"/>
        <v>25</v>
      </c>
      <c r="G1090">
        <v>251</v>
      </c>
      <c r="H1090">
        <v>229</v>
      </c>
      <c r="I1090" s="13">
        <f t="shared" si="215"/>
        <v>0.91</v>
      </c>
      <c r="J1090">
        <f t="shared" ref="J1090:J1153" si="221">G1090-H1090</f>
        <v>22</v>
      </c>
      <c r="K1090" s="2">
        <v>2.5462962962962961E-4</v>
      </c>
      <c r="L1090" s="11">
        <f t="shared" ref="L1090:L1153" si="222">H1090*M1090</f>
        <v>83.966666666666654</v>
      </c>
      <c r="M1090" s="3">
        <f t="shared" si="216"/>
        <v>0.36666666666666664</v>
      </c>
      <c r="N1090" s="4">
        <f t="shared" si="217"/>
        <v>22</v>
      </c>
      <c r="O1090" s="2">
        <v>2.0717592592592593E-3</v>
      </c>
      <c r="P1090" s="9">
        <f t="shared" ref="P1090:P1153" si="223">Q1090*H1090</f>
        <v>683.18333333333339</v>
      </c>
      <c r="Q1090" s="3">
        <f t="shared" si="218"/>
        <v>2.9833333333333334</v>
      </c>
      <c r="R1090" s="4">
        <f t="shared" si="219"/>
        <v>179</v>
      </c>
      <c r="S1090" s="3">
        <f t="shared" si="220"/>
        <v>167</v>
      </c>
      <c r="T1090" s="1">
        <v>0.73060000000000003</v>
      </c>
      <c r="U1090" s="6">
        <f t="shared" ref="U1090:U1153" si="224">T1090*H1090</f>
        <v>167.3074</v>
      </c>
    </row>
    <row r="1091" spans="1:21" x14ac:dyDescent="0.35">
      <c r="A1091">
        <v>1090</v>
      </c>
      <c r="B1091" s="5">
        <v>45286</v>
      </c>
      <c r="C1091" s="4">
        <f t="shared" ref="C1091:C1154" si="225">YEAR(B1091)</f>
        <v>2023</v>
      </c>
      <c r="D1091" s="4">
        <f t="shared" ref="D1091:D1154" si="226">MONTH(B1091)</f>
        <v>12</v>
      </c>
      <c r="E1091" s="14">
        <v>45286</v>
      </c>
      <c r="F1091" s="4">
        <f t="shared" ref="F1091:F1154" si="227">DAY(B1091)</f>
        <v>26</v>
      </c>
      <c r="G1091">
        <v>47</v>
      </c>
      <c r="H1091">
        <v>47</v>
      </c>
      <c r="I1091" s="13">
        <f t="shared" ref="I1091:I1154" si="228">TRUNC(H1091/G1091,2)</f>
        <v>1</v>
      </c>
      <c r="J1091">
        <f t="shared" si="221"/>
        <v>0</v>
      </c>
      <c r="K1091" s="2">
        <v>1.5046296296296297E-4</v>
      </c>
      <c r="L1091" s="11">
        <f t="shared" si="222"/>
        <v>10.183333333333334</v>
      </c>
      <c r="M1091" s="3">
        <f t="shared" ref="M1091:M1154" si="229">MINUTE(K1091)+SECOND(K1091)/60</f>
        <v>0.21666666666666667</v>
      </c>
      <c r="N1091" s="4">
        <f t="shared" ref="N1091:N1154" si="230">M1091*60</f>
        <v>13</v>
      </c>
      <c r="O1091" s="2">
        <v>2.1180555555555558E-3</v>
      </c>
      <c r="P1091" s="9">
        <f t="shared" si="223"/>
        <v>143.35</v>
      </c>
      <c r="Q1091" s="3">
        <f t="shared" ref="Q1091:Q1154" si="231">MINUTE(O1091)+SECOND(O1091)/60</f>
        <v>3.05</v>
      </c>
      <c r="R1091" s="4">
        <f t="shared" ref="R1091:R1154" si="232">Q1091*60</f>
        <v>183</v>
      </c>
      <c r="S1091" s="3">
        <f t="shared" ref="S1091:S1154" si="233">TRUNC(U1091,0)</f>
        <v>40</v>
      </c>
      <c r="T1091" s="1">
        <v>0.87229999999999996</v>
      </c>
      <c r="U1091" s="6">
        <f t="shared" si="224"/>
        <v>40.998100000000001</v>
      </c>
    </row>
    <row r="1092" spans="1:21" x14ac:dyDescent="0.35">
      <c r="A1092">
        <v>1091</v>
      </c>
      <c r="B1092" s="5">
        <v>45287</v>
      </c>
      <c r="C1092" s="4">
        <f t="shared" si="225"/>
        <v>2023</v>
      </c>
      <c r="D1092" s="4">
        <f t="shared" si="226"/>
        <v>12</v>
      </c>
      <c r="E1092" s="14">
        <v>45287</v>
      </c>
      <c r="F1092" s="4">
        <f t="shared" si="227"/>
        <v>27</v>
      </c>
      <c r="G1092">
        <v>233</v>
      </c>
      <c r="H1092">
        <v>225</v>
      </c>
      <c r="I1092" s="13">
        <f t="shared" si="228"/>
        <v>0.96</v>
      </c>
      <c r="J1092">
        <f t="shared" si="221"/>
        <v>8</v>
      </c>
      <c r="K1092" s="2">
        <v>1.5046296296296297E-4</v>
      </c>
      <c r="L1092" s="11">
        <f t="shared" si="222"/>
        <v>48.75</v>
      </c>
      <c r="M1092" s="3">
        <f t="shared" si="229"/>
        <v>0.21666666666666667</v>
      </c>
      <c r="N1092" s="4">
        <f t="shared" si="230"/>
        <v>13</v>
      </c>
      <c r="O1092" s="2">
        <v>2.1064814814814813E-3</v>
      </c>
      <c r="P1092" s="9">
        <f t="shared" si="223"/>
        <v>682.5</v>
      </c>
      <c r="Q1092" s="3">
        <f t="shared" si="231"/>
        <v>3.0333333333333332</v>
      </c>
      <c r="R1092" s="4">
        <f t="shared" si="232"/>
        <v>182</v>
      </c>
      <c r="S1092" s="3">
        <f t="shared" si="233"/>
        <v>190</v>
      </c>
      <c r="T1092" s="1">
        <v>0.84719999999999995</v>
      </c>
      <c r="U1092" s="6">
        <f t="shared" si="224"/>
        <v>190.61999999999998</v>
      </c>
    </row>
    <row r="1093" spans="1:21" x14ac:dyDescent="0.35">
      <c r="A1093">
        <v>1092</v>
      </c>
      <c r="B1093" s="5">
        <v>45288</v>
      </c>
      <c r="C1093" s="4">
        <f t="shared" si="225"/>
        <v>2023</v>
      </c>
      <c r="D1093" s="4">
        <f t="shared" si="226"/>
        <v>12</v>
      </c>
      <c r="E1093" s="14">
        <v>45288</v>
      </c>
      <c r="F1093" s="4">
        <f t="shared" si="227"/>
        <v>28</v>
      </c>
      <c r="G1093">
        <v>257</v>
      </c>
      <c r="H1093">
        <v>248</v>
      </c>
      <c r="I1093" s="13">
        <f t="shared" si="228"/>
        <v>0.96</v>
      </c>
      <c r="J1093">
        <f t="shared" si="221"/>
        <v>9</v>
      </c>
      <c r="K1093" s="2">
        <v>1.6203703703703703E-4</v>
      </c>
      <c r="L1093" s="11">
        <f t="shared" si="222"/>
        <v>57.866666666666667</v>
      </c>
      <c r="M1093" s="3">
        <f t="shared" si="229"/>
        <v>0.23333333333333334</v>
      </c>
      <c r="N1093" s="4">
        <f t="shared" si="230"/>
        <v>14</v>
      </c>
      <c r="O1093" s="2">
        <v>2.2453703703703702E-3</v>
      </c>
      <c r="P1093" s="9">
        <f t="shared" si="223"/>
        <v>801.86666666666667</v>
      </c>
      <c r="Q1093" s="3">
        <f t="shared" si="231"/>
        <v>3.2333333333333334</v>
      </c>
      <c r="R1093" s="4">
        <f t="shared" si="232"/>
        <v>194</v>
      </c>
      <c r="S1093" s="3">
        <f t="shared" si="233"/>
        <v>206</v>
      </c>
      <c r="T1093" s="1">
        <v>0.83399999999999996</v>
      </c>
      <c r="U1093" s="6">
        <f t="shared" si="224"/>
        <v>206.83199999999999</v>
      </c>
    </row>
    <row r="1094" spans="1:21" x14ac:dyDescent="0.35">
      <c r="A1094">
        <v>1093</v>
      </c>
      <c r="B1094" s="5">
        <v>45289</v>
      </c>
      <c r="C1094" s="4">
        <f t="shared" si="225"/>
        <v>2023</v>
      </c>
      <c r="D1094" s="4">
        <f t="shared" si="226"/>
        <v>12</v>
      </c>
      <c r="E1094" s="14">
        <v>45289</v>
      </c>
      <c r="F1094" s="4">
        <f t="shared" si="227"/>
        <v>29</v>
      </c>
      <c r="G1094">
        <v>245</v>
      </c>
      <c r="H1094">
        <v>234</v>
      </c>
      <c r="I1094" s="13">
        <f t="shared" si="228"/>
        <v>0.95</v>
      </c>
      <c r="J1094">
        <f t="shared" si="221"/>
        <v>11</v>
      </c>
      <c r="K1094" s="2">
        <v>1.273148148148148E-4</v>
      </c>
      <c r="L1094" s="11">
        <f t="shared" si="222"/>
        <v>42.9</v>
      </c>
      <c r="M1094" s="3">
        <f t="shared" si="229"/>
        <v>0.18333333333333332</v>
      </c>
      <c r="N1094" s="4">
        <f t="shared" si="230"/>
        <v>11</v>
      </c>
      <c r="O1094" s="2">
        <v>2.0949074074074073E-3</v>
      </c>
      <c r="P1094" s="9">
        <f t="shared" si="223"/>
        <v>705.9</v>
      </c>
      <c r="Q1094" s="3">
        <f t="shared" si="231"/>
        <v>3.0166666666666666</v>
      </c>
      <c r="R1094" s="4">
        <f t="shared" si="232"/>
        <v>181</v>
      </c>
      <c r="S1094" s="3">
        <f t="shared" si="233"/>
        <v>201</v>
      </c>
      <c r="T1094" s="1">
        <v>0.85950000000000004</v>
      </c>
      <c r="U1094" s="6">
        <f t="shared" si="224"/>
        <v>201.12300000000002</v>
      </c>
    </row>
    <row r="1095" spans="1:21" x14ac:dyDescent="0.35">
      <c r="A1095">
        <v>1094</v>
      </c>
      <c r="B1095" s="5">
        <v>45290</v>
      </c>
      <c r="C1095" s="4">
        <f t="shared" si="225"/>
        <v>2023</v>
      </c>
      <c r="D1095" s="4">
        <f t="shared" si="226"/>
        <v>12</v>
      </c>
      <c r="E1095" s="14">
        <v>45290</v>
      </c>
      <c r="F1095" s="4">
        <f t="shared" si="227"/>
        <v>30</v>
      </c>
      <c r="G1095">
        <v>267</v>
      </c>
      <c r="H1095">
        <v>265</v>
      </c>
      <c r="I1095" s="13">
        <f t="shared" si="228"/>
        <v>0.99</v>
      </c>
      <c r="J1095">
        <f t="shared" si="221"/>
        <v>2</v>
      </c>
      <c r="K1095" s="2">
        <v>5.7870370370370373E-5</v>
      </c>
      <c r="L1095" s="11">
        <f t="shared" si="222"/>
        <v>22.083333333333332</v>
      </c>
      <c r="M1095" s="3">
        <f t="shared" si="229"/>
        <v>8.3333333333333329E-2</v>
      </c>
      <c r="N1095" s="4">
        <f t="shared" si="230"/>
        <v>5</v>
      </c>
      <c r="O1095" s="2">
        <v>2.0717592592592593E-3</v>
      </c>
      <c r="P1095" s="9">
        <f t="shared" si="223"/>
        <v>790.58333333333337</v>
      </c>
      <c r="Q1095" s="3">
        <f t="shared" si="231"/>
        <v>2.9833333333333334</v>
      </c>
      <c r="R1095" s="4">
        <f t="shared" si="232"/>
        <v>179</v>
      </c>
      <c r="S1095" s="3">
        <f t="shared" si="233"/>
        <v>258</v>
      </c>
      <c r="T1095" s="1">
        <v>0.97360000000000002</v>
      </c>
      <c r="U1095" s="6">
        <f t="shared" si="224"/>
        <v>258.00400000000002</v>
      </c>
    </row>
    <row r="1096" spans="1:21" x14ac:dyDescent="0.35">
      <c r="A1096">
        <v>1095</v>
      </c>
      <c r="B1096" s="5">
        <v>45291</v>
      </c>
      <c r="C1096" s="4">
        <f t="shared" si="225"/>
        <v>2023</v>
      </c>
      <c r="D1096" s="4">
        <f t="shared" si="226"/>
        <v>12</v>
      </c>
      <c r="E1096" s="14">
        <v>45291</v>
      </c>
      <c r="F1096" s="4">
        <f t="shared" si="227"/>
        <v>31</v>
      </c>
      <c r="G1096">
        <v>231</v>
      </c>
      <c r="H1096">
        <v>224</v>
      </c>
      <c r="I1096" s="13">
        <f t="shared" si="228"/>
        <v>0.96</v>
      </c>
      <c r="J1096">
        <f t="shared" si="221"/>
        <v>7</v>
      </c>
      <c r="K1096" s="2">
        <v>1.273148148148148E-4</v>
      </c>
      <c r="L1096" s="11">
        <f t="shared" si="222"/>
        <v>41.066666666666663</v>
      </c>
      <c r="M1096" s="3">
        <f t="shared" si="229"/>
        <v>0.18333333333333332</v>
      </c>
      <c r="N1096" s="4">
        <f t="shared" si="230"/>
        <v>11</v>
      </c>
      <c r="O1096" s="2">
        <v>2.0370370370370369E-3</v>
      </c>
      <c r="P1096" s="9">
        <f t="shared" si="223"/>
        <v>657.06666666666672</v>
      </c>
      <c r="Q1096" s="3">
        <f t="shared" si="231"/>
        <v>2.9333333333333336</v>
      </c>
      <c r="R1096" s="4">
        <f t="shared" si="232"/>
        <v>176</v>
      </c>
      <c r="S1096" s="3">
        <f t="shared" si="233"/>
        <v>193</v>
      </c>
      <c r="T1096" s="1">
        <v>0.86580000000000001</v>
      </c>
      <c r="U1096" s="6">
        <f t="shared" si="224"/>
        <v>193.9392</v>
      </c>
    </row>
    <row r="1097" spans="1:21" x14ac:dyDescent="0.35">
      <c r="A1097">
        <v>1096</v>
      </c>
      <c r="B1097" s="5">
        <v>45292</v>
      </c>
      <c r="C1097" s="4">
        <f t="shared" si="225"/>
        <v>2024</v>
      </c>
      <c r="D1097" s="4">
        <f t="shared" si="226"/>
        <v>1</v>
      </c>
      <c r="E1097" s="14">
        <v>45292</v>
      </c>
      <c r="F1097" s="4">
        <f t="shared" si="227"/>
        <v>1</v>
      </c>
      <c r="G1097">
        <v>236</v>
      </c>
      <c r="H1097">
        <v>226</v>
      </c>
      <c r="I1097" s="13">
        <f t="shared" si="228"/>
        <v>0.95</v>
      </c>
      <c r="J1097">
        <f t="shared" si="221"/>
        <v>10</v>
      </c>
      <c r="K1097" s="2">
        <v>2.199074074074074E-4</v>
      </c>
      <c r="L1097" s="11">
        <f t="shared" si="222"/>
        <v>71.566666666666663</v>
      </c>
      <c r="M1097" s="3">
        <f t="shared" si="229"/>
        <v>0.31666666666666665</v>
      </c>
      <c r="N1097" s="4">
        <f t="shared" si="230"/>
        <v>19</v>
      </c>
      <c r="O1097" s="2">
        <v>2.1296296296296298E-3</v>
      </c>
      <c r="P1097" s="9">
        <f t="shared" si="223"/>
        <v>693.06666666666672</v>
      </c>
      <c r="Q1097" s="3">
        <f t="shared" si="231"/>
        <v>3.0666666666666669</v>
      </c>
      <c r="R1097" s="4">
        <f t="shared" si="232"/>
        <v>184</v>
      </c>
      <c r="S1097" s="3">
        <f t="shared" si="233"/>
        <v>169</v>
      </c>
      <c r="T1097" s="1">
        <v>0.75</v>
      </c>
      <c r="U1097" s="6">
        <f t="shared" si="224"/>
        <v>169.5</v>
      </c>
    </row>
    <row r="1098" spans="1:21" x14ac:dyDescent="0.35">
      <c r="A1098">
        <v>1097</v>
      </c>
      <c r="B1098" s="5">
        <v>45293</v>
      </c>
      <c r="C1098" s="4">
        <f t="shared" si="225"/>
        <v>2024</v>
      </c>
      <c r="D1098" s="4">
        <f t="shared" si="226"/>
        <v>1</v>
      </c>
      <c r="E1098" s="14">
        <v>45293</v>
      </c>
      <c r="F1098" s="4">
        <f t="shared" si="227"/>
        <v>2</v>
      </c>
      <c r="G1098">
        <v>81</v>
      </c>
      <c r="H1098">
        <v>78</v>
      </c>
      <c r="I1098" s="13">
        <f t="shared" si="228"/>
        <v>0.96</v>
      </c>
      <c r="J1098">
        <f t="shared" si="221"/>
        <v>3</v>
      </c>
      <c r="K1098" s="2">
        <v>1.273148148148148E-4</v>
      </c>
      <c r="L1098" s="11">
        <f t="shared" si="222"/>
        <v>14.299999999999999</v>
      </c>
      <c r="M1098" s="3">
        <f t="shared" si="229"/>
        <v>0.18333333333333332</v>
      </c>
      <c r="N1098" s="4">
        <f t="shared" si="230"/>
        <v>11</v>
      </c>
      <c r="O1098" s="2">
        <v>2.0486111111111113E-3</v>
      </c>
      <c r="P1098" s="9">
        <f t="shared" si="223"/>
        <v>230.10000000000002</v>
      </c>
      <c r="Q1098" s="3">
        <f t="shared" si="231"/>
        <v>2.95</v>
      </c>
      <c r="R1098" s="4">
        <f t="shared" si="232"/>
        <v>177</v>
      </c>
      <c r="S1098" s="3">
        <f t="shared" si="233"/>
        <v>63</v>
      </c>
      <c r="T1098" s="1">
        <v>0.8125</v>
      </c>
      <c r="U1098" s="6">
        <f t="shared" si="224"/>
        <v>63.375</v>
      </c>
    </row>
    <row r="1099" spans="1:21" x14ac:dyDescent="0.35">
      <c r="A1099">
        <v>1098</v>
      </c>
      <c r="B1099" s="5">
        <v>45294</v>
      </c>
      <c r="C1099" s="4">
        <f t="shared" si="225"/>
        <v>2024</v>
      </c>
      <c r="D1099" s="4">
        <f t="shared" si="226"/>
        <v>1</v>
      </c>
      <c r="E1099" s="14">
        <v>45294</v>
      </c>
      <c r="F1099" s="4">
        <f t="shared" si="227"/>
        <v>3</v>
      </c>
      <c r="G1099">
        <v>281</v>
      </c>
      <c r="H1099">
        <v>273</v>
      </c>
      <c r="I1099" s="13">
        <f t="shared" si="228"/>
        <v>0.97</v>
      </c>
      <c r="J1099">
        <f t="shared" si="221"/>
        <v>8</v>
      </c>
      <c r="K1099" s="2">
        <v>1.273148148148148E-4</v>
      </c>
      <c r="L1099" s="11">
        <f t="shared" si="222"/>
        <v>50.05</v>
      </c>
      <c r="M1099" s="3">
        <f t="shared" si="229"/>
        <v>0.18333333333333332</v>
      </c>
      <c r="N1099" s="4">
        <f t="shared" si="230"/>
        <v>11</v>
      </c>
      <c r="O1099" s="2">
        <v>2.1064814814814813E-3</v>
      </c>
      <c r="P1099" s="9">
        <f t="shared" si="223"/>
        <v>828.1</v>
      </c>
      <c r="Q1099" s="3">
        <f t="shared" si="231"/>
        <v>3.0333333333333332</v>
      </c>
      <c r="R1099" s="4">
        <f t="shared" si="232"/>
        <v>182</v>
      </c>
      <c r="S1099" s="3">
        <f t="shared" si="233"/>
        <v>241</v>
      </c>
      <c r="T1099" s="1">
        <v>0.88490000000000002</v>
      </c>
      <c r="U1099" s="6">
        <f t="shared" si="224"/>
        <v>241.57769999999999</v>
      </c>
    </row>
    <row r="1100" spans="1:21" x14ac:dyDescent="0.35">
      <c r="A1100">
        <v>1099</v>
      </c>
      <c r="B1100" s="5">
        <v>45295</v>
      </c>
      <c r="C1100" s="4">
        <f t="shared" si="225"/>
        <v>2024</v>
      </c>
      <c r="D1100" s="4">
        <f t="shared" si="226"/>
        <v>1</v>
      </c>
      <c r="E1100" s="14">
        <v>45295</v>
      </c>
      <c r="F1100" s="4">
        <f t="shared" si="227"/>
        <v>4</v>
      </c>
      <c r="G1100">
        <v>399</v>
      </c>
      <c r="H1100">
        <v>387</v>
      </c>
      <c r="I1100" s="13">
        <f t="shared" si="228"/>
        <v>0.96</v>
      </c>
      <c r="J1100">
        <f t="shared" si="221"/>
        <v>12</v>
      </c>
      <c r="K1100" s="2">
        <v>1.273148148148148E-4</v>
      </c>
      <c r="L1100" s="11">
        <f t="shared" si="222"/>
        <v>70.949999999999989</v>
      </c>
      <c r="M1100" s="3">
        <f t="shared" si="229"/>
        <v>0.18333333333333332</v>
      </c>
      <c r="N1100" s="4">
        <f t="shared" si="230"/>
        <v>11</v>
      </c>
      <c r="O1100" s="2">
        <v>1.9791666666666668E-3</v>
      </c>
      <c r="P1100" s="9">
        <f t="shared" si="223"/>
        <v>1102.95</v>
      </c>
      <c r="Q1100" s="3">
        <f t="shared" si="231"/>
        <v>2.85</v>
      </c>
      <c r="R1100" s="4">
        <f t="shared" si="232"/>
        <v>171</v>
      </c>
      <c r="S1100" s="3">
        <f t="shared" si="233"/>
        <v>334</v>
      </c>
      <c r="T1100" s="1">
        <v>0.86360000000000003</v>
      </c>
      <c r="U1100" s="6">
        <f t="shared" si="224"/>
        <v>334.21320000000003</v>
      </c>
    </row>
    <row r="1101" spans="1:21" x14ac:dyDescent="0.35">
      <c r="A1101">
        <v>1100</v>
      </c>
      <c r="B1101" s="5">
        <v>45296</v>
      </c>
      <c r="C1101" s="4">
        <f t="shared" si="225"/>
        <v>2024</v>
      </c>
      <c r="D1101" s="4">
        <f t="shared" si="226"/>
        <v>1</v>
      </c>
      <c r="E1101" s="14">
        <v>45296</v>
      </c>
      <c r="F1101" s="4">
        <f t="shared" si="227"/>
        <v>5</v>
      </c>
      <c r="G1101">
        <v>291</v>
      </c>
      <c r="H1101">
        <v>287</v>
      </c>
      <c r="I1101" s="13">
        <f t="shared" si="228"/>
        <v>0.98</v>
      </c>
      <c r="J1101">
        <f t="shared" si="221"/>
        <v>4</v>
      </c>
      <c r="K1101" s="2">
        <v>1.273148148148148E-4</v>
      </c>
      <c r="L1101" s="11">
        <f t="shared" si="222"/>
        <v>52.61666666666666</v>
      </c>
      <c r="M1101" s="3">
        <f t="shared" si="229"/>
        <v>0.18333333333333332</v>
      </c>
      <c r="N1101" s="4">
        <f t="shared" si="230"/>
        <v>11</v>
      </c>
      <c r="O1101" s="2">
        <v>1.8055555555555555E-3</v>
      </c>
      <c r="P1101" s="9">
        <f t="shared" si="223"/>
        <v>746.2</v>
      </c>
      <c r="Q1101" s="3">
        <f t="shared" si="231"/>
        <v>2.6</v>
      </c>
      <c r="R1101" s="4">
        <f t="shared" si="232"/>
        <v>156</v>
      </c>
      <c r="S1101" s="3">
        <f t="shared" si="233"/>
        <v>252</v>
      </c>
      <c r="T1101" s="1">
        <v>0.87970000000000004</v>
      </c>
      <c r="U1101" s="6">
        <f t="shared" si="224"/>
        <v>252.47390000000001</v>
      </c>
    </row>
    <row r="1102" spans="1:21" x14ac:dyDescent="0.35">
      <c r="A1102">
        <v>1101</v>
      </c>
      <c r="B1102" s="5">
        <v>45297</v>
      </c>
      <c r="C1102" s="4">
        <f t="shared" si="225"/>
        <v>2024</v>
      </c>
      <c r="D1102" s="4">
        <f t="shared" si="226"/>
        <v>1</v>
      </c>
      <c r="E1102" s="14">
        <v>45297</v>
      </c>
      <c r="F1102" s="4">
        <f t="shared" si="227"/>
        <v>6</v>
      </c>
      <c r="G1102">
        <v>290</v>
      </c>
      <c r="H1102">
        <v>281</v>
      </c>
      <c r="I1102" s="13">
        <f t="shared" si="228"/>
        <v>0.96</v>
      </c>
      <c r="J1102">
        <f t="shared" si="221"/>
        <v>9</v>
      </c>
      <c r="K1102" s="2">
        <v>8.1018518518518516E-5</v>
      </c>
      <c r="L1102" s="11">
        <f t="shared" si="222"/>
        <v>32.783333333333331</v>
      </c>
      <c r="M1102" s="3">
        <f t="shared" si="229"/>
        <v>0.11666666666666667</v>
      </c>
      <c r="N1102" s="4">
        <f t="shared" si="230"/>
        <v>7</v>
      </c>
      <c r="O1102" s="2">
        <v>2.1180555555555558E-3</v>
      </c>
      <c r="P1102" s="9">
        <f t="shared" si="223"/>
        <v>857.05</v>
      </c>
      <c r="Q1102" s="3">
        <f t="shared" si="231"/>
        <v>3.05</v>
      </c>
      <c r="R1102" s="4">
        <f t="shared" si="232"/>
        <v>183</v>
      </c>
      <c r="S1102" s="3">
        <f t="shared" si="233"/>
        <v>257</v>
      </c>
      <c r="T1102" s="1">
        <v>0.91639999999999999</v>
      </c>
      <c r="U1102" s="6">
        <f t="shared" si="224"/>
        <v>257.50839999999999</v>
      </c>
    </row>
    <row r="1103" spans="1:21" x14ac:dyDescent="0.35">
      <c r="A1103">
        <v>1102</v>
      </c>
      <c r="B1103" s="5">
        <v>45298</v>
      </c>
      <c r="C1103" s="4">
        <f t="shared" si="225"/>
        <v>2024</v>
      </c>
      <c r="D1103" s="4">
        <f t="shared" si="226"/>
        <v>1</v>
      </c>
      <c r="E1103" s="14">
        <v>45298</v>
      </c>
      <c r="F1103" s="4">
        <f t="shared" si="227"/>
        <v>7</v>
      </c>
      <c r="G1103">
        <v>230</v>
      </c>
      <c r="H1103">
        <v>227</v>
      </c>
      <c r="I1103" s="13">
        <f t="shared" si="228"/>
        <v>0.98</v>
      </c>
      <c r="J1103">
        <f t="shared" si="221"/>
        <v>3</v>
      </c>
      <c r="K1103" s="2">
        <v>9.2592592592592588E-5</v>
      </c>
      <c r="L1103" s="11">
        <f t="shared" si="222"/>
        <v>30.266666666666666</v>
      </c>
      <c r="M1103" s="3">
        <f t="shared" si="229"/>
        <v>0.13333333333333333</v>
      </c>
      <c r="N1103" s="4">
        <f t="shared" si="230"/>
        <v>8</v>
      </c>
      <c r="O1103" s="2">
        <v>2.1527777777777778E-3</v>
      </c>
      <c r="P1103" s="9">
        <f t="shared" si="223"/>
        <v>703.7</v>
      </c>
      <c r="Q1103" s="3">
        <f t="shared" si="231"/>
        <v>3.1</v>
      </c>
      <c r="R1103" s="4">
        <f t="shared" si="232"/>
        <v>186</v>
      </c>
      <c r="S1103" s="3">
        <f t="shared" si="233"/>
        <v>208</v>
      </c>
      <c r="T1103" s="1">
        <v>0.91669999999999996</v>
      </c>
      <c r="U1103" s="6">
        <f t="shared" si="224"/>
        <v>208.0909</v>
      </c>
    </row>
    <row r="1104" spans="1:21" x14ac:dyDescent="0.35">
      <c r="A1104">
        <v>1103</v>
      </c>
      <c r="B1104" s="5">
        <v>45299</v>
      </c>
      <c r="C1104" s="4">
        <f t="shared" si="225"/>
        <v>2024</v>
      </c>
      <c r="D1104" s="4">
        <f t="shared" si="226"/>
        <v>1</v>
      </c>
      <c r="E1104" s="14">
        <v>45299</v>
      </c>
      <c r="F1104" s="4">
        <f t="shared" si="227"/>
        <v>8</v>
      </c>
      <c r="G1104">
        <v>236</v>
      </c>
      <c r="H1104">
        <v>216</v>
      </c>
      <c r="I1104" s="13">
        <f t="shared" si="228"/>
        <v>0.91</v>
      </c>
      <c r="J1104">
        <f t="shared" si="221"/>
        <v>20</v>
      </c>
      <c r="K1104" s="2">
        <v>1.9675925925925926E-4</v>
      </c>
      <c r="L1104" s="11">
        <f t="shared" si="222"/>
        <v>61.199999999999996</v>
      </c>
      <c r="M1104" s="3">
        <f t="shared" si="229"/>
        <v>0.28333333333333333</v>
      </c>
      <c r="N1104" s="4">
        <f t="shared" si="230"/>
        <v>17</v>
      </c>
      <c r="O1104" s="2">
        <v>2.1875000000000002E-3</v>
      </c>
      <c r="P1104" s="9">
        <f t="shared" si="223"/>
        <v>680.4</v>
      </c>
      <c r="Q1104" s="3">
        <f t="shared" si="231"/>
        <v>3.15</v>
      </c>
      <c r="R1104" s="4">
        <f t="shared" si="232"/>
        <v>189</v>
      </c>
      <c r="S1104" s="3">
        <f t="shared" si="233"/>
        <v>152</v>
      </c>
      <c r="T1104" s="1">
        <v>0.70689999999999997</v>
      </c>
      <c r="U1104" s="6">
        <f t="shared" si="224"/>
        <v>152.69039999999998</v>
      </c>
    </row>
    <row r="1105" spans="1:21" x14ac:dyDescent="0.35">
      <c r="A1105">
        <v>1104</v>
      </c>
      <c r="B1105" s="5">
        <v>45300</v>
      </c>
      <c r="C1105" s="4">
        <f t="shared" si="225"/>
        <v>2024</v>
      </c>
      <c r="D1105" s="4">
        <f t="shared" si="226"/>
        <v>1</v>
      </c>
      <c r="E1105" s="14">
        <v>45300</v>
      </c>
      <c r="F1105" s="4">
        <f t="shared" si="227"/>
        <v>9</v>
      </c>
      <c r="G1105">
        <v>45</v>
      </c>
      <c r="H1105">
        <v>44</v>
      </c>
      <c r="I1105" s="13">
        <f t="shared" si="228"/>
        <v>0.97</v>
      </c>
      <c r="J1105">
        <f t="shared" si="221"/>
        <v>1</v>
      </c>
      <c r="K1105" s="2">
        <v>5.7870370370370373E-5</v>
      </c>
      <c r="L1105" s="11">
        <f t="shared" si="222"/>
        <v>3.6666666666666665</v>
      </c>
      <c r="M1105" s="3">
        <f t="shared" si="229"/>
        <v>8.3333333333333329E-2</v>
      </c>
      <c r="N1105" s="4">
        <f t="shared" si="230"/>
        <v>5</v>
      </c>
      <c r="O1105" s="2">
        <v>1.9097222222222222E-3</v>
      </c>
      <c r="P1105" s="9">
        <f t="shared" si="223"/>
        <v>121</v>
      </c>
      <c r="Q1105" s="3">
        <f t="shared" si="231"/>
        <v>2.75</v>
      </c>
      <c r="R1105" s="4">
        <f t="shared" si="232"/>
        <v>165</v>
      </c>
      <c r="S1105" s="3">
        <f t="shared" si="233"/>
        <v>41</v>
      </c>
      <c r="T1105" s="1">
        <v>0.93330000000000002</v>
      </c>
      <c r="U1105" s="6">
        <f t="shared" si="224"/>
        <v>41.065200000000004</v>
      </c>
    </row>
    <row r="1106" spans="1:21" x14ac:dyDescent="0.35">
      <c r="A1106">
        <v>1105</v>
      </c>
      <c r="B1106" s="5">
        <v>45301</v>
      </c>
      <c r="C1106" s="4">
        <f t="shared" si="225"/>
        <v>2024</v>
      </c>
      <c r="D1106" s="4">
        <f t="shared" si="226"/>
        <v>1</v>
      </c>
      <c r="E1106" s="14">
        <v>45301</v>
      </c>
      <c r="F1106" s="4">
        <f t="shared" si="227"/>
        <v>10</v>
      </c>
      <c r="G1106">
        <v>249</v>
      </c>
      <c r="H1106">
        <v>238</v>
      </c>
      <c r="I1106" s="13">
        <f t="shared" si="228"/>
        <v>0.95</v>
      </c>
      <c r="J1106">
        <f t="shared" si="221"/>
        <v>11</v>
      </c>
      <c r="K1106" s="2">
        <v>1.273148148148148E-4</v>
      </c>
      <c r="L1106" s="11">
        <f t="shared" si="222"/>
        <v>43.633333333333333</v>
      </c>
      <c r="M1106" s="3">
        <f t="shared" si="229"/>
        <v>0.18333333333333332</v>
      </c>
      <c r="N1106" s="4">
        <f t="shared" si="230"/>
        <v>11</v>
      </c>
      <c r="O1106" s="2">
        <v>1.8749999999999999E-3</v>
      </c>
      <c r="P1106" s="9">
        <f t="shared" si="223"/>
        <v>642.6</v>
      </c>
      <c r="Q1106" s="3">
        <f t="shared" si="231"/>
        <v>2.7</v>
      </c>
      <c r="R1106" s="4">
        <f t="shared" si="232"/>
        <v>162</v>
      </c>
      <c r="S1106" s="3">
        <f t="shared" si="233"/>
        <v>205</v>
      </c>
      <c r="T1106" s="1">
        <v>0.86529999999999996</v>
      </c>
      <c r="U1106" s="6">
        <f t="shared" si="224"/>
        <v>205.94139999999999</v>
      </c>
    </row>
    <row r="1107" spans="1:21" x14ac:dyDescent="0.35">
      <c r="A1107">
        <v>1106</v>
      </c>
      <c r="B1107" s="5">
        <v>45302</v>
      </c>
      <c r="C1107" s="4">
        <f t="shared" si="225"/>
        <v>2024</v>
      </c>
      <c r="D1107" s="4">
        <f t="shared" si="226"/>
        <v>1</v>
      </c>
      <c r="E1107" s="14">
        <v>45302</v>
      </c>
      <c r="F1107" s="4">
        <f t="shared" si="227"/>
        <v>11</v>
      </c>
      <c r="G1107">
        <v>350</v>
      </c>
      <c r="H1107">
        <v>328</v>
      </c>
      <c r="I1107" s="13">
        <f t="shared" si="228"/>
        <v>0.93</v>
      </c>
      <c r="J1107">
        <f t="shared" si="221"/>
        <v>22</v>
      </c>
      <c r="K1107" s="2">
        <v>3.2407407407407406E-4</v>
      </c>
      <c r="L1107" s="11">
        <f t="shared" si="222"/>
        <v>153.06666666666666</v>
      </c>
      <c r="M1107" s="3">
        <f t="shared" si="229"/>
        <v>0.46666666666666667</v>
      </c>
      <c r="N1107" s="4">
        <f t="shared" si="230"/>
        <v>28</v>
      </c>
      <c r="O1107" s="2">
        <v>1.7476851851851852E-3</v>
      </c>
      <c r="P1107" s="9">
        <f t="shared" si="223"/>
        <v>825.4666666666667</v>
      </c>
      <c r="Q1107" s="3">
        <f t="shared" si="231"/>
        <v>2.5166666666666666</v>
      </c>
      <c r="R1107" s="4">
        <f t="shared" si="232"/>
        <v>151</v>
      </c>
      <c r="S1107" s="3">
        <f t="shared" si="233"/>
        <v>191</v>
      </c>
      <c r="T1107" s="1">
        <v>0.58260000000000001</v>
      </c>
      <c r="U1107" s="6">
        <f t="shared" si="224"/>
        <v>191.09280000000001</v>
      </c>
    </row>
    <row r="1108" spans="1:21" x14ac:dyDescent="0.35">
      <c r="A1108">
        <v>1107</v>
      </c>
      <c r="B1108" s="5">
        <v>45303</v>
      </c>
      <c r="C1108" s="4">
        <f t="shared" si="225"/>
        <v>2024</v>
      </c>
      <c r="D1108" s="4">
        <f t="shared" si="226"/>
        <v>1</v>
      </c>
      <c r="E1108" s="14">
        <v>45303</v>
      </c>
      <c r="F1108" s="4">
        <f t="shared" si="227"/>
        <v>12</v>
      </c>
      <c r="G1108">
        <v>361</v>
      </c>
      <c r="H1108">
        <v>306</v>
      </c>
      <c r="I1108" s="13">
        <f t="shared" si="228"/>
        <v>0.84</v>
      </c>
      <c r="J1108">
        <f t="shared" si="221"/>
        <v>55</v>
      </c>
      <c r="K1108" s="2">
        <v>3.1250000000000001E-4</v>
      </c>
      <c r="L1108" s="11">
        <f t="shared" si="222"/>
        <v>137.70000000000002</v>
      </c>
      <c r="M1108" s="3">
        <f t="shared" si="229"/>
        <v>0.45</v>
      </c>
      <c r="N1108" s="4">
        <f t="shared" si="230"/>
        <v>27</v>
      </c>
      <c r="O1108" s="2">
        <v>1.6898148148148148E-3</v>
      </c>
      <c r="P1108" s="9">
        <f t="shared" si="223"/>
        <v>744.6</v>
      </c>
      <c r="Q1108" s="3">
        <f t="shared" si="231"/>
        <v>2.4333333333333336</v>
      </c>
      <c r="R1108" s="4">
        <f t="shared" si="232"/>
        <v>146</v>
      </c>
      <c r="S1108" s="3">
        <f t="shared" si="233"/>
        <v>184</v>
      </c>
      <c r="T1108" s="1">
        <v>0.60170000000000001</v>
      </c>
      <c r="U1108" s="6">
        <f t="shared" si="224"/>
        <v>184.12020000000001</v>
      </c>
    </row>
    <row r="1109" spans="1:21" x14ac:dyDescent="0.35">
      <c r="A1109">
        <v>1108</v>
      </c>
      <c r="B1109" s="5">
        <v>45304</v>
      </c>
      <c r="C1109" s="4">
        <f t="shared" si="225"/>
        <v>2024</v>
      </c>
      <c r="D1109" s="4">
        <f t="shared" si="226"/>
        <v>1</v>
      </c>
      <c r="E1109" s="14">
        <v>45304</v>
      </c>
      <c r="F1109" s="4">
        <f t="shared" si="227"/>
        <v>13</v>
      </c>
      <c r="G1109">
        <v>262</v>
      </c>
      <c r="H1109">
        <v>256</v>
      </c>
      <c r="I1109" s="13">
        <f t="shared" si="228"/>
        <v>0.97</v>
      </c>
      <c r="J1109">
        <f t="shared" si="221"/>
        <v>6</v>
      </c>
      <c r="K1109" s="2">
        <v>1.5046296296296297E-4</v>
      </c>
      <c r="L1109" s="11">
        <f t="shared" si="222"/>
        <v>55.466666666666669</v>
      </c>
      <c r="M1109" s="3">
        <f t="shared" si="229"/>
        <v>0.21666666666666667</v>
      </c>
      <c r="N1109" s="4">
        <f t="shared" si="230"/>
        <v>13</v>
      </c>
      <c r="O1109" s="2">
        <v>1.9675925925925924E-3</v>
      </c>
      <c r="P1109" s="9">
        <f t="shared" si="223"/>
        <v>725.33333333333337</v>
      </c>
      <c r="Q1109" s="3">
        <f t="shared" si="231"/>
        <v>2.8333333333333335</v>
      </c>
      <c r="R1109" s="4">
        <f t="shared" si="232"/>
        <v>170</v>
      </c>
      <c r="S1109" s="3">
        <f t="shared" si="233"/>
        <v>220</v>
      </c>
      <c r="T1109" s="1">
        <v>0.86150000000000004</v>
      </c>
      <c r="U1109" s="6">
        <f t="shared" si="224"/>
        <v>220.54400000000001</v>
      </c>
    </row>
    <row r="1110" spans="1:21" x14ac:dyDescent="0.35">
      <c r="A1110">
        <v>1109</v>
      </c>
      <c r="B1110" s="5">
        <v>45305</v>
      </c>
      <c r="C1110" s="4">
        <f t="shared" si="225"/>
        <v>2024</v>
      </c>
      <c r="D1110" s="4">
        <f t="shared" si="226"/>
        <v>1</v>
      </c>
      <c r="E1110" s="14">
        <v>45305</v>
      </c>
      <c r="F1110" s="4">
        <f t="shared" si="227"/>
        <v>14</v>
      </c>
      <c r="G1110">
        <v>302</v>
      </c>
      <c r="H1110">
        <v>288</v>
      </c>
      <c r="I1110" s="13">
        <f t="shared" si="228"/>
        <v>0.95</v>
      </c>
      <c r="J1110">
        <f t="shared" si="221"/>
        <v>14</v>
      </c>
      <c r="K1110" s="2">
        <v>2.4305555555555555E-4</v>
      </c>
      <c r="L1110" s="11">
        <f t="shared" si="222"/>
        <v>100.8</v>
      </c>
      <c r="M1110" s="3">
        <f t="shared" si="229"/>
        <v>0.35</v>
      </c>
      <c r="N1110" s="4">
        <f t="shared" si="230"/>
        <v>21</v>
      </c>
      <c r="O1110" s="2">
        <v>2.0370370370370369E-3</v>
      </c>
      <c r="P1110" s="9">
        <f t="shared" si="223"/>
        <v>844.80000000000007</v>
      </c>
      <c r="Q1110" s="3">
        <f t="shared" si="231"/>
        <v>2.9333333333333336</v>
      </c>
      <c r="R1110" s="4">
        <f t="shared" si="232"/>
        <v>176</v>
      </c>
      <c r="S1110" s="3">
        <f t="shared" si="233"/>
        <v>204</v>
      </c>
      <c r="T1110" s="1">
        <v>0.71099999999999997</v>
      </c>
      <c r="U1110" s="6">
        <f t="shared" si="224"/>
        <v>204.768</v>
      </c>
    </row>
    <row r="1111" spans="1:21" x14ac:dyDescent="0.35">
      <c r="A1111">
        <v>1110</v>
      </c>
      <c r="B1111" s="5">
        <v>45306</v>
      </c>
      <c r="C1111" s="4">
        <f t="shared" si="225"/>
        <v>2024</v>
      </c>
      <c r="D1111" s="4">
        <f t="shared" si="226"/>
        <v>1</v>
      </c>
      <c r="E1111" s="14">
        <v>45306</v>
      </c>
      <c r="F1111" s="4">
        <f t="shared" si="227"/>
        <v>15</v>
      </c>
      <c r="G1111">
        <v>299</v>
      </c>
      <c r="H1111">
        <v>268</v>
      </c>
      <c r="I1111" s="13">
        <f t="shared" si="228"/>
        <v>0.89</v>
      </c>
      <c r="J1111">
        <f t="shared" si="221"/>
        <v>31</v>
      </c>
      <c r="K1111" s="2">
        <v>3.2407407407407406E-4</v>
      </c>
      <c r="L1111" s="11">
        <f t="shared" si="222"/>
        <v>125.06666666666666</v>
      </c>
      <c r="M1111" s="3">
        <f t="shared" si="229"/>
        <v>0.46666666666666667</v>
      </c>
      <c r="N1111" s="4">
        <f t="shared" si="230"/>
        <v>28</v>
      </c>
      <c r="O1111" s="2">
        <v>1.9560185185185184E-3</v>
      </c>
      <c r="P1111" s="9">
        <f t="shared" si="223"/>
        <v>754.86666666666656</v>
      </c>
      <c r="Q1111" s="3">
        <f t="shared" si="231"/>
        <v>2.8166666666666664</v>
      </c>
      <c r="R1111" s="4">
        <f t="shared" si="232"/>
        <v>169</v>
      </c>
      <c r="S1111" s="3">
        <f t="shared" si="233"/>
        <v>148</v>
      </c>
      <c r="T1111" s="1">
        <v>0.55410000000000004</v>
      </c>
      <c r="U1111" s="6">
        <f t="shared" si="224"/>
        <v>148.49880000000002</v>
      </c>
    </row>
    <row r="1112" spans="1:21" x14ac:dyDescent="0.35">
      <c r="A1112">
        <v>1111</v>
      </c>
      <c r="B1112" s="5">
        <v>45307</v>
      </c>
      <c r="C1112" s="4">
        <f t="shared" si="225"/>
        <v>2024</v>
      </c>
      <c r="D1112" s="4">
        <f t="shared" si="226"/>
        <v>1</v>
      </c>
      <c r="E1112" s="14">
        <v>45307</v>
      </c>
      <c r="F1112" s="4">
        <f t="shared" si="227"/>
        <v>16</v>
      </c>
      <c r="G1112">
        <v>50</v>
      </c>
      <c r="H1112">
        <v>49</v>
      </c>
      <c r="I1112" s="13">
        <f t="shared" si="228"/>
        <v>0.98</v>
      </c>
      <c r="J1112">
        <f t="shared" si="221"/>
        <v>1</v>
      </c>
      <c r="K1112" s="2">
        <v>2.7777777777777778E-4</v>
      </c>
      <c r="L1112" s="11">
        <f t="shared" si="222"/>
        <v>19.600000000000001</v>
      </c>
      <c r="M1112" s="3">
        <f t="shared" si="229"/>
        <v>0.4</v>
      </c>
      <c r="N1112" s="4">
        <f t="shared" si="230"/>
        <v>24</v>
      </c>
      <c r="O1112" s="2">
        <v>2.0254629629629629E-3</v>
      </c>
      <c r="P1112" s="9">
        <f t="shared" si="223"/>
        <v>142.91666666666666</v>
      </c>
      <c r="Q1112" s="3">
        <f t="shared" si="231"/>
        <v>2.9166666666666665</v>
      </c>
      <c r="R1112" s="4">
        <f t="shared" si="232"/>
        <v>175</v>
      </c>
      <c r="S1112" s="3">
        <f t="shared" si="233"/>
        <v>37</v>
      </c>
      <c r="T1112" s="1">
        <v>0.76</v>
      </c>
      <c r="U1112" s="6">
        <f t="shared" si="224"/>
        <v>37.24</v>
      </c>
    </row>
    <row r="1113" spans="1:21" x14ac:dyDescent="0.35">
      <c r="A1113">
        <v>1112</v>
      </c>
      <c r="B1113" s="5">
        <v>45308</v>
      </c>
      <c r="C1113" s="4">
        <f t="shared" si="225"/>
        <v>2024</v>
      </c>
      <c r="D1113" s="4">
        <f t="shared" si="226"/>
        <v>1</v>
      </c>
      <c r="E1113" s="14">
        <v>45308</v>
      </c>
      <c r="F1113" s="4">
        <f t="shared" si="227"/>
        <v>17</v>
      </c>
      <c r="G1113">
        <v>285</v>
      </c>
      <c r="H1113">
        <v>273</v>
      </c>
      <c r="I1113" s="13">
        <f t="shared" si="228"/>
        <v>0.95</v>
      </c>
      <c r="J1113">
        <f t="shared" si="221"/>
        <v>12</v>
      </c>
      <c r="K1113" s="2">
        <v>2.4305555555555555E-4</v>
      </c>
      <c r="L1113" s="11">
        <f t="shared" si="222"/>
        <v>95.55</v>
      </c>
      <c r="M1113" s="3">
        <f t="shared" si="229"/>
        <v>0.35</v>
      </c>
      <c r="N1113" s="4">
        <f t="shared" si="230"/>
        <v>21</v>
      </c>
      <c r="O1113" s="2">
        <v>1.9560185185185184E-3</v>
      </c>
      <c r="P1113" s="9">
        <f t="shared" si="223"/>
        <v>768.94999999999993</v>
      </c>
      <c r="Q1113" s="3">
        <f t="shared" si="231"/>
        <v>2.8166666666666664</v>
      </c>
      <c r="R1113" s="4">
        <f t="shared" si="232"/>
        <v>169</v>
      </c>
      <c r="S1113" s="3">
        <f t="shared" si="233"/>
        <v>207</v>
      </c>
      <c r="T1113" s="1">
        <v>0.76160000000000005</v>
      </c>
      <c r="U1113" s="6">
        <f t="shared" si="224"/>
        <v>207.91680000000002</v>
      </c>
    </row>
    <row r="1114" spans="1:21" x14ac:dyDescent="0.35">
      <c r="A1114">
        <v>1113</v>
      </c>
      <c r="B1114" s="5">
        <v>45309</v>
      </c>
      <c r="C1114" s="4">
        <f t="shared" si="225"/>
        <v>2024</v>
      </c>
      <c r="D1114" s="4">
        <f t="shared" si="226"/>
        <v>1</v>
      </c>
      <c r="E1114" s="14">
        <v>45309</v>
      </c>
      <c r="F1114" s="4">
        <f t="shared" si="227"/>
        <v>18</v>
      </c>
      <c r="G1114">
        <v>77</v>
      </c>
      <c r="H1114">
        <v>75</v>
      </c>
      <c r="I1114" s="13">
        <f t="shared" si="228"/>
        <v>0.97</v>
      </c>
      <c r="J1114">
        <f t="shared" si="221"/>
        <v>2</v>
      </c>
      <c r="K1114" s="2">
        <v>1.0416666666666667E-4</v>
      </c>
      <c r="L1114" s="11">
        <f t="shared" si="222"/>
        <v>11.25</v>
      </c>
      <c r="M1114" s="3">
        <f t="shared" si="229"/>
        <v>0.15</v>
      </c>
      <c r="N1114" s="4">
        <f t="shared" si="230"/>
        <v>9</v>
      </c>
      <c r="O1114" s="2">
        <v>1.8865740740740742E-3</v>
      </c>
      <c r="P1114" s="9">
        <f t="shared" si="223"/>
        <v>203.75</v>
      </c>
      <c r="Q1114" s="3">
        <f t="shared" si="231"/>
        <v>2.7166666666666668</v>
      </c>
      <c r="R1114" s="4">
        <f t="shared" si="232"/>
        <v>163</v>
      </c>
      <c r="S1114" s="3">
        <f t="shared" si="233"/>
        <v>69</v>
      </c>
      <c r="T1114" s="1">
        <v>0.92110000000000003</v>
      </c>
      <c r="U1114" s="6">
        <f t="shared" si="224"/>
        <v>69.082499999999996</v>
      </c>
    </row>
    <row r="1115" spans="1:21" x14ac:dyDescent="0.35">
      <c r="A1115">
        <v>1114</v>
      </c>
      <c r="B1115" s="5">
        <v>45310</v>
      </c>
      <c r="C1115" s="4">
        <f t="shared" si="225"/>
        <v>2024</v>
      </c>
      <c r="D1115" s="4">
        <f t="shared" si="226"/>
        <v>1</v>
      </c>
      <c r="E1115" s="14">
        <v>45310</v>
      </c>
      <c r="F1115" s="4">
        <f t="shared" si="227"/>
        <v>19</v>
      </c>
      <c r="G1115">
        <v>332</v>
      </c>
      <c r="H1115">
        <v>321</v>
      </c>
      <c r="I1115" s="13">
        <f t="shared" si="228"/>
        <v>0.96</v>
      </c>
      <c r="J1115">
        <f t="shared" si="221"/>
        <v>11</v>
      </c>
      <c r="K1115" s="2">
        <v>1.9675925925925926E-4</v>
      </c>
      <c r="L1115" s="11">
        <f t="shared" si="222"/>
        <v>90.95</v>
      </c>
      <c r="M1115" s="3">
        <f t="shared" si="229"/>
        <v>0.28333333333333333</v>
      </c>
      <c r="N1115" s="4">
        <f t="shared" si="230"/>
        <v>17</v>
      </c>
      <c r="O1115" s="2">
        <v>2.0601851851851853E-3</v>
      </c>
      <c r="P1115" s="9">
        <f t="shared" si="223"/>
        <v>952.30000000000007</v>
      </c>
      <c r="Q1115" s="3">
        <f t="shared" si="231"/>
        <v>2.9666666666666668</v>
      </c>
      <c r="R1115" s="4">
        <f t="shared" si="232"/>
        <v>178</v>
      </c>
      <c r="S1115" s="3">
        <f t="shared" si="233"/>
        <v>258</v>
      </c>
      <c r="T1115" s="1">
        <v>0.80659999999999998</v>
      </c>
      <c r="U1115" s="6">
        <f t="shared" si="224"/>
        <v>258.91859999999997</v>
      </c>
    </row>
    <row r="1116" spans="1:21" x14ac:dyDescent="0.35">
      <c r="A1116">
        <v>1115</v>
      </c>
      <c r="B1116" s="5">
        <v>45311</v>
      </c>
      <c r="C1116" s="4">
        <f t="shared" si="225"/>
        <v>2024</v>
      </c>
      <c r="D1116" s="4">
        <f t="shared" si="226"/>
        <v>1</v>
      </c>
      <c r="E1116" s="14">
        <v>45311</v>
      </c>
      <c r="F1116" s="4">
        <f t="shared" si="227"/>
        <v>20</v>
      </c>
      <c r="G1116">
        <v>282</v>
      </c>
      <c r="H1116">
        <v>266</v>
      </c>
      <c r="I1116" s="13">
        <f t="shared" si="228"/>
        <v>0.94</v>
      </c>
      <c r="J1116">
        <f t="shared" si="221"/>
        <v>16</v>
      </c>
      <c r="K1116" s="2">
        <v>2.5462962962962961E-4</v>
      </c>
      <c r="L1116" s="11">
        <f t="shared" si="222"/>
        <v>97.533333333333331</v>
      </c>
      <c r="M1116" s="3">
        <f t="shared" si="229"/>
        <v>0.36666666666666664</v>
      </c>
      <c r="N1116" s="4">
        <f t="shared" si="230"/>
        <v>22</v>
      </c>
      <c r="O1116" s="2">
        <v>2.1990740740740742E-3</v>
      </c>
      <c r="P1116" s="9">
        <f t="shared" si="223"/>
        <v>842.33333333333326</v>
      </c>
      <c r="Q1116" s="3">
        <f t="shared" si="231"/>
        <v>3.1666666666666665</v>
      </c>
      <c r="R1116" s="4">
        <f t="shared" si="232"/>
        <v>190</v>
      </c>
      <c r="S1116" s="3">
        <f t="shared" si="233"/>
        <v>197</v>
      </c>
      <c r="T1116" s="1">
        <v>0.7429</v>
      </c>
      <c r="U1116" s="6">
        <f t="shared" si="224"/>
        <v>197.6114</v>
      </c>
    </row>
    <row r="1117" spans="1:21" x14ac:dyDescent="0.35">
      <c r="A1117">
        <v>1116</v>
      </c>
      <c r="B1117" s="5">
        <v>45312</v>
      </c>
      <c r="C1117" s="4">
        <f t="shared" si="225"/>
        <v>2024</v>
      </c>
      <c r="D1117" s="4">
        <f t="shared" si="226"/>
        <v>1</v>
      </c>
      <c r="E1117" s="14">
        <v>45312</v>
      </c>
      <c r="F1117" s="4">
        <f t="shared" si="227"/>
        <v>21</v>
      </c>
      <c r="G1117">
        <v>256</v>
      </c>
      <c r="H1117">
        <v>248</v>
      </c>
      <c r="I1117" s="13">
        <f t="shared" si="228"/>
        <v>0.96</v>
      </c>
      <c r="J1117">
        <f t="shared" si="221"/>
        <v>8</v>
      </c>
      <c r="K1117" s="2">
        <v>1.6203703703703703E-4</v>
      </c>
      <c r="L1117" s="11">
        <f t="shared" si="222"/>
        <v>57.866666666666667</v>
      </c>
      <c r="M1117" s="3">
        <f t="shared" si="229"/>
        <v>0.23333333333333334</v>
      </c>
      <c r="N1117" s="4">
        <f t="shared" si="230"/>
        <v>14</v>
      </c>
      <c r="O1117" s="2">
        <v>2.0833333333333333E-3</v>
      </c>
      <c r="P1117" s="9">
        <f t="shared" si="223"/>
        <v>744</v>
      </c>
      <c r="Q1117" s="3">
        <f t="shared" si="231"/>
        <v>3</v>
      </c>
      <c r="R1117" s="4">
        <f t="shared" si="232"/>
        <v>180</v>
      </c>
      <c r="S1117" s="3">
        <f t="shared" si="233"/>
        <v>204</v>
      </c>
      <c r="T1117" s="1">
        <v>0.82350000000000001</v>
      </c>
      <c r="U1117" s="6">
        <f t="shared" si="224"/>
        <v>204.22800000000001</v>
      </c>
    </row>
    <row r="1118" spans="1:21" x14ac:dyDescent="0.35">
      <c r="A1118">
        <v>1117</v>
      </c>
      <c r="B1118" s="5">
        <v>45313</v>
      </c>
      <c r="C1118" s="4">
        <f t="shared" si="225"/>
        <v>2024</v>
      </c>
      <c r="D1118" s="4">
        <f t="shared" si="226"/>
        <v>1</v>
      </c>
      <c r="E1118" s="14">
        <v>45313</v>
      </c>
      <c r="F1118" s="4">
        <f t="shared" si="227"/>
        <v>22</v>
      </c>
      <c r="G1118">
        <v>177</v>
      </c>
      <c r="H1118">
        <v>176</v>
      </c>
      <c r="I1118" s="13">
        <f t="shared" si="228"/>
        <v>0.99</v>
      </c>
      <c r="J1118">
        <f t="shared" si="221"/>
        <v>1</v>
      </c>
      <c r="K1118" s="2">
        <v>1.3888888888888889E-4</v>
      </c>
      <c r="L1118" s="11">
        <f t="shared" si="222"/>
        <v>35.200000000000003</v>
      </c>
      <c r="M1118" s="3">
        <f t="shared" si="229"/>
        <v>0.2</v>
      </c>
      <c r="N1118" s="4">
        <f t="shared" si="230"/>
        <v>12</v>
      </c>
      <c r="O1118" s="2">
        <v>1.8171296296296297E-3</v>
      </c>
      <c r="P1118" s="9">
        <f t="shared" si="223"/>
        <v>460.53333333333336</v>
      </c>
      <c r="Q1118" s="3">
        <f t="shared" si="231"/>
        <v>2.6166666666666667</v>
      </c>
      <c r="R1118" s="4">
        <f t="shared" si="232"/>
        <v>157</v>
      </c>
      <c r="S1118" s="3">
        <f t="shared" si="233"/>
        <v>146</v>
      </c>
      <c r="T1118" s="1">
        <v>0.83520000000000005</v>
      </c>
      <c r="U1118" s="6">
        <f t="shared" si="224"/>
        <v>146.99520000000001</v>
      </c>
    </row>
    <row r="1119" spans="1:21" x14ac:dyDescent="0.35">
      <c r="A1119">
        <v>1118</v>
      </c>
      <c r="B1119" s="5">
        <v>45314</v>
      </c>
      <c r="C1119" s="4">
        <f t="shared" si="225"/>
        <v>2024</v>
      </c>
      <c r="D1119" s="4">
        <f t="shared" si="226"/>
        <v>1</v>
      </c>
      <c r="E1119" s="14">
        <v>45314</v>
      </c>
      <c r="F1119" s="4">
        <f t="shared" si="227"/>
        <v>23</v>
      </c>
      <c r="G1119">
        <v>27</v>
      </c>
      <c r="H1119">
        <v>24</v>
      </c>
      <c r="I1119" s="13">
        <f t="shared" si="228"/>
        <v>0.88</v>
      </c>
      <c r="J1119">
        <f t="shared" si="221"/>
        <v>3</v>
      </c>
      <c r="K1119" s="2">
        <v>1.5046296296296297E-4</v>
      </c>
      <c r="L1119" s="11">
        <f t="shared" si="222"/>
        <v>5.2</v>
      </c>
      <c r="M1119" s="3">
        <f t="shared" si="229"/>
        <v>0.21666666666666667</v>
      </c>
      <c r="N1119" s="4">
        <f t="shared" si="230"/>
        <v>13</v>
      </c>
      <c r="O1119" s="2">
        <v>1.5625000000000001E-3</v>
      </c>
      <c r="P1119" s="9">
        <f t="shared" si="223"/>
        <v>54</v>
      </c>
      <c r="Q1119" s="3">
        <f t="shared" si="231"/>
        <v>2.25</v>
      </c>
      <c r="R1119" s="4">
        <f t="shared" si="232"/>
        <v>135</v>
      </c>
      <c r="S1119" s="3">
        <f t="shared" si="233"/>
        <v>17</v>
      </c>
      <c r="T1119" s="1">
        <v>0.74070000000000003</v>
      </c>
      <c r="U1119" s="6">
        <f t="shared" si="224"/>
        <v>17.776800000000001</v>
      </c>
    </row>
    <row r="1120" spans="1:21" x14ac:dyDescent="0.35">
      <c r="A1120">
        <v>1119</v>
      </c>
      <c r="B1120" s="5">
        <v>45315</v>
      </c>
      <c r="C1120" s="4">
        <f t="shared" si="225"/>
        <v>2024</v>
      </c>
      <c r="D1120" s="4">
        <f t="shared" si="226"/>
        <v>1</v>
      </c>
      <c r="E1120" s="14">
        <v>45315</v>
      </c>
      <c r="F1120" s="4">
        <f t="shared" si="227"/>
        <v>24</v>
      </c>
      <c r="G1120">
        <v>307</v>
      </c>
      <c r="H1120">
        <v>305</v>
      </c>
      <c r="I1120" s="13">
        <f t="shared" si="228"/>
        <v>0.99</v>
      </c>
      <c r="J1120">
        <f t="shared" si="221"/>
        <v>2</v>
      </c>
      <c r="K1120" s="2">
        <v>1.0416666666666667E-4</v>
      </c>
      <c r="L1120" s="11">
        <f t="shared" si="222"/>
        <v>45.75</v>
      </c>
      <c r="M1120" s="3">
        <f t="shared" si="229"/>
        <v>0.15</v>
      </c>
      <c r="N1120" s="4">
        <f t="shared" si="230"/>
        <v>9</v>
      </c>
      <c r="O1120" s="2">
        <v>2.0949074074074073E-3</v>
      </c>
      <c r="P1120" s="9">
        <f t="shared" si="223"/>
        <v>920.08333333333337</v>
      </c>
      <c r="Q1120" s="3">
        <f t="shared" si="231"/>
        <v>3.0166666666666666</v>
      </c>
      <c r="R1120" s="4">
        <f t="shared" si="232"/>
        <v>181</v>
      </c>
      <c r="S1120" s="3">
        <f t="shared" si="233"/>
        <v>279</v>
      </c>
      <c r="T1120" s="1">
        <v>0.91800000000000004</v>
      </c>
      <c r="U1120" s="6">
        <f t="shared" si="224"/>
        <v>279.99</v>
      </c>
    </row>
    <row r="1121" spans="1:21" x14ac:dyDescent="0.35">
      <c r="A1121">
        <v>1120</v>
      </c>
      <c r="B1121" s="5">
        <v>45316</v>
      </c>
      <c r="C1121" s="4">
        <f t="shared" si="225"/>
        <v>2024</v>
      </c>
      <c r="D1121" s="4">
        <f t="shared" si="226"/>
        <v>1</v>
      </c>
      <c r="E1121" s="14">
        <v>45316</v>
      </c>
      <c r="F1121" s="4">
        <f t="shared" si="227"/>
        <v>25</v>
      </c>
      <c r="G1121">
        <v>587</v>
      </c>
      <c r="H1121">
        <v>577</v>
      </c>
      <c r="I1121" s="13">
        <f t="shared" si="228"/>
        <v>0.98</v>
      </c>
      <c r="J1121">
        <f t="shared" si="221"/>
        <v>10</v>
      </c>
      <c r="K1121" s="2">
        <v>1.1574074074074075E-4</v>
      </c>
      <c r="L1121" s="11">
        <f t="shared" si="222"/>
        <v>96.166666666666657</v>
      </c>
      <c r="M1121" s="3">
        <f t="shared" si="229"/>
        <v>0.16666666666666666</v>
      </c>
      <c r="N1121" s="4">
        <f t="shared" si="230"/>
        <v>10</v>
      </c>
      <c r="O1121" s="2">
        <v>1.4814814814814814E-3</v>
      </c>
      <c r="P1121" s="9">
        <f t="shared" si="223"/>
        <v>1230.9333333333334</v>
      </c>
      <c r="Q1121" s="3">
        <f t="shared" si="231"/>
        <v>2.1333333333333333</v>
      </c>
      <c r="R1121" s="4">
        <f t="shared" si="232"/>
        <v>128</v>
      </c>
      <c r="S1121" s="3">
        <f t="shared" si="233"/>
        <v>530</v>
      </c>
      <c r="T1121" s="1">
        <v>0.9194</v>
      </c>
      <c r="U1121" s="6">
        <f t="shared" si="224"/>
        <v>530.49379999999996</v>
      </c>
    </row>
    <row r="1122" spans="1:21" x14ac:dyDescent="0.35">
      <c r="A1122">
        <v>1121</v>
      </c>
      <c r="B1122" s="5">
        <v>45317</v>
      </c>
      <c r="C1122" s="4">
        <f t="shared" si="225"/>
        <v>2024</v>
      </c>
      <c r="D1122" s="4">
        <f t="shared" si="226"/>
        <v>1</v>
      </c>
      <c r="E1122" s="14">
        <v>45317</v>
      </c>
      <c r="F1122" s="4">
        <f t="shared" si="227"/>
        <v>26</v>
      </c>
      <c r="G1122">
        <v>270</v>
      </c>
      <c r="H1122">
        <v>265</v>
      </c>
      <c r="I1122" s="13">
        <f t="shared" si="228"/>
        <v>0.98</v>
      </c>
      <c r="J1122">
        <f t="shared" si="221"/>
        <v>5</v>
      </c>
      <c r="K1122" s="2">
        <v>8.1018518518518516E-5</v>
      </c>
      <c r="L1122" s="11">
        <f t="shared" si="222"/>
        <v>30.916666666666668</v>
      </c>
      <c r="M1122" s="3">
        <f t="shared" si="229"/>
        <v>0.11666666666666667</v>
      </c>
      <c r="N1122" s="4">
        <f t="shared" si="230"/>
        <v>7</v>
      </c>
      <c r="O1122" s="2">
        <v>1.8981481481481482E-3</v>
      </c>
      <c r="P1122" s="9">
        <f t="shared" si="223"/>
        <v>724.33333333333337</v>
      </c>
      <c r="Q1122" s="3">
        <f t="shared" si="231"/>
        <v>2.7333333333333334</v>
      </c>
      <c r="R1122" s="4">
        <f t="shared" si="232"/>
        <v>164</v>
      </c>
      <c r="S1122" s="3">
        <f t="shared" si="233"/>
        <v>243</v>
      </c>
      <c r="T1122" s="1">
        <v>0.91790000000000005</v>
      </c>
      <c r="U1122" s="6">
        <f t="shared" si="224"/>
        <v>243.24350000000001</v>
      </c>
    </row>
    <row r="1123" spans="1:21" x14ac:dyDescent="0.35">
      <c r="A1123">
        <v>1122</v>
      </c>
      <c r="B1123" s="5">
        <v>45318</v>
      </c>
      <c r="C1123" s="4">
        <f t="shared" si="225"/>
        <v>2024</v>
      </c>
      <c r="D1123" s="4">
        <f t="shared" si="226"/>
        <v>1</v>
      </c>
      <c r="E1123" s="14">
        <v>45318</v>
      </c>
      <c r="F1123" s="4">
        <f t="shared" si="227"/>
        <v>27</v>
      </c>
      <c r="G1123">
        <v>307</v>
      </c>
      <c r="H1123">
        <v>297</v>
      </c>
      <c r="I1123" s="13">
        <f t="shared" si="228"/>
        <v>0.96</v>
      </c>
      <c r="J1123">
        <f t="shared" si="221"/>
        <v>10</v>
      </c>
      <c r="K1123" s="2">
        <v>1.6203703703703703E-4</v>
      </c>
      <c r="L1123" s="11">
        <f t="shared" si="222"/>
        <v>69.3</v>
      </c>
      <c r="M1123" s="3">
        <f t="shared" si="229"/>
        <v>0.23333333333333334</v>
      </c>
      <c r="N1123" s="4">
        <f t="shared" si="230"/>
        <v>14</v>
      </c>
      <c r="O1123" s="2">
        <v>2.0717592592592593E-3</v>
      </c>
      <c r="P1123" s="9">
        <f t="shared" si="223"/>
        <v>886.05000000000007</v>
      </c>
      <c r="Q1123" s="3">
        <f t="shared" si="231"/>
        <v>2.9833333333333334</v>
      </c>
      <c r="R1123" s="4">
        <f t="shared" si="232"/>
        <v>179</v>
      </c>
      <c r="S1123" s="3">
        <f t="shared" si="233"/>
        <v>244</v>
      </c>
      <c r="T1123" s="1">
        <v>0.82240000000000002</v>
      </c>
      <c r="U1123" s="6">
        <f t="shared" si="224"/>
        <v>244.25280000000001</v>
      </c>
    </row>
    <row r="1124" spans="1:21" x14ac:dyDescent="0.35">
      <c r="A1124">
        <v>1123</v>
      </c>
      <c r="B1124" s="5">
        <v>45319</v>
      </c>
      <c r="C1124" s="4">
        <f t="shared" si="225"/>
        <v>2024</v>
      </c>
      <c r="D1124" s="4">
        <f t="shared" si="226"/>
        <v>1</v>
      </c>
      <c r="E1124" s="14">
        <v>45319</v>
      </c>
      <c r="F1124" s="4">
        <f t="shared" si="227"/>
        <v>28</v>
      </c>
      <c r="G1124">
        <v>242</v>
      </c>
      <c r="H1124">
        <v>238</v>
      </c>
      <c r="I1124" s="13">
        <f t="shared" si="228"/>
        <v>0.98</v>
      </c>
      <c r="J1124">
        <f t="shared" si="221"/>
        <v>4</v>
      </c>
      <c r="K1124" s="2">
        <v>6.9444444444444444E-5</v>
      </c>
      <c r="L1124" s="11">
        <f t="shared" si="222"/>
        <v>23.8</v>
      </c>
      <c r="M1124" s="3">
        <f t="shared" si="229"/>
        <v>0.1</v>
      </c>
      <c r="N1124" s="4">
        <f t="shared" si="230"/>
        <v>6</v>
      </c>
      <c r="O1124" s="2">
        <v>1.8749999999999999E-3</v>
      </c>
      <c r="P1124" s="9">
        <f t="shared" si="223"/>
        <v>642.6</v>
      </c>
      <c r="Q1124" s="3">
        <f t="shared" si="231"/>
        <v>2.7</v>
      </c>
      <c r="R1124" s="4">
        <f t="shared" si="232"/>
        <v>162</v>
      </c>
      <c r="S1124" s="3">
        <f t="shared" si="233"/>
        <v>225</v>
      </c>
      <c r="T1124" s="1">
        <v>0.94630000000000003</v>
      </c>
      <c r="U1124" s="6">
        <f t="shared" si="224"/>
        <v>225.21940000000001</v>
      </c>
    </row>
    <row r="1125" spans="1:21" x14ac:dyDescent="0.35">
      <c r="A1125">
        <v>1124</v>
      </c>
      <c r="B1125" s="5">
        <v>45320</v>
      </c>
      <c r="C1125" s="4">
        <f t="shared" si="225"/>
        <v>2024</v>
      </c>
      <c r="D1125" s="4">
        <f t="shared" si="226"/>
        <v>1</v>
      </c>
      <c r="E1125" s="14">
        <v>45320</v>
      </c>
      <c r="F1125" s="4">
        <f t="shared" si="227"/>
        <v>29</v>
      </c>
      <c r="G1125">
        <v>194</v>
      </c>
      <c r="H1125">
        <v>182</v>
      </c>
      <c r="I1125" s="13">
        <f t="shared" si="228"/>
        <v>0.93</v>
      </c>
      <c r="J1125">
        <f t="shared" si="221"/>
        <v>12</v>
      </c>
      <c r="K1125" s="2">
        <v>1.3888888888888889E-4</v>
      </c>
      <c r="L1125" s="11">
        <f t="shared" si="222"/>
        <v>36.4</v>
      </c>
      <c r="M1125" s="3">
        <f t="shared" si="229"/>
        <v>0.2</v>
      </c>
      <c r="N1125" s="4">
        <f t="shared" si="230"/>
        <v>12</v>
      </c>
      <c r="O1125" s="2">
        <v>2.0486111111111113E-3</v>
      </c>
      <c r="P1125" s="9">
        <f t="shared" si="223"/>
        <v>536.9</v>
      </c>
      <c r="Q1125" s="3">
        <f t="shared" si="231"/>
        <v>2.95</v>
      </c>
      <c r="R1125" s="4">
        <f t="shared" si="232"/>
        <v>177</v>
      </c>
      <c r="S1125" s="3">
        <f t="shared" si="233"/>
        <v>147</v>
      </c>
      <c r="T1125" s="1">
        <v>0.8115</v>
      </c>
      <c r="U1125" s="6">
        <f t="shared" si="224"/>
        <v>147.69300000000001</v>
      </c>
    </row>
    <row r="1126" spans="1:21" x14ac:dyDescent="0.35">
      <c r="A1126">
        <v>1125</v>
      </c>
      <c r="B1126" s="5">
        <v>45321</v>
      </c>
      <c r="C1126" s="4">
        <f t="shared" si="225"/>
        <v>2024</v>
      </c>
      <c r="D1126" s="4">
        <f t="shared" si="226"/>
        <v>1</v>
      </c>
      <c r="E1126" s="14">
        <v>45321</v>
      </c>
      <c r="F1126" s="4">
        <f t="shared" si="227"/>
        <v>30</v>
      </c>
      <c r="G1126">
        <v>21</v>
      </c>
      <c r="H1126">
        <v>21</v>
      </c>
      <c r="I1126" s="13">
        <f t="shared" si="228"/>
        <v>1</v>
      </c>
      <c r="J1126">
        <f t="shared" si="221"/>
        <v>0</v>
      </c>
      <c r="K1126" s="2">
        <v>1.3888888888888889E-4</v>
      </c>
      <c r="L1126" s="11">
        <f t="shared" si="222"/>
        <v>4.2</v>
      </c>
      <c r="M1126" s="3">
        <f t="shared" si="229"/>
        <v>0.2</v>
      </c>
      <c r="N1126" s="4">
        <f t="shared" si="230"/>
        <v>12</v>
      </c>
      <c r="O1126" s="2">
        <v>2.1643518518518518E-3</v>
      </c>
      <c r="P1126" s="9">
        <f t="shared" si="223"/>
        <v>65.45</v>
      </c>
      <c r="Q1126" s="3">
        <f t="shared" si="231"/>
        <v>3.1166666666666667</v>
      </c>
      <c r="R1126" s="4">
        <f t="shared" si="232"/>
        <v>187</v>
      </c>
      <c r="S1126" s="3">
        <f t="shared" si="233"/>
        <v>19</v>
      </c>
      <c r="T1126" s="1">
        <v>0.90480000000000005</v>
      </c>
      <c r="U1126" s="6">
        <f t="shared" si="224"/>
        <v>19.000800000000002</v>
      </c>
    </row>
    <row r="1127" spans="1:21" x14ac:dyDescent="0.35">
      <c r="A1127">
        <v>1126</v>
      </c>
      <c r="B1127" s="5">
        <v>45322</v>
      </c>
      <c r="C1127" s="4">
        <f t="shared" si="225"/>
        <v>2024</v>
      </c>
      <c r="D1127" s="4">
        <f t="shared" si="226"/>
        <v>1</v>
      </c>
      <c r="E1127" s="14">
        <v>45322</v>
      </c>
      <c r="F1127" s="4">
        <f t="shared" si="227"/>
        <v>31</v>
      </c>
      <c r="G1127">
        <v>291</v>
      </c>
      <c r="H1127">
        <v>288</v>
      </c>
      <c r="I1127" s="13">
        <f t="shared" si="228"/>
        <v>0.98</v>
      </c>
      <c r="J1127">
        <f t="shared" si="221"/>
        <v>3</v>
      </c>
      <c r="K1127" s="2">
        <v>8.1018518518518516E-5</v>
      </c>
      <c r="L1127" s="11">
        <f t="shared" si="222"/>
        <v>33.6</v>
      </c>
      <c r="M1127" s="3">
        <f t="shared" si="229"/>
        <v>0.11666666666666667</v>
      </c>
      <c r="N1127" s="4">
        <f t="shared" si="230"/>
        <v>7</v>
      </c>
      <c r="O1127" s="2">
        <v>1.9212962962962964E-3</v>
      </c>
      <c r="P1127" s="9">
        <f t="shared" si="223"/>
        <v>796.8</v>
      </c>
      <c r="Q1127" s="3">
        <f t="shared" si="231"/>
        <v>2.7666666666666666</v>
      </c>
      <c r="R1127" s="4">
        <f t="shared" si="232"/>
        <v>166</v>
      </c>
      <c r="S1127" s="3">
        <f t="shared" si="233"/>
        <v>270</v>
      </c>
      <c r="T1127" s="1">
        <v>0.93789999999999996</v>
      </c>
      <c r="U1127" s="6">
        <f t="shared" si="224"/>
        <v>270.11519999999996</v>
      </c>
    </row>
    <row r="1128" spans="1:21" x14ac:dyDescent="0.35">
      <c r="A1128">
        <v>1127</v>
      </c>
      <c r="B1128" s="5">
        <v>45323</v>
      </c>
      <c r="C1128" s="4">
        <f t="shared" si="225"/>
        <v>2024</v>
      </c>
      <c r="D1128" s="4">
        <f t="shared" si="226"/>
        <v>2</v>
      </c>
      <c r="E1128" s="14">
        <v>45323</v>
      </c>
      <c r="F1128" s="4">
        <f t="shared" si="227"/>
        <v>1</v>
      </c>
      <c r="G1128">
        <v>516</v>
      </c>
      <c r="H1128">
        <v>479</v>
      </c>
      <c r="I1128" s="13">
        <f t="shared" si="228"/>
        <v>0.92</v>
      </c>
      <c r="J1128">
        <f t="shared" si="221"/>
        <v>37</v>
      </c>
      <c r="K1128" s="2">
        <v>3.0092592592592595E-4</v>
      </c>
      <c r="L1128" s="11">
        <f t="shared" si="222"/>
        <v>207.56666666666666</v>
      </c>
      <c r="M1128" s="3">
        <f t="shared" si="229"/>
        <v>0.43333333333333335</v>
      </c>
      <c r="N1128" s="4">
        <f t="shared" si="230"/>
        <v>26</v>
      </c>
      <c r="O1128" s="2">
        <v>1.8518518518518519E-3</v>
      </c>
      <c r="P1128" s="9">
        <f t="shared" si="223"/>
        <v>1277.3333333333333</v>
      </c>
      <c r="Q1128" s="3">
        <f t="shared" si="231"/>
        <v>2.6666666666666665</v>
      </c>
      <c r="R1128" s="4">
        <f t="shared" si="232"/>
        <v>160</v>
      </c>
      <c r="S1128" s="3">
        <f t="shared" si="233"/>
        <v>305</v>
      </c>
      <c r="T1128" s="1">
        <v>0.63800000000000001</v>
      </c>
      <c r="U1128" s="6">
        <f t="shared" si="224"/>
        <v>305.60200000000003</v>
      </c>
    </row>
    <row r="1129" spans="1:21" x14ac:dyDescent="0.35">
      <c r="A1129">
        <v>1128</v>
      </c>
      <c r="B1129" s="5">
        <v>45324</v>
      </c>
      <c r="C1129" s="4">
        <f t="shared" si="225"/>
        <v>2024</v>
      </c>
      <c r="D1129" s="4">
        <f t="shared" si="226"/>
        <v>2</v>
      </c>
      <c r="E1129" s="14">
        <v>45324</v>
      </c>
      <c r="F1129" s="4">
        <f t="shared" si="227"/>
        <v>2</v>
      </c>
      <c r="G1129">
        <v>452</v>
      </c>
      <c r="H1129">
        <v>447</v>
      </c>
      <c r="I1129" s="13">
        <f t="shared" si="228"/>
        <v>0.98</v>
      </c>
      <c r="J1129">
        <f t="shared" si="221"/>
        <v>5</v>
      </c>
      <c r="K1129" s="2">
        <v>6.9444444444444444E-5</v>
      </c>
      <c r="L1129" s="11">
        <f t="shared" si="222"/>
        <v>44.7</v>
      </c>
      <c r="M1129" s="3">
        <f t="shared" si="229"/>
        <v>0.1</v>
      </c>
      <c r="N1129" s="4">
        <f t="shared" si="230"/>
        <v>6</v>
      </c>
      <c r="O1129" s="2">
        <v>1.4351851851851852E-3</v>
      </c>
      <c r="P1129" s="9">
        <f t="shared" si="223"/>
        <v>923.80000000000007</v>
      </c>
      <c r="Q1129" s="3">
        <f t="shared" si="231"/>
        <v>2.0666666666666669</v>
      </c>
      <c r="R1129" s="4">
        <f t="shared" si="232"/>
        <v>124.00000000000001</v>
      </c>
      <c r="S1129" s="3">
        <f t="shared" si="233"/>
        <v>422</v>
      </c>
      <c r="T1129" s="1">
        <v>0.94440000000000002</v>
      </c>
      <c r="U1129" s="6">
        <f t="shared" si="224"/>
        <v>422.14679999999998</v>
      </c>
    </row>
    <row r="1130" spans="1:21" x14ac:dyDescent="0.35">
      <c r="A1130">
        <v>1129</v>
      </c>
      <c r="B1130" s="5">
        <v>45325</v>
      </c>
      <c r="C1130" s="4">
        <f t="shared" si="225"/>
        <v>2024</v>
      </c>
      <c r="D1130" s="4">
        <f t="shared" si="226"/>
        <v>2</v>
      </c>
      <c r="E1130" s="14">
        <v>45325</v>
      </c>
      <c r="F1130" s="4">
        <f t="shared" si="227"/>
        <v>3</v>
      </c>
      <c r="G1130">
        <v>375</v>
      </c>
      <c r="H1130">
        <v>375</v>
      </c>
      <c r="I1130" s="13">
        <f t="shared" si="228"/>
        <v>1</v>
      </c>
      <c r="J1130">
        <f t="shared" si="221"/>
        <v>0</v>
      </c>
      <c r="K1130" s="2">
        <v>5.7870370370370373E-5</v>
      </c>
      <c r="L1130" s="11">
        <f t="shared" si="222"/>
        <v>31.25</v>
      </c>
      <c r="M1130" s="3">
        <f t="shared" si="229"/>
        <v>8.3333333333333329E-2</v>
      </c>
      <c r="N1130" s="4">
        <f t="shared" si="230"/>
        <v>5</v>
      </c>
      <c r="O1130" s="2">
        <v>1.5393518518518519E-3</v>
      </c>
      <c r="P1130" s="9">
        <f t="shared" si="223"/>
        <v>831.25</v>
      </c>
      <c r="Q1130" s="3">
        <f t="shared" si="231"/>
        <v>2.2166666666666668</v>
      </c>
      <c r="R1130" s="4">
        <f t="shared" si="232"/>
        <v>133</v>
      </c>
      <c r="S1130" s="3">
        <f t="shared" si="233"/>
        <v>361</v>
      </c>
      <c r="T1130" s="1">
        <v>0.96530000000000005</v>
      </c>
      <c r="U1130" s="6">
        <f t="shared" si="224"/>
        <v>361.98750000000001</v>
      </c>
    </row>
    <row r="1131" spans="1:21" x14ac:dyDescent="0.35">
      <c r="A1131">
        <v>1130</v>
      </c>
      <c r="B1131" s="5">
        <v>45326</v>
      </c>
      <c r="C1131" s="4">
        <f t="shared" si="225"/>
        <v>2024</v>
      </c>
      <c r="D1131" s="4">
        <f t="shared" si="226"/>
        <v>2</v>
      </c>
      <c r="E1131" s="14">
        <v>45326</v>
      </c>
      <c r="F1131" s="4">
        <f t="shared" si="227"/>
        <v>4</v>
      </c>
      <c r="G1131">
        <v>306</v>
      </c>
      <c r="H1131">
        <v>287</v>
      </c>
      <c r="I1131" s="13">
        <f t="shared" si="228"/>
        <v>0.93</v>
      </c>
      <c r="J1131">
        <f t="shared" si="221"/>
        <v>19</v>
      </c>
      <c r="K1131" s="2">
        <v>2.199074074074074E-4</v>
      </c>
      <c r="L1131" s="11">
        <f t="shared" si="222"/>
        <v>90.883333333333326</v>
      </c>
      <c r="M1131" s="3">
        <f t="shared" si="229"/>
        <v>0.31666666666666665</v>
      </c>
      <c r="N1131" s="4">
        <f t="shared" si="230"/>
        <v>19</v>
      </c>
      <c r="O1131" s="2">
        <v>1.5625000000000001E-3</v>
      </c>
      <c r="P1131" s="9">
        <f t="shared" si="223"/>
        <v>645.75</v>
      </c>
      <c r="Q1131" s="3">
        <f t="shared" si="231"/>
        <v>2.25</v>
      </c>
      <c r="R1131" s="4">
        <f t="shared" si="232"/>
        <v>135</v>
      </c>
      <c r="S1131" s="3">
        <f t="shared" si="233"/>
        <v>219</v>
      </c>
      <c r="T1131" s="1">
        <v>0.76319999999999999</v>
      </c>
      <c r="U1131" s="6">
        <f t="shared" si="224"/>
        <v>219.0384</v>
      </c>
    </row>
    <row r="1132" spans="1:21" x14ac:dyDescent="0.35">
      <c r="A1132">
        <v>1131</v>
      </c>
      <c r="B1132" s="5">
        <v>45327</v>
      </c>
      <c r="C1132" s="4">
        <f t="shared" si="225"/>
        <v>2024</v>
      </c>
      <c r="D1132" s="4">
        <f t="shared" si="226"/>
        <v>2</v>
      </c>
      <c r="E1132" s="14">
        <v>45327</v>
      </c>
      <c r="F1132" s="4">
        <f t="shared" si="227"/>
        <v>5</v>
      </c>
      <c r="G1132">
        <v>241</v>
      </c>
      <c r="H1132">
        <v>235</v>
      </c>
      <c r="I1132" s="13">
        <f t="shared" si="228"/>
        <v>0.97</v>
      </c>
      <c r="J1132">
        <f t="shared" si="221"/>
        <v>6</v>
      </c>
      <c r="K1132" s="2">
        <v>1.7361111111111112E-4</v>
      </c>
      <c r="L1132" s="11">
        <f t="shared" si="222"/>
        <v>58.75</v>
      </c>
      <c r="M1132" s="3">
        <f t="shared" si="229"/>
        <v>0.25</v>
      </c>
      <c r="N1132" s="4">
        <f t="shared" si="230"/>
        <v>15</v>
      </c>
      <c r="O1132" s="2">
        <v>1.8518518518518519E-3</v>
      </c>
      <c r="P1132" s="9">
        <f t="shared" si="223"/>
        <v>626.66666666666663</v>
      </c>
      <c r="Q1132" s="3">
        <f t="shared" si="231"/>
        <v>2.6666666666666665</v>
      </c>
      <c r="R1132" s="4">
        <f t="shared" si="232"/>
        <v>160</v>
      </c>
      <c r="S1132" s="3">
        <f t="shared" si="233"/>
        <v>188</v>
      </c>
      <c r="T1132" s="1">
        <v>0.80330000000000001</v>
      </c>
      <c r="U1132" s="6">
        <f t="shared" si="224"/>
        <v>188.77549999999999</v>
      </c>
    </row>
    <row r="1133" spans="1:21" x14ac:dyDescent="0.35">
      <c r="A1133">
        <v>1132</v>
      </c>
      <c r="B1133" s="5">
        <v>45328</v>
      </c>
      <c r="C1133" s="4">
        <f t="shared" si="225"/>
        <v>2024</v>
      </c>
      <c r="D1133" s="4">
        <f t="shared" si="226"/>
        <v>2</v>
      </c>
      <c r="E1133" s="14">
        <v>45328</v>
      </c>
      <c r="F1133" s="4">
        <f t="shared" si="227"/>
        <v>6</v>
      </c>
      <c r="G1133">
        <v>34</v>
      </c>
      <c r="H1133">
        <v>34</v>
      </c>
      <c r="I1133" s="13">
        <f t="shared" si="228"/>
        <v>1</v>
      </c>
      <c r="J1133">
        <f t="shared" si="221"/>
        <v>0</v>
      </c>
      <c r="K1133" s="2">
        <v>2.0833333333333335E-4</v>
      </c>
      <c r="L1133" s="11">
        <f t="shared" si="222"/>
        <v>10.199999999999999</v>
      </c>
      <c r="M1133" s="3">
        <f t="shared" si="229"/>
        <v>0.3</v>
      </c>
      <c r="N1133" s="4">
        <f t="shared" si="230"/>
        <v>18</v>
      </c>
      <c r="O1133" s="2">
        <v>2.0949074074074073E-3</v>
      </c>
      <c r="P1133" s="9">
        <f t="shared" si="223"/>
        <v>102.56666666666666</v>
      </c>
      <c r="Q1133" s="3">
        <f t="shared" si="231"/>
        <v>3.0166666666666666</v>
      </c>
      <c r="R1133" s="4">
        <f t="shared" si="232"/>
        <v>181</v>
      </c>
      <c r="S1133" s="3">
        <f t="shared" si="233"/>
        <v>28</v>
      </c>
      <c r="T1133" s="1">
        <v>0.85289999999999999</v>
      </c>
      <c r="U1133" s="6">
        <f t="shared" si="224"/>
        <v>28.9986</v>
      </c>
    </row>
    <row r="1134" spans="1:21" x14ac:dyDescent="0.35">
      <c r="A1134">
        <v>1133</v>
      </c>
      <c r="B1134" s="5">
        <v>45329</v>
      </c>
      <c r="C1134" s="4">
        <f t="shared" si="225"/>
        <v>2024</v>
      </c>
      <c r="D1134" s="4">
        <f t="shared" si="226"/>
        <v>2</v>
      </c>
      <c r="E1134" s="14">
        <v>45329</v>
      </c>
      <c r="F1134" s="4">
        <f t="shared" si="227"/>
        <v>7</v>
      </c>
      <c r="G1134">
        <v>248</v>
      </c>
      <c r="H1134">
        <v>238</v>
      </c>
      <c r="I1134" s="13">
        <f t="shared" si="228"/>
        <v>0.95</v>
      </c>
      <c r="J1134">
        <f t="shared" si="221"/>
        <v>10</v>
      </c>
      <c r="K1134" s="2">
        <v>2.199074074074074E-4</v>
      </c>
      <c r="L1134" s="11">
        <f t="shared" si="222"/>
        <v>75.36666666666666</v>
      </c>
      <c r="M1134" s="3">
        <f t="shared" si="229"/>
        <v>0.31666666666666665</v>
      </c>
      <c r="N1134" s="4">
        <f t="shared" si="230"/>
        <v>19</v>
      </c>
      <c r="O1134" s="2">
        <v>1.8865740740740742E-3</v>
      </c>
      <c r="P1134" s="9">
        <f t="shared" si="223"/>
        <v>646.56666666666672</v>
      </c>
      <c r="Q1134" s="3">
        <f t="shared" si="231"/>
        <v>2.7166666666666668</v>
      </c>
      <c r="R1134" s="4">
        <f t="shared" si="232"/>
        <v>163</v>
      </c>
      <c r="S1134" s="3">
        <f t="shared" si="233"/>
        <v>176</v>
      </c>
      <c r="T1134" s="1">
        <v>0.7409</v>
      </c>
      <c r="U1134" s="6">
        <f t="shared" si="224"/>
        <v>176.33420000000001</v>
      </c>
    </row>
    <row r="1135" spans="1:21" x14ac:dyDescent="0.35">
      <c r="A1135">
        <v>1134</v>
      </c>
      <c r="B1135" s="5">
        <v>45330</v>
      </c>
      <c r="C1135" s="4">
        <f t="shared" si="225"/>
        <v>2024</v>
      </c>
      <c r="D1135" s="4">
        <f t="shared" si="226"/>
        <v>2</v>
      </c>
      <c r="E1135" s="14">
        <v>45330</v>
      </c>
      <c r="F1135" s="4">
        <f t="shared" si="227"/>
        <v>8</v>
      </c>
      <c r="G1135">
        <v>323</v>
      </c>
      <c r="H1135">
        <v>307</v>
      </c>
      <c r="I1135" s="13">
        <f t="shared" si="228"/>
        <v>0.95</v>
      </c>
      <c r="J1135">
        <f t="shared" si="221"/>
        <v>16</v>
      </c>
      <c r="K1135" s="2">
        <v>1.5046296296296297E-4</v>
      </c>
      <c r="L1135" s="11">
        <f t="shared" si="222"/>
        <v>66.516666666666666</v>
      </c>
      <c r="M1135" s="3">
        <f t="shared" si="229"/>
        <v>0.21666666666666667</v>
      </c>
      <c r="N1135" s="4">
        <f t="shared" si="230"/>
        <v>13</v>
      </c>
      <c r="O1135" s="2">
        <v>1.8749999999999999E-3</v>
      </c>
      <c r="P1135" s="9">
        <f t="shared" si="223"/>
        <v>828.90000000000009</v>
      </c>
      <c r="Q1135" s="3">
        <f t="shared" si="231"/>
        <v>2.7</v>
      </c>
      <c r="R1135" s="4">
        <f t="shared" si="232"/>
        <v>162</v>
      </c>
      <c r="S1135" s="3">
        <f t="shared" si="233"/>
        <v>253</v>
      </c>
      <c r="T1135" s="1">
        <v>0.82699999999999996</v>
      </c>
      <c r="U1135" s="6">
        <f t="shared" si="224"/>
        <v>253.88899999999998</v>
      </c>
    </row>
    <row r="1136" spans="1:21" x14ac:dyDescent="0.35">
      <c r="A1136">
        <v>1135</v>
      </c>
      <c r="B1136" s="5">
        <v>45331</v>
      </c>
      <c r="C1136" s="4">
        <f t="shared" si="225"/>
        <v>2024</v>
      </c>
      <c r="D1136" s="4">
        <f t="shared" si="226"/>
        <v>2</v>
      </c>
      <c r="E1136" s="14">
        <v>45331</v>
      </c>
      <c r="F1136" s="4">
        <f t="shared" si="227"/>
        <v>9</v>
      </c>
      <c r="G1136">
        <v>260</v>
      </c>
      <c r="H1136">
        <v>257</v>
      </c>
      <c r="I1136" s="13">
        <f t="shared" si="228"/>
        <v>0.98</v>
      </c>
      <c r="J1136">
        <f t="shared" si="221"/>
        <v>3</v>
      </c>
      <c r="K1136" s="2">
        <v>1.1574074074074075E-4</v>
      </c>
      <c r="L1136" s="11">
        <f t="shared" si="222"/>
        <v>42.833333333333329</v>
      </c>
      <c r="M1136" s="3">
        <f t="shared" si="229"/>
        <v>0.16666666666666666</v>
      </c>
      <c r="N1136" s="4">
        <f t="shared" si="230"/>
        <v>10</v>
      </c>
      <c r="O1136" s="2">
        <v>1.724537037037037E-3</v>
      </c>
      <c r="P1136" s="9">
        <f t="shared" si="223"/>
        <v>638.2166666666667</v>
      </c>
      <c r="Q1136" s="3">
        <f t="shared" si="231"/>
        <v>2.4833333333333334</v>
      </c>
      <c r="R1136" s="4">
        <f t="shared" si="232"/>
        <v>149</v>
      </c>
      <c r="S1136" s="3">
        <f t="shared" si="233"/>
        <v>234</v>
      </c>
      <c r="T1136" s="1">
        <v>0.91120000000000001</v>
      </c>
      <c r="U1136" s="6">
        <f t="shared" si="224"/>
        <v>234.17840000000001</v>
      </c>
    </row>
    <row r="1137" spans="1:21" x14ac:dyDescent="0.35">
      <c r="A1137">
        <v>1136</v>
      </c>
      <c r="B1137" s="5">
        <v>45332</v>
      </c>
      <c r="C1137" s="4">
        <f t="shared" si="225"/>
        <v>2024</v>
      </c>
      <c r="D1137" s="4">
        <f t="shared" si="226"/>
        <v>2</v>
      </c>
      <c r="E1137" s="14">
        <v>45332</v>
      </c>
      <c r="F1137" s="4">
        <f t="shared" si="227"/>
        <v>10</v>
      </c>
      <c r="G1137">
        <v>316</v>
      </c>
      <c r="H1137">
        <v>311</v>
      </c>
      <c r="I1137" s="13">
        <f t="shared" si="228"/>
        <v>0.98</v>
      </c>
      <c r="J1137">
        <f t="shared" si="221"/>
        <v>5</v>
      </c>
      <c r="K1137" s="2">
        <v>1.1574074074074075E-4</v>
      </c>
      <c r="L1137" s="11">
        <f t="shared" si="222"/>
        <v>51.833333333333329</v>
      </c>
      <c r="M1137" s="3">
        <f t="shared" si="229"/>
        <v>0.16666666666666666</v>
      </c>
      <c r="N1137" s="4">
        <f t="shared" si="230"/>
        <v>10</v>
      </c>
      <c r="O1137" s="2">
        <v>1.8634259259259259E-3</v>
      </c>
      <c r="P1137" s="9">
        <f t="shared" si="223"/>
        <v>834.51666666666677</v>
      </c>
      <c r="Q1137" s="3">
        <f t="shared" si="231"/>
        <v>2.6833333333333336</v>
      </c>
      <c r="R1137" s="4">
        <f t="shared" si="232"/>
        <v>161</v>
      </c>
      <c r="S1137" s="3">
        <f t="shared" si="233"/>
        <v>272</v>
      </c>
      <c r="T1137" s="1">
        <v>0.87539999999999996</v>
      </c>
      <c r="U1137" s="6">
        <f t="shared" si="224"/>
        <v>272.24939999999998</v>
      </c>
    </row>
    <row r="1138" spans="1:21" x14ac:dyDescent="0.35">
      <c r="A1138">
        <v>1137</v>
      </c>
      <c r="B1138" s="5">
        <v>45333</v>
      </c>
      <c r="C1138" s="4">
        <f t="shared" si="225"/>
        <v>2024</v>
      </c>
      <c r="D1138" s="4">
        <f t="shared" si="226"/>
        <v>2</v>
      </c>
      <c r="E1138" s="14">
        <v>45333</v>
      </c>
      <c r="F1138" s="4">
        <f t="shared" si="227"/>
        <v>11</v>
      </c>
      <c r="G1138">
        <v>60</v>
      </c>
      <c r="H1138">
        <v>59</v>
      </c>
      <c r="I1138" s="13">
        <f t="shared" si="228"/>
        <v>0.98</v>
      </c>
      <c r="J1138">
        <f t="shared" si="221"/>
        <v>1</v>
      </c>
      <c r="K1138" s="2">
        <v>3.4722222222222222E-5</v>
      </c>
      <c r="L1138" s="11">
        <f t="shared" si="222"/>
        <v>2.95</v>
      </c>
      <c r="M1138" s="3">
        <f t="shared" si="229"/>
        <v>0.05</v>
      </c>
      <c r="N1138" s="4">
        <f t="shared" si="230"/>
        <v>3</v>
      </c>
      <c r="O1138" s="2">
        <v>1.8634259259259259E-3</v>
      </c>
      <c r="P1138" s="9">
        <f t="shared" si="223"/>
        <v>158.31666666666669</v>
      </c>
      <c r="Q1138" s="3">
        <f t="shared" si="231"/>
        <v>2.6833333333333336</v>
      </c>
      <c r="R1138" s="4">
        <f t="shared" si="232"/>
        <v>161</v>
      </c>
      <c r="S1138" s="3">
        <f t="shared" si="233"/>
        <v>58</v>
      </c>
      <c r="T1138" s="1">
        <v>0.98329999999999995</v>
      </c>
      <c r="U1138" s="6">
        <f t="shared" si="224"/>
        <v>58.014699999999998</v>
      </c>
    </row>
    <row r="1139" spans="1:21" x14ac:dyDescent="0.35">
      <c r="A1139">
        <v>1138</v>
      </c>
      <c r="B1139" s="5">
        <v>45334</v>
      </c>
      <c r="C1139" s="4">
        <f t="shared" si="225"/>
        <v>2024</v>
      </c>
      <c r="D1139" s="4">
        <f t="shared" si="226"/>
        <v>2</v>
      </c>
      <c r="E1139" s="14">
        <v>45334</v>
      </c>
      <c r="F1139" s="4">
        <f t="shared" si="227"/>
        <v>12</v>
      </c>
      <c r="G1139">
        <v>267</v>
      </c>
      <c r="H1139">
        <v>251</v>
      </c>
      <c r="I1139" s="13">
        <f t="shared" si="228"/>
        <v>0.94</v>
      </c>
      <c r="J1139">
        <f t="shared" si="221"/>
        <v>16</v>
      </c>
      <c r="K1139" s="2">
        <v>2.199074074074074E-4</v>
      </c>
      <c r="L1139" s="11">
        <f t="shared" si="222"/>
        <v>79.483333333333334</v>
      </c>
      <c r="M1139" s="3">
        <f t="shared" si="229"/>
        <v>0.31666666666666665</v>
      </c>
      <c r="N1139" s="4">
        <f t="shared" si="230"/>
        <v>19</v>
      </c>
      <c r="O1139" s="2">
        <v>1.7013888888888888E-3</v>
      </c>
      <c r="P1139" s="9">
        <f t="shared" si="223"/>
        <v>614.95000000000005</v>
      </c>
      <c r="Q1139" s="3">
        <f t="shared" si="231"/>
        <v>2.4500000000000002</v>
      </c>
      <c r="R1139" s="4">
        <f t="shared" si="232"/>
        <v>147</v>
      </c>
      <c r="S1139" s="3">
        <f t="shared" si="233"/>
        <v>189</v>
      </c>
      <c r="T1139" s="1">
        <v>0.75560000000000005</v>
      </c>
      <c r="U1139" s="6">
        <f t="shared" si="224"/>
        <v>189.65560000000002</v>
      </c>
    </row>
    <row r="1140" spans="1:21" x14ac:dyDescent="0.35">
      <c r="A1140">
        <v>1139</v>
      </c>
      <c r="B1140" s="5">
        <v>45335</v>
      </c>
      <c r="C1140" s="4">
        <f t="shared" si="225"/>
        <v>2024</v>
      </c>
      <c r="D1140" s="4">
        <f t="shared" si="226"/>
        <v>2</v>
      </c>
      <c r="E1140" s="14">
        <v>45335</v>
      </c>
      <c r="F1140" s="4">
        <f t="shared" si="227"/>
        <v>13</v>
      </c>
      <c r="G1140">
        <v>30</v>
      </c>
      <c r="H1140">
        <v>29</v>
      </c>
      <c r="I1140" s="13">
        <f t="shared" si="228"/>
        <v>0.96</v>
      </c>
      <c r="J1140">
        <f t="shared" si="221"/>
        <v>1</v>
      </c>
      <c r="K1140" s="2">
        <v>9.2592592592592588E-5</v>
      </c>
      <c r="L1140" s="11">
        <f t="shared" si="222"/>
        <v>3.8666666666666667</v>
      </c>
      <c r="M1140" s="3">
        <f t="shared" si="229"/>
        <v>0.13333333333333333</v>
      </c>
      <c r="N1140" s="4">
        <f t="shared" si="230"/>
        <v>8</v>
      </c>
      <c r="O1140" s="2">
        <v>1.3888888888888889E-3</v>
      </c>
      <c r="P1140" s="9">
        <f t="shared" si="223"/>
        <v>58</v>
      </c>
      <c r="Q1140" s="3">
        <f t="shared" si="231"/>
        <v>2</v>
      </c>
      <c r="R1140" s="4">
        <f t="shared" si="232"/>
        <v>120</v>
      </c>
      <c r="S1140" s="3">
        <f t="shared" si="233"/>
        <v>26</v>
      </c>
      <c r="T1140" s="1">
        <v>0.93100000000000005</v>
      </c>
      <c r="U1140" s="6">
        <f t="shared" si="224"/>
        <v>26.999000000000002</v>
      </c>
    </row>
    <row r="1141" spans="1:21" x14ac:dyDescent="0.35">
      <c r="A1141">
        <v>1140</v>
      </c>
      <c r="B1141" s="5">
        <v>45336</v>
      </c>
      <c r="C1141" s="4">
        <f t="shared" si="225"/>
        <v>2024</v>
      </c>
      <c r="D1141" s="4">
        <f t="shared" si="226"/>
        <v>2</v>
      </c>
      <c r="E1141" s="14">
        <v>45336</v>
      </c>
      <c r="F1141" s="4">
        <f t="shared" si="227"/>
        <v>14</v>
      </c>
      <c r="G1141">
        <v>247</v>
      </c>
      <c r="H1141">
        <v>238</v>
      </c>
      <c r="I1141" s="13">
        <f t="shared" si="228"/>
        <v>0.96</v>
      </c>
      <c r="J1141">
        <f t="shared" si="221"/>
        <v>9</v>
      </c>
      <c r="K1141" s="2">
        <v>1.5046296296296297E-4</v>
      </c>
      <c r="L1141" s="11">
        <f t="shared" si="222"/>
        <v>51.56666666666667</v>
      </c>
      <c r="M1141" s="3">
        <f t="shared" si="229"/>
        <v>0.21666666666666667</v>
      </c>
      <c r="N1141" s="4">
        <f t="shared" si="230"/>
        <v>13</v>
      </c>
      <c r="O1141" s="2">
        <v>1.7939814814814815E-3</v>
      </c>
      <c r="P1141" s="9">
        <f t="shared" si="223"/>
        <v>614.83333333333337</v>
      </c>
      <c r="Q1141" s="3">
        <f t="shared" si="231"/>
        <v>2.5833333333333335</v>
      </c>
      <c r="R1141" s="4">
        <f t="shared" si="232"/>
        <v>155</v>
      </c>
      <c r="S1141" s="3">
        <f t="shared" si="233"/>
        <v>198</v>
      </c>
      <c r="T1141" s="1">
        <v>0.83330000000000004</v>
      </c>
      <c r="U1141" s="6">
        <f t="shared" si="224"/>
        <v>198.3254</v>
      </c>
    </row>
    <row r="1142" spans="1:21" x14ac:dyDescent="0.35">
      <c r="A1142">
        <v>1141</v>
      </c>
      <c r="B1142" s="5">
        <v>45337</v>
      </c>
      <c r="C1142" s="4">
        <f t="shared" si="225"/>
        <v>2024</v>
      </c>
      <c r="D1142" s="4">
        <f t="shared" si="226"/>
        <v>2</v>
      </c>
      <c r="E1142" s="14">
        <v>45337</v>
      </c>
      <c r="F1142" s="4">
        <f t="shared" si="227"/>
        <v>15</v>
      </c>
      <c r="G1142">
        <v>376</v>
      </c>
      <c r="H1142">
        <v>365</v>
      </c>
      <c r="I1142" s="13">
        <f t="shared" si="228"/>
        <v>0.97</v>
      </c>
      <c r="J1142">
        <f t="shared" si="221"/>
        <v>11</v>
      </c>
      <c r="K1142" s="2">
        <v>1.7361111111111112E-4</v>
      </c>
      <c r="L1142" s="11">
        <f t="shared" si="222"/>
        <v>91.25</v>
      </c>
      <c r="M1142" s="3">
        <f t="shared" si="229"/>
        <v>0.25</v>
      </c>
      <c r="N1142" s="4">
        <f t="shared" si="230"/>
        <v>15</v>
      </c>
      <c r="O1142" s="2">
        <v>2.0833333333333333E-3</v>
      </c>
      <c r="P1142" s="9">
        <f t="shared" si="223"/>
        <v>1095</v>
      </c>
      <c r="Q1142" s="3">
        <f t="shared" si="231"/>
        <v>3</v>
      </c>
      <c r="R1142" s="4">
        <f t="shared" si="232"/>
        <v>180</v>
      </c>
      <c r="S1142" s="3">
        <f t="shared" si="233"/>
        <v>298</v>
      </c>
      <c r="T1142" s="1">
        <v>0.81769999999999998</v>
      </c>
      <c r="U1142" s="6">
        <f t="shared" si="224"/>
        <v>298.46049999999997</v>
      </c>
    </row>
    <row r="1143" spans="1:21" x14ac:dyDescent="0.35">
      <c r="A1143">
        <v>1142</v>
      </c>
      <c r="B1143" s="5">
        <v>45338</v>
      </c>
      <c r="C1143" s="4">
        <f t="shared" si="225"/>
        <v>2024</v>
      </c>
      <c r="D1143" s="4">
        <f t="shared" si="226"/>
        <v>2</v>
      </c>
      <c r="E1143" s="14">
        <v>45338</v>
      </c>
      <c r="F1143" s="4">
        <f t="shared" si="227"/>
        <v>16</v>
      </c>
      <c r="G1143">
        <v>316</v>
      </c>
      <c r="H1143">
        <v>306</v>
      </c>
      <c r="I1143" s="13">
        <f t="shared" si="228"/>
        <v>0.96</v>
      </c>
      <c r="J1143">
        <f t="shared" si="221"/>
        <v>10</v>
      </c>
      <c r="K1143" s="2">
        <v>1.5046296296296297E-4</v>
      </c>
      <c r="L1143" s="11">
        <f t="shared" si="222"/>
        <v>66.3</v>
      </c>
      <c r="M1143" s="3">
        <f t="shared" si="229"/>
        <v>0.21666666666666667</v>
      </c>
      <c r="N1143" s="4">
        <f t="shared" si="230"/>
        <v>13</v>
      </c>
      <c r="O1143" s="2">
        <v>2.0254629629629629E-3</v>
      </c>
      <c r="P1143" s="9">
        <f t="shared" si="223"/>
        <v>892.5</v>
      </c>
      <c r="Q1143" s="3">
        <f t="shared" si="231"/>
        <v>2.9166666666666665</v>
      </c>
      <c r="R1143" s="4">
        <f t="shared" si="232"/>
        <v>175</v>
      </c>
      <c r="S1143" s="3">
        <f t="shared" si="233"/>
        <v>253</v>
      </c>
      <c r="T1143" s="1">
        <v>0.82799999999999996</v>
      </c>
      <c r="U1143" s="6">
        <f t="shared" si="224"/>
        <v>253.36799999999999</v>
      </c>
    </row>
    <row r="1144" spans="1:21" x14ac:dyDescent="0.35">
      <c r="A1144">
        <v>1143</v>
      </c>
      <c r="B1144" s="5">
        <v>45339</v>
      </c>
      <c r="C1144" s="4">
        <f t="shared" si="225"/>
        <v>2024</v>
      </c>
      <c r="D1144" s="4">
        <f t="shared" si="226"/>
        <v>2</v>
      </c>
      <c r="E1144" s="14">
        <v>45339</v>
      </c>
      <c r="F1144" s="4">
        <f t="shared" si="227"/>
        <v>17</v>
      </c>
      <c r="G1144">
        <v>310</v>
      </c>
      <c r="H1144">
        <v>304</v>
      </c>
      <c r="I1144" s="13">
        <f t="shared" si="228"/>
        <v>0.98</v>
      </c>
      <c r="J1144">
        <f t="shared" si="221"/>
        <v>6</v>
      </c>
      <c r="K1144" s="2">
        <v>8.1018518518518516E-5</v>
      </c>
      <c r="L1144" s="11">
        <f t="shared" si="222"/>
        <v>35.466666666666669</v>
      </c>
      <c r="M1144" s="3">
        <f t="shared" si="229"/>
        <v>0.11666666666666667</v>
      </c>
      <c r="N1144" s="4">
        <f t="shared" si="230"/>
        <v>7</v>
      </c>
      <c r="O1144" s="2">
        <v>1.9791666666666668E-3</v>
      </c>
      <c r="P1144" s="9">
        <f t="shared" si="223"/>
        <v>866.4</v>
      </c>
      <c r="Q1144" s="3">
        <f t="shared" si="231"/>
        <v>2.85</v>
      </c>
      <c r="R1144" s="4">
        <f t="shared" si="232"/>
        <v>171</v>
      </c>
      <c r="S1144" s="3">
        <f t="shared" si="233"/>
        <v>280</v>
      </c>
      <c r="T1144" s="1">
        <v>0.92159999999999997</v>
      </c>
      <c r="U1144" s="6">
        <f t="shared" si="224"/>
        <v>280.16640000000001</v>
      </c>
    </row>
    <row r="1145" spans="1:21" x14ac:dyDescent="0.35">
      <c r="A1145">
        <v>1144</v>
      </c>
      <c r="B1145" s="5">
        <v>45340</v>
      </c>
      <c r="C1145" s="4">
        <f t="shared" si="225"/>
        <v>2024</v>
      </c>
      <c r="D1145" s="4">
        <f t="shared" si="226"/>
        <v>2</v>
      </c>
      <c r="E1145" s="14">
        <v>45340</v>
      </c>
      <c r="F1145" s="4">
        <f t="shared" si="227"/>
        <v>18</v>
      </c>
      <c r="G1145">
        <v>340</v>
      </c>
      <c r="H1145">
        <v>327</v>
      </c>
      <c r="I1145" s="13">
        <f t="shared" si="228"/>
        <v>0.96</v>
      </c>
      <c r="J1145">
        <f t="shared" si="221"/>
        <v>13</v>
      </c>
      <c r="K1145" s="2">
        <v>2.6620370370370372E-4</v>
      </c>
      <c r="L1145" s="11">
        <f t="shared" si="222"/>
        <v>125.35000000000001</v>
      </c>
      <c r="M1145" s="3">
        <f t="shared" si="229"/>
        <v>0.38333333333333336</v>
      </c>
      <c r="N1145" s="4">
        <f t="shared" si="230"/>
        <v>23</v>
      </c>
      <c r="O1145" s="2">
        <v>2.0254629629629629E-3</v>
      </c>
      <c r="P1145" s="9">
        <f t="shared" si="223"/>
        <v>953.75</v>
      </c>
      <c r="Q1145" s="3">
        <f t="shared" si="231"/>
        <v>2.9166666666666665</v>
      </c>
      <c r="R1145" s="4">
        <f t="shared" si="232"/>
        <v>175</v>
      </c>
      <c r="S1145" s="3">
        <f t="shared" si="233"/>
        <v>233</v>
      </c>
      <c r="T1145" s="1">
        <v>0.71340000000000003</v>
      </c>
      <c r="U1145" s="6">
        <f t="shared" si="224"/>
        <v>233.2818</v>
      </c>
    </row>
    <row r="1146" spans="1:21" x14ac:dyDescent="0.35">
      <c r="A1146">
        <v>1145</v>
      </c>
      <c r="B1146" s="5">
        <v>45341</v>
      </c>
      <c r="C1146" s="4">
        <f t="shared" si="225"/>
        <v>2024</v>
      </c>
      <c r="D1146" s="4">
        <f t="shared" si="226"/>
        <v>2</v>
      </c>
      <c r="E1146" s="14">
        <v>45341</v>
      </c>
      <c r="F1146" s="4">
        <f t="shared" si="227"/>
        <v>19</v>
      </c>
      <c r="G1146">
        <v>306</v>
      </c>
      <c r="H1146">
        <v>289</v>
      </c>
      <c r="I1146" s="13">
        <f t="shared" si="228"/>
        <v>0.94</v>
      </c>
      <c r="J1146">
        <f t="shared" si="221"/>
        <v>17</v>
      </c>
      <c r="K1146" s="2">
        <v>2.7777777777777778E-4</v>
      </c>
      <c r="L1146" s="11">
        <f t="shared" si="222"/>
        <v>115.60000000000001</v>
      </c>
      <c r="M1146" s="3">
        <f t="shared" si="229"/>
        <v>0.4</v>
      </c>
      <c r="N1146" s="4">
        <f t="shared" si="230"/>
        <v>24</v>
      </c>
      <c r="O1146" s="2">
        <v>1.8865740740740742E-3</v>
      </c>
      <c r="P1146" s="9">
        <f t="shared" si="223"/>
        <v>785.11666666666667</v>
      </c>
      <c r="Q1146" s="3">
        <f t="shared" si="231"/>
        <v>2.7166666666666668</v>
      </c>
      <c r="R1146" s="4">
        <f t="shared" si="232"/>
        <v>163</v>
      </c>
      <c r="S1146" s="3">
        <f t="shared" si="233"/>
        <v>201</v>
      </c>
      <c r="T1146" s="1">
        <v>0.69740000000000002</v>
      </c>
      <c r="U1146" s="6">
        <f t="shared" si="224"/>
        <v>201.54859999999999</v>
      </c>
    </row>
    <row r="1147" spans="1:21" x14ac:dyDescent="0.35">
      <c r="A1147">
        <v>1146</v>
      </c>
      <c r="B1147" s="5">
        <v>45342</v>
      </c>
      <c r="C1147" s="4">
        <f t="shared" si="225"/>
        <v>2024</v>
      </c>
      <c r="D1147" s="4">
        <f t="shared" si="226"/>
        <v>2</v>
      </c>
      <c r="E1147" s="14">
        <v>45342</v>
      </c>
      <c r="F1147" s="4">
        <f t="shared" si="227"/>
        <v>20</v>
      </c>
      <c r="G1147">
        <v>40</v>
      </c>
      <c r="H1147">
        <v>40</v>
      </c>
      <c r="I1147" s="13">
        <f t="shared" si="228"/>
        <v>1</v>
      </c>
      <c r="J1147">
        <f t="shared" si="221"/>
        <v>0</v>
      </c>
      <c r="K1147" s="2">
        <v>5.7870370370370373E-5</v>
      </c>
      <c r="L1147" s="11">
        <f t="shared" si="222"/>
        <v>3.333333333333333</v>
      </c>
      <c r="M1147" s="3">
        <f t="shared" si="229"/>
        <v>8.3333333333333329E-2</v>
      </c>
      <c r="N1147" s="4">
        <f t="shared" si="230"/>
        <v>5</v>
      </c>
      <c r="O1147" s="2">
        <v>1.9212962962962964E-3</v>
      </c>
      <c r="P1147" s="9">
        <f t="shared" si="223"/>
        <v>110.66666666666666</v>
      </c>
      <c r="Q1147" s="3">
        <f t="shared" si="231"/>
        <v>2.7666666666666666</v>
      </c>
      <c r="R1147" s="4">
        <f t="shared" si="232"/>
        <v>166</v>
      </c>
      <c r="S1147" s="3">
        <f t="shared" si="233"/>
        <v>39</v>
      </c>
      <c r="T1147" s="1">
        <v>0.97499999999999998</v>
      </c>
      <c r="U1147" s="6">
        <f t="shared" si="224"/>
        <v>39</v>
      </c>
    </row>
    <row r="1148" spans="1:21" x14ac:dyDescent="0.35">
      <c r="A1148">
        <v>1147</v>
      </c>
      <c r="B1148" s="5">
        <v>45343</v>
      </c>
      <c r="C1148" s="4">
        <f t="shared" si="225"/>
        <v>2024</v>
      </c>
      <c r="D1148" s="4">
        <f t="shared" si="226"/>
        <v>2</v>
      </c>
      <c r="E1148" s="14">
        <v>45343</v>
      </c>
      <c r="F1148" s="4">
        <f t="shared" si="227"/>
        <v>21</v>
      </c>
      <c r="G1148">
        <v>378</v>
      </c>
      <c r="H1148">
        <v>370</v>
      </c>
      <c r="I1148" s="13">
        <f t="shared" si="228"/>
        <v>0.97</v>
      </c>
      <c r="J1148">
        <f t="shared" si="221"/>
        <v>8</v>
      </c>
      <c r="K1148" s="2">
        <v>1.273148148148148E-4</v>
      </c>
      <c r="L1148" s="11">
        <f t="shared" si="222"/>
        <v>67.833333333333329</v>
      </c>
      <c r="M1148" s="3">
        <f t="shared" si="229"/>
        <v>0.18333333333333332</v>
      </c>
      <c r="N1148" s="4">
        <f t="shared" si="230"/>
        <v>11</v>
      </c>
      <c r="O1148" s="2">
        <v>1.9907407407407408E-3</v>
      </c>
      <c r="P1148" s="9">
        <f t="shared" si="223"/>
        <v>1060.6666666666667</v>
      </c>
      <c r="Q1148" s="3">
        <f t="shared" si="231"/>
        <v>2.8666666666666667</v>
      </c>
      <c r="R1148" s="4">
        <f t="shared" si="232"/>
        <v>172</v>
      </c>
      <c r="S1148" s="3">
        <f t="shared" si="233"/>
        <v>320</v>
      </c>
      <c r="T1148" s="1">
        <v>0.86699999999999999</v>
      </c>
      <c r="U1148" s="6">
        <f t="shared" si="224"/>
        <v>320.79000000000002</v>
      </c>
    </row>
    <row r="1149" spans="1:21" x14ac:dyDescent="0.35">
      <c r="A1149">
        <v>1148</v>
      </c>
      <c r="B1149" s="5">
        <v>45344</v>
      </c>
      <c r="C1149" s="4">
        <f t="shared" si="225"/>
        <v>2024</v>
      </c>
      <c r="D1149" s="4">
        <f t="shared" si="226"/>
        <v>2</v>
      </c>
      <c r="E1149" s="14">
        <v>45344</v>
      </c>
      <c r="F1149" s="4">
        <f t="shared" si="227"/>
        <v>22</v>
      </c>
      <c r="G1149">
        <v>424</v>
      </c>
      <c r="H1149">
        <v>416</v>
      </c>
      <c r="I1149" s="13">
        <f t="shared" si="228"/>
        <v>0.98</v>
      </c>
      <c r="J1149">
        <f t="shared" si="221"/>
        <v>8</v>
      </c>
      <c r="K1149" s="2">
        <v>1.6203703703703703E-4</v>
      </c>
      <c r="L1149" s="11">
        <f t="shared" si="222"/>
        <v>97.066666666666663</v>
      </c>
      <c r="M1149" s="3">
        <f t="shared" si="229"/>
        <v>0.23333333333333334</v>
      </c>
      <c r="N1149" s="4">
        <f t="shared" si="230"/>
        <v>14</v>
      </c>
      <c r="O1149" s="2">
        <v>2.0138888888888888E-3</v>
      </c>
      <c r="P1149" s="9">
        <f t="shared" si="223"/>
        <v>1206.3999999999999</v>
      </c>
      <c r="Q1149" s="3">
        <f t="shared" si="231"/>
        <v>2.9</v>
      </c>
      <c r="R1149" s="4">
        <f t="shared" si="232"/>
        <v>174</v>
      </c>
      <c r="S1149" s="3">
        <f t="shared" si="233"/>
        <v>348</v>
      </c>
      <c r="T1149" s="1">
        <v>0.83889999999999998</v>
      </c>
      <c r="U1149" s="6">
        <f t="shared" si="224"/>
        <v>348.98239999999998</v>
      </c>
    </row>
    <row r="1150" spans="1:21" x14ac:dyDescent="0.35">
      <c r="A1150">
        <v>1149</v>
      </c>
      <c r="B1150" s="5">
        <v>45345</v>
      </c>
      <c r="C1150" s="4">
        <f t="shared" si="225"/>
        <v>2024</v>
      </c>
      <c r="D1150" s="4">
        <f t="shared" si="226"/>
        <v>2</v>
      </c>
      <c r="E1150" s="14">
        <v>45345</v>
      </c>
      <c r="F1150" s="4">
        <f t="shared" si="227"/>
        <v>23</v>
      </c>
      <c r="G1150">
        <v>356</v>
      </c>
      <c r="H1150">
        <v>353</v>
      </c>
      <c r="I1150" s="13">
        <f t="shared" si="228"/>
        <v>0.99</v>
      </c>
      <c r="J1150">
        <f t="shared" si="221"/>
        <v>3</v>
      </c>
      <c r="K1150" s="2">
        <v>5.7870370370370373E-5</v>
      </c>
      <c r="L1150" s="11">
        <f t="shared" si="222"/>
        <v>29.416666666666664</v>
      </c>
      <c r="M1150" s="3">
        <f t="shared" si="229"/>
        <v>8.3333333333333329E-2</v>
      </c>
      <c r="N1150" s="4">
        <f t="shared" si="230"/>
        <v>5</v>
      </c>
      <c r="O1150" s="2">
        <v>1.9444444444444444E-3</v>
      </c>
      <c r="P1150" s="9">
        <f t="shared" si="223"/>
        <v>988.4</v>
      </c>
      <c r="Q1150" s="3">
        <f t="shared" si="231"/>
        <v>2.8</v>
      </c>
      <c r="R1150" s="4">
        <f t="shared" si="232"/>
        <v>168</v>
      </c>
      <c r="S1150" s="3">
        <f t="shared" si="233"/>
        <v>343</v>
      </c>
      <c r="T1150" s="1">
        <v>0.97170000000000001</v>
      </c>
      <c r="U1150" s="6">
        <f t="shared" si="224"/>
        <v>343.01010000000002</v>
      </c>
    </row>
    <row r="1151" spans="1:21" x14ac:dyDescent="0.35">
      <c r="A1151">
        <v>1150</v>
      </c>
      <c r="B1151" s="5">
        <v>45346</v>
      </c>
      <c r="C1151" s="4">
        <f t="shared" si="225"/>
        <v>2024</v>
      </c>
      <c r="D1151" s="4">
        <f t="shared" si="226"/>
        <v>2</v>
      </c>
      <c r="E1151" s="14">
        <v>45346</v>
      </c>
      <c r="F1151" s="4">
        <f t="shared" si="227"/>
        <v>24</v>
      </c>
      <c r="G1151">
        <v>320</v>
      </c>
      <c r="H1151">
        <v>308</v>
      </c>
      <c r="I1151" s="13">
        <f t="shared" si="228"/>
        <v>0.96</v>
      </c>
      <c r="J1151">
        <f t="shared" si="221"/>
        <v>12</v>
      </c>
      <c r="K1151" s="2">
        <v>1.1574074074074075E-4</v>
      </c>
      <c r="L1151" s="11">
        <f t="shared" si="222"/>
        <v>51.333333333333329</v>
      </c>
      <c r="M1151" s="3">
        <f t="shared" si="229"/>
        <v>0.16666666666666666</v>
      </c>
      <c r="N1151" s="4">
        <f t="shared" si="230"/>
        <v>10</v>
      </c>
      <c r="O1151" s="2">
        <v>1.7708333333333332E-3</v>
      </c>
      <c r="P1151" s="9">
        <f t="shared" si="223"/>
        <v>785.4</v>
      </c>
      <c r="Q1151" s="3">
        <f t="shared" si="231"/>
        <v>2.5499999999999998</v>
      </c>
      <c r="R1151" s="4">
        <f t="shared" si="232"/>
        <v>153</v>
      </c>
      <c r="S1151" s="3">
        <f t="shared" si="233"/>
        <v>274</v>
      </c>
      <c r="T1151" s="1">
        <v>0.88990000000000002</v>
      </c>
      <c r="U1151" s="6">
        <f t="shared" si="224"/>
        <v>274.08920000000001</v>
      </c>
    </row>
    <row r="1152" spans="1:21" x14ac:dyDescent="0.35">
      <c r="A1152">
        <v>1151</v>
      </c>
      <c r="B1152" s="5">
        <v>45347</v>
      </c>
      <c r="C1152" s="4">
        <f t="shared" si="225"/>
        <v>2024</v>
      </c>
      <c r="D1152" s="4">
        <f t="shared" si="226"/>
        <v>2</v>
      </c>
      <c r="E1152" s="14">
        <v>45347</v>
      </c>
      <c r="F1152" s="4">
        <f t="shared" si="227"/>
        <v>25</v>
      </c>
      <c r="G1152">
        <v>351</v>
      </c>
      <c r="H1152">
        <v>341</v>
      </c>
      <c r="I1152" s="13">
        <f t="shared" si="228"/>
        <v>0.97</v>
      </c>
      <c r="J1152">
        <f t="shared" si="221"/>
        <v>10</v>
      </c>
      <c r="K1152" s="2">
        <v>1.273148148148148E-4</v>
      </c>
      <c r="L1152" s="11">
        <f t="shared" si="222"/>
        <v>62.516666666666666</v>
      </c>
      <c r="M1152" s="3">
        <f t="shared" si="229"/>
        <v>0.18333333333333332</v>
      </c>
      <c r="N1152" s="4">
        <f t="shared" si="230"/>
        <v>11</v>
      </c>
      <c r="O1152" s="2">
        <v>1.9675925925925924E-3</v>
      </c>
      <c r="P1152" s="9">
        <f t="shared" si="223"/>
        <v>966.16666666666674</v>
      </c>
      <c r="Q1152" s="3">
        <f t="shared" si="231"/>
        <v>2.8333333333333335</v>
      </c>
      <c r="R1152" s="4">
        <f t="shared" si="232"/>
        <v>170</v>
      </c>
      <c r="S1152" s="3">
        <f t="shared" si="233"/>
        <v>294</v>
      </c>
      <c r="T1152" s="1">
        <v>0.86250000000000004</v>
      </c>
      <c r="U1152" s="6">
        <f t="shared" si="224"/>
        <v>294.11250000000001</v>
      </c>
    </row>
    <row r="1153" spans="1:21" x14ac:dyDescent="0.35">
      <c r="A1153">
        <v>1152</v>
      </c>
      <c r="B1153" s="5">
        <v>45348</v>
      </c>
      <c r="C1153" s="4">
        <f t="shared" si="225"/>
        <v>2024</v>
      </c>
      <c r="D1153" s="4">
        <f t="shared" si="226"/>
        <v>2</v>
      </c>
      <c r="E1153" s="14">
        <v>45348</v>
      </c>
      <c r="F1153" s="4">
        <f t="shared" si="227"/>
        <v>26</v>
      </c>
      <c r="G1153">
        <v>85</v>
      </c>
      <c r="H1153">
        <v>83</v>
      </c>
      <c r="I1153" s="13">
        <f t="shared" si="228"/>
        <v>0.97</v>
      </c>
      <c r="J1153">
        <f t="shared" si="221"/>
        <v>2</v>
      </c>
      <c r="K1153" s="2">
        <v>1.5046296296296297E-4</v>
      </c>
      <c r="L1153" s="11">
        <f t="shared" si="222"/>
        <v>17.983333333333334</v>
      </c>
      <c r="M1153" s="3">
        <f t="shared" si="229"/>
        <v>0.21666666666666667</v>
      </c>
      <c r="N1153" s="4">
        <f t="shared" si="230"/>
        <v>13</v>
      </c>
      <c r="O1153" s="2">
        <v>1.9328703703703704E-3</v>
      </c>
      <c r="P1153" s="9">
        <f t="shared" si="223"/>
        <v>231.01666666666665</v>
      </c>
      <c r="Q1153" s="3">
        <f t="shared" si="231"/>
        <v>2.7833333333333332</v>
      </c>
      <c r="R1153" s="4">
        <f t="shared" si="232"/>
        <v>167</v>
      </c>
      <c r="S1153" s="3">
        <f t="shared" si="233"/>
        <v>71</v>
      </c>
      <c r="T1153" s="1">
        <v>0.85880000000000001</v>
      </c>
      <c r="U1153" s="6">
        <f t="shared" si="224"/>
        <v>71.2804</v>
      </c>
    </row>
    <row r="1154" spans="1:21" x14ac:dyDescent="0.35">
      <c r="A1154">
        <v>1153</v>
      </c>
      <c r="B1154" s="5">
        <v>45349</v>
      </c>
      <c r="C1154" s="4">
        <f t="shared" si="225"/>
        <v>2024</v>
      </c>
      <c r="D1154" s="4">
        <f t="shared" si="226"/>
        <v>2</v>
      </c>
      <c r="E1154" s="14">
        <v>45349</v>
      </c>
      <c r="F1154" s="4">
        <f t="shared" si="227"/>
        <v>27</v>
      </c>
      <c r="G1154">
        <v>44</v>
      </c>
      <c r="H1154">
        <v>43</v>
      </c>
      <c r="I1154" s="13">
        <f t="shared" si="228"/>
        <v>0.97</v>
      </c>
      <c r="J1154">
        <f t="shared" ref="J1154:J1217" si="234">G1154-H1154</f>
        <v>1</v>
      </c>
      <c r="K1154" s="2">
        <v>1.0416666666666667E-4</v>
      </c>
      <c r="L1154" s="11">
        <f t="shared" ref="L1154:L1217" si="235">H1154*M1154</f>
        <v>6.45</v>
      </c>
      <c r="M1154" s="3">
        <f t="shared" si="229"/>
        <v>0.15</v>
      </c>
      <c r="N1154" s="4">
        <f t="shared" si="230"/>
        <v>9</v>
      </c>
      <c r="O1154" s="2">
        <v>1.7708333333333332E-3</v>
      </c>
      <c r="P1154" s="9">
        <f t="shared" ref="P1154:P1217" si="236">Q1154*H1154</f>
        <v>109.64999999999999</v>
      </c>
      <c r="Q1154" s="3">
        <f t="shared" si="231"/>
        <v>2.5499999999999998</v>
      </c>
      <c r="R1154" s="4">
        <f t="shared" si="232"/>
        <v>153</v>
      </c>
      <c r="S1154" s="3">
        <f t="shared" si="233"/>
        <v>36</v>
      </c>
      <c r="T1154" s="1">
        <v>0.84089999999999998</v>
      </c>
      <c r="U1154" s="6">
        <f t="shared" ref="U1154:U1217" si="237">T1154*H1154</f>
        <v>36.158699999999996</v>
      </c>
    </row>
    <row r="1155" spans="1:21" x14ac:dyDescent="0.35">
      <c r="A1155">
        <v>1154</v>
      </c>
      <c r="B1155" s="5">
        <v>45350</v>
      </c>
      <c r="C1155" s="4">
        <f t="shared" ref="C1155:C1218" si="238">YEAR(B1155)</f>
        <v>2024</v>
      </c>
      <c r="D1155" s="4">
        <f t="shared" ref="D1155:D1218" si="239">MONTH(B1155)</f>
        <v>2</v>
      </c>
      <c r="E1155" s="14">
        <v>45350</v>
      </c>
      <c r="F1155" s="4">
        <f t="shared" ref="F1155:F1218" si="240">DAY(B1155)</f>
        <v>28</v>
      </c>
      <c r="G1155">
        <v>388</v>
      </c>
      <c r="H1155">
        <v>363</v>
      </c>
      <c r="I1155" s="13">
        <f t="shared" ref="I1155:I1218" si="241">TRUNC(H1155/G1155,2)</f>
        <v>0.93</v>
      </c>
      <c r="J1155">
        <f t="shared" si="234"/>
        <v>25</v>
      </c>
      <c r="K1155" s="2">
        <v>2.199074074074074E-4</v>
      </c>
      <c r="L1155" s="11">
        <f t="shared" si="235"/>
        <v>114.94999999999999</v>
      </c>
      <c r="M1155" s="3">
        <f t="shared" ref="M1155:M1218" si="242">MINUTE(K1155)+SECOND(K1155)/60</f>
        <v>0.31666666666666665</v>
      </c>
      <c r="N1155" s="4">
        <f t="shared" ref="N1155:N1218" si="243">M1155*60</f>
        <v>19</v>
      </c>
      <c r="O1155" s="2">
        <v>2.1527777777777778E-3</v>
      </c>
      <c r="P1155" s="9">
        <f t="shared" si="236"/>
        <v>1125.3</v>
      </c>
      <c r="Q1155" s="3">
        <f t="shared" ref="Q1155:Q1218" si="244">MINUTE(O1155)+SECOND(O1155)/60</f>
        <v>3.1</v>
      </c>
      <c r="R1155" s="4">
        <f t="shared" ref="R1155:R1218" si="245">Q1155*60</f>
        <v>186</v>
      </c>
      <c r="S1155" s="3">
        <f t="shared" ref="S1155:S1218" si="246">TRUNC(U1155,0)</f>
        <v>272</v>
      </c>
      <c r="T1155" s="1">
        <v>0.752</v>
      </c>
      <c r="U1155" s="6">
        <f t="shared" si="237"/>
        <v>272.976</v>
      </c>
    </row>
    <row r="1156" spans="1:21" x14ac:dyDescent="0.35">
      <c r="A1156">
        <v>1155</v>
      </c>
      <c r="B1156" s="5">
        <v>45351</v>
      </c>
      <c r="C1156" s="4">
        <f t="shared" si="238"/>
        <v>2024</v>
      </c>
      <c r="D1156" s="4">
        <f t="shared" si="239"/>
        <v>2</v>
      </c>
      <c r="E1156" s="14">
        <v>45351</v>
      </c>
      <c r="F1156" s="4">
        <f t="shared" si="240"/>
        <v>29</v>
      </c>
      <c r="G1156">
        <v>283</v>
      </c>
      <c r="H1156">
        <v>280</v>
      </c>
      <c r="I1156" s="13">
        <f t="shared" si="241"/>
        <v>0.98</v>
      </c>
      <c r="J1156">
        <f t="shared" si="234"/>
        <v>3</v>
      </c>
      <c r="K1156" s="2">
        <v>6.9444444444444444E-5</v>
      </c>
      <c r="L1156" s="11">
        <f t="shared" si="235"/>
        <v>28</v>
      </c>
      <c r="M1156" s="3">
        <f t="shared" si="242"/>
        <v>0.1</v>
      </c>
      <c r="N1156" s="4">
        <f t="shared" si="243"/>
        <v>6</v>
      </c>
      <c r="O1156" s="2">
        <v>2.1412037037037038E-3</v>
      </c>
      <c r="P1156" s="9">
        <f t="shared" si="236"/>
        <v>863.33333333333337</v>
      </c>
      <c r="Q1156" s="3">
        <f t="shared" si="244"/>
        <v>3.0833333333333335</v>
      </c>
      <c r="R1156" s="4">
        <f t="shared" si="245"/>
        <v>185</v>
      </c>
      <c r="S1156" s="3">
        <f t="shared" si="246"/>
        <v>268</v>
      </c>
      <c r="T1156" s="1">
        <v>0.95730000000000004</v>
      </c>
      <c r="U1156" s="6">
        <f t="shared" si="237"/>
        <v>268.04399999999998</v>
      </c>
    </row>
    <row r="1157" spans="1:21" x14ac:dyDescent="0.35">
      <c r="A1157">
        <v>1156</v>
      </c>
      <c r="B1157" s="5">
        <v>45352</v>
      </c>
      <c r="C1157" s="4">
        <f t="shared" si="238"/>
        <v>2024</v>
      </c>
      <c r="D1157" s="4">
        <f t="shared" si="239"/>
        <v>3</v>
      </c>
      <c r="E1157" s="14">
        <v>45352</v>
      </c>
      <c r="F1157" s="4">
        <f t="shared" si="240"/>
        <v>1</v>
      </c>
      <c r="G1157">
        <v>241</v>
      </c>
      <c r="H1157">
        <v>238</v>
      </c>
      <c r="I1157" s="13">
        <f t="shared" si="241"/>
        <v>0.98</v>
      </c>
      <c r="J1157">
        <f t="shared" si="234"/>
        <v>3</v>
      </c>
      <c r="K1157" s="2">
        <v>5.7870370370370373E-5</v>
      </c>
      <c r="L1157" s="11">
        <f t="shared" si="235"/>
        <v>19.833333333333332</v>
      </c>
      <c r="M1157" s="3">
        <f t="shared" si="242"/>
        <v>8.3333333333333329E-2</v>
      </c>
      <c r="N1157" s="4">
        <f t="shared" si="243"/>
        <v>5</v>
      </c>
      <c r="O1157" s="2">
        <v>2.0254629629629629E-3</v>
      </c>
      <c r="P1157" s="9">
        <f t="shared" si="236"/>
        <v>694.16666666666663</v>
      </c>
      <c r="Q1157" s="3">
        <f t="shared" si="244"/>
        <v>2.9166666666666665</v>
      </c>
      <c r="R1157" s="4">
        <f t="shared" si="245"/>
        <v>175</v>
      </c>
      <c r="S1157" s="3">
        <f t="shared" si="246"/>
        <v>230</v>
      </c>
      <c r="T1157" s="1">
        <v>0.9667</v>
      </c>
      <c r="U1157" s="6">
        <f t="shared" si="237"/>
        <v>230.0746</v>
      </c>
    </row>
    <row r="1158" spans="1:21" x14ac:dyDescent="0.35">
      <c r="A1158">
        <v>1157</v>
      </c>
      <c r="B1158" s="5">
        <v>45353</v>
      </c>
      <c r="C1158" s="4">
        <f t="shared" si="238"/>
        <v>2024</v>
      </c>
      <c r="D1158" s="4">
        <f t="shared" si="239"/>
        <v>3</v>
      </c>
      <c r="E1158" s="14">
        <v>45353</v>
      </c>
      <c r="F1158" s="4">
        <f t="shared" si="240"/>
        <v>2</v>
      </c>
      <c r="G1158">
        <v>280</v>
      </c>
      <c r="H1158">
        <v>273</v>
      </c>
      <c r="I1158" s="13">
        <f t="shared" si="241"/>
        <v>0.97</v>
      </c>
      <c r="J1158">
        <f t="shared" si="234"/>
        <v>7</v>
      </c>
      <c r="K1158" s="2">
        <v>1.0416666666666667E-4</v>
      </c>
      <c r="L1158" s="11">
        <f t="shared" si="235"/>
        <v>40.949999999999996</v>
      </c>
      <c r="M1158" s="3">
        <f t="shared" si="242"/>
        <v>0.15</v>
      </c>
      <c r="N1158" s="4">
        <f t="shared" si="243"/>
        <v>9</v>
      </c>
      <c r="O1158" s="2">
        <v>1.9212962962962964E-3</v>
      </c>
      <c r="P1158" s="9">
        <f t="shared" si="236"/>
        <v>755.3</v>
      </c>
      <c r="Q1158" s="3">
        <f t="shared" si="244"/>
        <v>2.7666666666666666</v>
      </c>
      <c r="R1158" s="4">
        <f t="shared" si="245"/>
        <v>166</v>
      </c>
      <c r="S1158" s="3">
        <f t="shared" si="246"/>
        <v>240</v>
      </c>
      <c r="T1158" s="1">
        <v>0.8821</v>
      </c>
      <c r="U1158" s="6">
        <f t="shared" si="237"/>
        <v>240.8133</v>
      </c>
    </row>
    <row r="1159" spans="1:21" x14ac:dyDescent="0.35">
      <c r="A1159">
        <v>1158</v>
      </c>
      <c r="B1159" s="5">
        <v>45354</v>
      </c>
      <c r="C1159" s="4">
        <f t="shared" si="238"/>
        <v>2024</v>
      </c>
      <c r="D1159" s="4">
        <f t="shared" si="239"/>
        <v>3</v>
      </c>
      <c r="E1159" s="14">
        <v>45354</v>
      </c>
      <c r="F1159" s="4">
        <f t="shared" si="240"/>
        <v>3</v>
      </c>
      <c r="G1159">
        <v>294</v>
      </c>
      <c r="H1159">
        <v>273</v>
      </c>
      <c r="I1159" s="13">
        <f t="shared" si="241"/>
        <v>0.92</v>
      </c>
      <c r="J1159">
        <f t="shared" si="234"/>
        <v>21</v>
      </c>
      <c r="K1159" s="2">
        <v>3.0092592592592595E-4</v>
      </c>
      <c r="L1159" s="11">
        <f t="shared" si="235"/>
        <v>118.3</v>
      </c>
      <c r="M1159" s="3">
        <f t="shared" si="242"/>
        <v>0.43333333333333335</v>
      </c>
      <c r="N1159" s="4">
        <f t="shared" si="243"/>
        <v>26</v>
      </c>
      <c r="O1159" s="2">
        <v>2.2685185185185187E-3</v>
      </c>
      <c r="P1159" s="9">
        <f t="shared" si="236"/>
        <v>891.8</v>
      </c>
      <c r="Q1159" s="3">
        <f t="shared" si="244"/>
        <v>3.2666666666666666</v>
      </c>
      <c r="R1159" s="4">
        <f t="shared" si="245"/>
        <v>196</v>
      </c>
      <c r="S1159" s="3">
        <f t="shared" si="246"/>
        <v>168</v>
      </c>
      <c r="T1159" s="1">
        <v>0.61770000000000003</v>
      </c>
      <c r="U1159" s="6">
        <f t="shared" si="237"/>
        <v>168.63210000000001</v>
      </c>
    </row>
    <row r="1160" spans="1:21" x14ac:dyDescent="0.35">
      <c r="A1160">
        <v>1159</v>
      </c>
      <c r="B1160" s="5">
        <v>45355</v>
      </c>
      <c r="C1160" s="4">
        <f t="shared" si="238"/>
        <v>2024</v>
      </c>
      <c r="D1160" s="4">
        <f t="shared" si="239"/>
        <v>3</v>
      </c>
      <c r="E1160" s="14">
        <v>45355</v>
      </c>
      <c r="F1160" s="4">
        <f t="shared" si="240"/>
        <v>4</v>
      </c>
      <c r="G1160">
        <v>290</v>
      </c>
      <c r="H1160">
        <v>246</v>
      </c>
      <c r="I1160" s="13">
        <f t="shared" si="241"/>
        <v>0.84</v>
      </c>
      <c r="J1160">
        <f t="shared" si="234"/>
        <v>44</v>
      </c>
      <c r="K1160" s="2">
        <v>3.1250000000000001E-4</v>
      </c>
      <c r="L1160" s="11">
        <f t="shared" si="235"/>
        <v>110.7</v>
      </c>
      <c r="M1160" s="3">
        <f t="shared" si="242"/>
        <v>0.45</v>
      </c>
      <c r="N1160" s="4">
        <f t="shared" si="243"/>
        <v>27</v>
      </c>
      <c r="O1160" s="2">
        <v>2.1296296296296298E-3</v>
      </c>
      <c r="P1160" s="9">
        <f t="shared" si="236"/>
        <v>754.40000000000009</v>
      </c>
      <c r="Q1160" s="3">
        <f t="shared" si="244"/>
        <v>3.0666666666666669</v>
      </c>
      <c r="R1160" s="4">
        <f t="shared" si="245"/>
        <v>184</v>
      </c>
      <c r="S1160" s="3">
        <f t="shared" si="246"/>
        <v>157</v>
      </c>
      <c r="T1160" s="1">
        <v>0.63859999999999995</v>
      </c>
      <c r="U1160" s="6">
        <f t="shared" si="237"/>
        <v>157.09559999999999</v>
      </c>
    </row>
    <row r="1161" spans="1:21" x14ac:dyDescent="0.35">
      <c r="A1161">
        <v>1160</v>
      </c>
      <c r="B1161" s="5">
        <v>45356</v>
      </c>
      <c r="C1161" s="4">
        <f t="shared" si="238"/>
        <v>2024</v>
      </c>
      <c r="D1161" s="4">
        <f t="shared" si="239"/>
        <v>3</v>
      </c>
      <c r="E1161" s="14">
        <v>45356</v>
      </c>
      <c r="F1161" s="4">
        <f t="shared" si="240"/>
        <v>5</v>
      </c>
      <c r="G1161">
        <v>32</v>
      </c>
      <c r="H1161">
        <v>32</v>
      </c>
      <c r="I1161" s="13">
        <f t="shared" si="241"/>
        <v>1</v>
      </c>
      <c r="J1161">
        <f t="shared" si="234"/>
        <v>0</v>
      </c>
      <c r="K1161" s="2">
        <v>6.9444444444444444E-5</v>
      </c>
      <c r="L1161" s="11">
        <f t="shared" si="235"/>
        <v>3.2</v>
      </c>
      <c r="M1161" s="3">
        <f t="shared" si="242"/>
        <v>0.1</v>
      </c>
      <c r="N1161" s="4">
        <f t="shared" si="243"/>
        <v>6</v>
      </c>
      <c r="O1161" s="2">
        <v>1.8865740740740742E-3</v>
      </c>
      <c r="P1161" s="9">
        <f t="shared" si="236"/>
        <v>86.933333333333337</v>
      </c>
      <c r="Q1161" s="3">
        <f t="shared" si="244"/>
        <v>2.7166666666666668</v>
      </c>
      <c r="R1161" s="4">
        <f t="shared" si="245"/>
        <v>163</v>
      </c>
      <c r="S1161" s="3">
        <f t="shared" si="246"/>
        <v>31</v>
      </c>
      <c r="T1161" s="1">
        <v>0.96879999999999999</v>
      </c>
      <c r="U1161" s="6">
        <f t="shared" si="237"/>
        <v>31.0016</v>
      </c>
    </row>
    <row r="1162" spans="1:21" x14ac:dyDescent="0.35">
      <c r="A1162">
        <v>1161</v>
      </c>
      <c r="B1162" s="5">
        <v>45357</v>
      </c>
      <c r="C1162" s="4">
        <f t="shared" si="238"/>
        <v>2024</v>
      </c>
      <c r="D1162" s="4">
        <f t="shared" si="239"/>
        <v>3</v>
      </c>
      <c r="E1162" s="14">
        <v>45357</v>
      </c>
      <c r="F1162" s="4">
        <f t="shared" si="240"/>
        <v>6</v>
      </c>
      <c r="G1162">
        <v>270</v>
      </c>
      <c r="H1162">
        <v>263</v>
      </c>
      <c r="I1162" s="13">
        <f t="shared" si="241"/>
        <v>0.97</v>
      </c>
      <c r="J1162">
        <f t="shared" si="234"/>
        <v>7</v>
      </c>
      <c r="K1162" s="2">
        <v>1.3888888888888889E-4</v>
      </c>
      <c r="L1162" s="11">
        <f t="shared" si="235"/>
        <v>52.6</v>
      </c>
      <c r="M1162" s="3">
        <f t="shared" si="242"/>
        <v>0.2</v>
      </c>
      <c r="N1162" s="4">
        <f t="shared" si="243"/>
        <v>12</v>
      </c>
      <c r="O1162" s="2">
        <v>1.9907407407407408E-3</v>
      </c>
      <c r="P1162" s="9">
        <f t="shared" si="236"/>
        <v>753.93333333333339</v>
      </c>
      <c r="Q1162" s="3">
        <f t="shared" si="244"/>
        <v>2.8666666666666667</v>
      </c>
      <c r="R1162" s="4">
        <f t="shared" si="245"/>
        <v>172</v>
      </c>
      <c r="S1162" s="3">
        <f t="shared" si="246"/>
        <v>224</v>
      </c>
      <c r="T1162" s="1">
        <v>0.85450000000000004</v>
      </c>
      <c r="U1162" s="6">
        <f t="shared" si="237"/>
        <v>224.73350000000002</v>
      </c>
    </row>
    <row r="1163" spans="1:21" x14ac:dyDescent="0.35">
      <c r="A1163">
        <v>1162</v>
      </c>
      <c r="B1163" s="5">
        <v>45358</v>
      </c>
      <c r="C1163" s="4">
        <f t="shared" si="238"/>
        <v>2024</v>
      </c>
      <c r="D1163" s="4">
        <f t="shared" si="239"/>
        <v>3</v>
      </c>
      <c r="E1163" s="14">
        <v>45358</v>
      </c>
      <c r="F1163" s="4">
        <f t="shared" si="240"/>
        <v>7</v>
      </c>
      <c r="G1163">
        <v>212</v>
      </c>
      <c r="H1163">
        <v>208</v>
      </c>
      <c r="I1163" s="13">
        <f t="shared" si="241"/>
        <v>0.98</v>
      </c>
      <c r="J1163">
        <f t="shared" si="234"/>
        <v>4</v>
      </c>
      <c r="K1163" s="2">
        <v>9.2592592592592588E-5</v>
      </c>
      <c r="L1163" s="11">
        <f t="shared" si="235"/>
        <v>27.733333333333334</v>
      </c>
      <c r="M1163" s="3">
        <f t="shared" si="242"/>
        <v>0.13333333333333333</v>
      </c>
      <c r="N1163" s="4">
        <f t="shared" si="243"/>
        <v>8</v>
      </c>
      <c r="O1163" s="2">
        <v>1.8865740740740742E-3</v>
      </c>
      <c r="P1163" s="9">
        <f t="shared" si="236"/>
        <v>565.06666666666672</v>
      </c>
      <c r="Q1163" s="3">
        <f t="shared" si="244"/>
        <v>2.7166666666666668</v>
      </c>
      <c r="R1163" s="4">
        <f t="shared" si="245"/>
        <v>163</v>
      </c>
      <c r="S1163" s="3">
        <f t="shared" si="246"/>
        <v>189</v>
      </c>
      <c r="T1163" s="1">
        <v>0.91</v>
      </c>
      <c r="U1163" s="6">
        <f t="shared" si="237"/>
        <v>189.28</v>
      </c>
    </row>
    <row r="1164" spans="1:21" x14ac:dyDescent="0.35">
      <c r="A1164">
        <v>1163</v>
      </c>
      <c r="B1164" s="5">
        <v>45359</v>
      </c>
      <c r="C1164" s="4">
        <f t="shared" si="238"/>
        <v>2024</v>
      </c>
      <c r="D1164" s="4">
        <f t="shared" si="239"/>
        <v>3</v>
      </c>
      <c r="E1164" s="14">
        <v>45359</v>
      </c>
      <c r="F1164" s="4">
        <f t="shared" si="240"/>
        <v>8</v>
      </c>
      <c r="G1164">
        <v>246</v>
      </c>
      <c r="H1164">
        <v>238</v>
      </c>
      <c r="I1164" s="13">
        <f t="shared" si="241"/>
        <v>0.96</v>
      </c>
      <c r="J1164">
        <f t="shared" si="234"/>
        <v>8</v>
      </c>
      <c r="K1164" s="2">
        <v>8.1018518518518516E-5</v>
      </c>
      <c r="L1164" s="11">
        <f t="shared" si="235"/>
        <v>27.766666666666666</v>
      </c>
      <c r="M1164" s="3">
        <f t="shared" si="242"/>
        <v>0.11666666666666667</v>
      </c>
      <c r="N1164" s="4">
        <f t="shared" si="243"/>
        <v>7</v>
      </c>
      <c r="O1164" s="2">
        <v>2.0023148148148148E-3</v>
      </c>
      <c r="P1164" s="9">
        <f t="shared" si="236"/>
        <v>686.23333333333335</v>
      </c>
      <c r="Q1164" s="3">
        <f t="shared" si="244"/>
        <v>2.8833333333333333</v>
      </c>
      <c r="R1164" s="4">
        <f t="shared" si="245"/>
        <v>173</v>
      </c>
      <c r="S1164" s="3">
        <f t="shared" si="246"/>
        <v>218</v>
      </c>
      <c r="T1164" s="1">
        <v>0.91839999999999999</v>
      </c>
      <c r="U1164" s="6">
        <f t="shared" si="237"/>
        <v>218.57919999999999</v>
      </c>
    </row>
    <row r="1165" spans="1:21" x14ac:dyDescent="0.35">
      <c r="A1165">
        <v>1164</v>
      </c>
      <c r="B1165" s="5">
        <v>45360</v>
      </c>
      <c r="C1165" s="4">
        <f t="shared" si="238"/>
        <v>2024</v>
      </c>
      <c r="D1165" s="4">
        <f t="shared" si="239"/>
        <v>3</v>
      </c>
      <c r="E1165" s="14">
        <v>45360</v>
      </c>
      <c r="F1165" s="4">
        <f t="shared" si="240"/>
        <v>9</v>
      </c>
      <c r="G1165">
        <v>194</v>
      </c>
      <c r="H1165">
        <v>190</v>
      </c>
      <c r="I1165" s="13">
        <f t="shared" si="241"/>
        <v>0.97</v>
      </c>
      <c r="J1165">
        <f t="shared" si="234"/>
        <v>4</v>
      </c>
      <c r="K1165" s="2">
        <v>9.2592592592592588E-5</v>
      </c>
      <c r="L1165" s="11">
        <f t="shared" si="235"/>
        <v>25.333333333333332</v>
      </c>
      <c r="M1165" s="3">
        <f t="shared" si="242"/>
        <v>0.13333333333333333</v>
      </c>
      <c r="N1165" s="4">
        <f t="shared" si="243"/>
        <v>8</v>
      </c>
      <c r="O1165" s="2">
        <v>1.8865740740740742E-3</v>
      </c>
      <c r="P1165" s="9">
        <f t="shared" si="236"/>
        <v>516.16666666666674</v>
      </c>
      <c r="Q1165" s="3">
        <f t="shared" si="244"/>
        <v>2.7166666666666668</v>
      </c>
      <c r="R1165" s="4">
        <f t="shared" si="245"/>
        <v>163</v>
      </c>
      <c r="S1165" s="3">
        <f t="shared" si="246"/>
        <v>176</v>
      </c>
      <c r="T1165" s="1">
        <v>0.92779999999999996</v>
      </c>
      <c r="U1165" s="6">
        <f t="shared" si="237"/>
        <v>176.28199999999998</v>
      </c>
    </row>
    <row r="1166" spans="1:21" x14ac:dyDescent="0.35">
      <c r="A1166">
        <v>1165</v>
      </c>
      <c r="B1166" s="5">
        <v>45361</v>
      </c>
      <c r="C1166" s="4">
        <f t="shared" si="238"/>
        <v>2024</v>
      </c>
      <c r="D1166" s="4">
        <f t="shared" si="239"/>
        <v>3</v>
      </c>
      <c r="E1166" s="14">
        <v>45361</v>
      </c>
      <c r="F1166" s="4">
        <f t="shared" si="240"/>
        <v>10</v>
      </c>
      <c r="G1166">
        <v>179</v>
      </c>
      <c r="H1166">
        <v>176</v>
      </c>
      <c r="I1166" s="13">
        <f t="shared" si="241"/>
        <v>0.98</v>
      </c>
      <c r="J1166">
        <f t="shared" si="234"/>
        <v>3</v>
      </c>
      <c r="K1166" s="2">
        <v>6.9444444444444444E-5</v>
      </c>
      <c r="L1166" s="11">
        <f t="shared" si="235"/>
        <v>17.600000000000001</v>
      </c>
      <c r="M1166" s="3">
        <f t="shared" si="242"/>
        <v>0.1</v>
      </c>
      <c r="N1166" s="4">
        <f t="shared" si="243"/>
        <v>6</v>
      </c>
      <c r="O1166" s="2">
        <v>1.8981481481481482E-3</v>
      </c>
      <c r="P1166" s="9">
        <f t="shared" si="236"/>
        <v>481.06666666666666</v>
      </c>
      <c r="Q1166" s="3">
        <f t="shared" si="244"/>
        <v>2.7333333333333334</v>
      </c>
      <c r="R1166" s="4">
        <f t="shared" si="245"/>
        <v>164</v>
      </c>
      <c r="S1166" s="3">
        <f t="shared" si="246"/>
        <v>169</v>
      </c>
      <c r="T1166" s="1">
        <v>0.96050000000000002</v>
      </c>
      <c r="U1166" s="6">
        <f t="shared" si="237"/>
        <v>169.048</v>
      </c>
    </row>
    <row r="1167" spans="1:21" x14ac:dyDescent="0.35">
      <c r="A1167">
        <v>1166</v>
      </c>
      <c r="B1167" s="5">
        <v>45362</v>
      </c>
      <c r="C1167" s="4">
        <f t="shared" si="238"/>
        <v>2024</v>
      </c>
      <c r="D1167" s="4">
        <f t="shared" si="239"/>
        <v>3</v>
      </c>
      <c r="E1167" s="14">
        <v>45362</v>
      </c>
      <c r="F1167" s="4">
        <f t="shared" si="240"/>
        <v>11</v>
      </c>
      <c r="G1167">
        <v>67</v>
      </c>
      <c r="H1167">
        <v>65</v>
      </c>
      <c r="I1167" s="13">
        <f t="shared" si="241"/>
        <v>0.97</v>
      </c>
      <c r="J1167">
        <f t="shared" si="234"/>
        <v>2</v>
      </c>
      <c r="K1167" s="2">
        <v>1.0416666666666667E-4</v>
      </c>
      <c r="L1167" s="11">
        <f t="shared" si="235"/>
        <v>9.75</v>
      </c>
      <c r="M1167" s="3">
        <f t="shared" si="242"/>
        <v>0.15</v>
      </c>
      <c r="N1167" s="4">
        <f t="shared" si="243"/>
        <v>9</v>
      </c>
      <c r="O1167" s="2">
        <v>1.8055555555555555E-3</v>
      </c>
      <c r="P1167" s="9">
        <f t="shared" si="236"/>
        <v>169</v>
      </c>
      <c r="Q1167" s="3">
        <f t="shared" si="244"/>
        <v>2.6</v>
      </c>
      <c r="R1167" s="4">
        <f t="shared" si="245"/>
        <v>156</v>
      </c>
      <c r="S1167" s="3">
        <f t="shared" si="246"/>
        <v>58</v>
      </c>
      <c r="T1167" s="1">
        <v>0.89549999999999996</v>
      </c>
      <c r="U1167" s="6">
        <f t="shared" si="237"/>
        <v>58.207499999999996</v>
      </c>
    </row>
    <row r="1168" spans="1:21" x14ac:dyDescent="0.35">
      <c r="A1168">
        <v>1167</v>
      </c>
      <c r="B1168" s="5">
        <v>45363</v>
      </c>
      <c r="C1168" s="4">
        <f t="shared" si="238"/>
        <v>2024</v>
      </c>
      <c r="D1168" s="4">
        <f t="shared" si="239"/>
        <v>3</v>
      </c>
      <c r="E1168" s="14">
        <v>45363</v>
      </c>
      <c r="F1168" s="4">
        <f t="shared" si="240"/>
        <v>12</v>
      </c>
      <c r="G1168">
        <v>27</v>
      </c>
      <c r="H1168">
        <v>27</v>
      </c>
      <c r="I1168" s="13">
        <f t="shared" si="241"/>
        <v>1</v>
      </c>
      <c r="J1168">
        <f t="shared" si="234"/>
        <v>0</v>
      </c>
      <c r="K1168" s="2">
        <v>1.0416666666666667E-4</v>
      </c>
      <c r="L1168" s="11">
        <f t="shared" si="235"/>
        <v>4.05</v>
      </c>
      <c r="M1168" s="3">
        <f t="shared" si="242"/>
        <v>0.15</v>
      </c>
      <c r="N1168" s="4">
        <f t="shared" si="243"/>
        <v>9</v>
      </c>
      <c r="O1168" s="2">
        <v>1.7013888888888888E-3</v>
      </c>
      <c r="P1168" s="9">
        <f t="shared" si="236"/>
        <v>66.150000000000006</v>
      </c>
      <c r="Q1168" s="3">
        <f t="shared" si="244"/>
        <v>2.4500000000000002</v>
      </c>
      <c r="R1168" s="4">
        <f t="shared" si="245"/>
        <v>147</v>
      </c>
      <c r="S1168" s="3">
        <f t="shared" si="246"/>
        <v>24</v>
      </c>
      <c r="T1168" s="1">
        <v>0.88890000000000002</v>
      </c>
      <c r="U1168" s="6">
        <f t="shared" si="237"/>
        <v>24.000299999999999</v>
      </c>
    </row>
    <row r="1169" spans="1:21" x14ac:dyDescent="0.35">
      <c r="A1169">
        <v>1168</v>
      </c>
      <c r="B1169" s="5">
        <v>45364</v>
      </c>
      <c r="C1169" s="4">
        <f t="shared" si="238"/>
        <v>2024</v>
      </c>
      <c r="D1169" s="4">
        <f t="shared" si="239"/>
        <v>3</v>
      </c>
      <c r="E1169" s="14">
        <v>45364</v>
      </c>
      <c r="F1169" s="4">
        <f t="shared" si="240"/>
        <v>13</v>
      </c>
      <c r="G1169">
        <v>190</v>
      </c>
      <c r="H1169">
        <v>183</v>
      </c>
      <c r="I1169" s="13">
        <f t="shared" si="241"/>
        <v>0.96</v>
      </c>
      <c r="J1169">
        <f t="shared" si="234"/>
        <v>7</v>
      </c>
      <c r="K1169" s="2">
        <v>1.0416666666666667E-4</v>
      </c>
      <c r="L1169" s="11">
        <f t="shared" si="235"/>
        <v>27.45</v>
      </c>
      <c r="M1169" s="3">
        <f t="shared" si="242"/>
        <v>0.15</v>
      </c>
      <c r="N1169" s="4">
        <f t="shared" si="243"/>
        <v>9</v>
      </c>
      <c r="O1169" s="2">
        <v>1.8287037037037037E-3</v>
      </c>
      <c r="P1169" s="9">
        <f t="shared" si="236"/>
        <v>481.9</v>
      </c>
      <c r="Q1169" s="3">
        <f t="shared" si="244"/>
        <v>2.6333333333333333</v>
      </c>
      <c r="R1169" s="4">
        <f t="shared" si="245"/>
        <v>158</v>
      </c>
      <c r="S1169" s="3">
        <f t="shared" si="246"/>
        <v>160</v>
      </c>
      <c r="T1169" s="1">
        <v>0.87829999999999997</v>
      </c>
      <c r="U1169" s="6">
        <f t="shared" si="237"/>
        <v>160.72889999999998</v>
      </c>
    </row>
    <row r="1170" spans="1:21" x14ac:dyDescent="0.35">
      <c r="A1170">
        <v>1169</v>
      </c>
      <c r="B1170" s="5">
        <v>45365</v>
      </c>
      <c r="C1170" s="4">
        <f t="shared" si="238"/>
        <v>2024</v>
      </c>
      <c r="D1170" s="4">
        <f t="shared" si="239"/>
        <v>3</v>
      </c>
      <c r="E1170" s="14">
        <v>45365</v>
      </c>
      <c r="F1170" s="4">
        <f t="shared" si="240"/>
        <v>14</v>
      </c>
      <c r="G1170">
        <v>213</v>
      </c>
      <c r="H1170">
        <v>205</v>
      </c>
      <c r="I1170" s="13">
        <f t="shared" si="241"/>
        <v>0.96</v>
      </c>
      <c r="J1170">
        <f t="shared" si="234"/>
        <v>8</v>
      </c>
      <c r="K1170" s="2">
        <v>1.1574074074074075E-4</v>
      </c>
      <c r="L1170" s="11">
        <f t="shared" si="235"/>
        <v>34.166666666666664</v>
      </c>
      <c r="M1170" s="3">
        <f t="shared" si="242"/>
        <v>0.16666666666666666</v>
      </c>
      <c r="N1170" s="4">
        <f t="shared" si="243"/>
        <v>10</v>
      </c>
      <c r="O1170" s="2">
        <v>1.8287037037037037E-3</v>
      </c>
      <c r="P1170" s="9">
        <f t="shared" si="236"/>
        <v>539.83333333333337</v>
      </c>
      <c r="Q1170" s="3">
        <f t="shared" si="244"/>
        <v>2.6333333333333333</v>
      </c>
      <c r="R1170" s="4">
        <f t="shared" si="245"/>
        <v>158</v>
      </c>
      <c r="S1170" s="3">
        <f t="shared" si="246"/>
        <v>180</v>
      </c>
      <c r="T1170" s="1">
        <v>0.88149999999999995</v>
      </c>
      <c r="U1170" s="6">
        <f t="shared" si="237"/>
        <v>180.70749999999998</v>
      </c>
    </row>
    <row r="1171" spans="1:21" x14ac:dyDescent="0.35">
      <c r="A1171">
        <v>1170</v>
      </c>
      <c r="B1171" s="5">
        <v>45366</v>
      </c>
      <c r="C1171" s="4">
        <f t="shared" si="238"/>
        <v>2024</v>
      </c>
      <c r="D1171" s="4">
        <f t="shared" si="239"/>
        <v>3</v>
      </c>
      <c r="E1171" s="14">
        <v>45366</v>
      </c>
      <c r="F1171" s="4">
        <f t="shared" si="240"/>
        <v>15</v>
      </c>
      <c r="G1171">
        <v>208</v>
      </c>
      <c r="H1171">
        <v>205</v>
      </c>
      <c r="I1171" s="13">
        <f t="shared" si="241"/>
        <v>0.98</v>
      </c>
      <c r="J1171">
        <f t="shared" si="234"/>
        <v>3</v>
      </c>
      <c r="K1171" s="2">
        <v>4.6296296296296294E-5</v>
      </c>
      <c r="L1171" s="11">
        <f t="shared" si="235"/>
        <v>13.666666666666666</v>
      </c>
      <c r="M1171" s="3">
        <f t="shared" si="242"/>
        <v>6.6666666666666666E-2</v>
      </c>
      <c r="N1171" s="4">
        <f t="shared" si="243"/>
        <v>4</v>
      </c>
      <c r="O1171" s="2">
        <v>1.8055555555555555E-3</v>
      </c>
      <c r="P1171" s="9">
        <f t="shared" si="236"/>
        <v>533</v>
      </c>
      <c r="Q1171" s="3">
        <f t="shared" si="244"/>
        <v>2.6</v>
      </c>
      <c r="R1171" s="4">
        <f t="shared" si="245"/>
        <v>156</v>
      </c>
      <c r="S1171" s="3">
        <f t="shared" si="246"/>
        <v>199</v>
      </c>
      <c r="T1171" s="1">
        <v>0.97089999999999999</v>
      </c>
      <c r="U1171" s="6">
        <f t="shared" si="237"/>
        <v>199.03450000000001</v>
      </c>
    </row>
    <row r="1172" spans="1:21" x14ac:dyDescent="0.35">
      <c r="A1172">
        <v>1171</v>
      </c>
      <c r="B1172" s="5">
        <v>45367</v>
      </c>
      <c r="C1172" s="4">
        <f t="shared" si="238"/>
        <v>2024</v>
      </c>
      <c r="D1172" s="4">
        <f t="shared" si="239"/>
        <v>3</v>
      </c>
      <c r="E1172" s="14">
        <v>45367</v>
      </c>
      <c r="F1172" s="4">
        <f t="shared" si="240"/>
        <v>16</v>
      </c>
      <c r="G1172">
        <v>166</v>
      </c>
      <c r="H1172">
        <v>165</v>
      </c>
      <c r="I1172" s="13">
        <f t="shared" si="241"/>
        <v>0.99</v>
      </c>
      <c r="J1172">
        <f t="shared" si="234"/>
        <v>1</v>
      </c>
      <c r="K1172" s="2">
        <v>9.2592592592592588E-5</v>
      </c>
      <c r="L1172" s="11">
        <f t="shared" si="235"/>
        <v>22</v>
      </c>
      <c r="M1172" s="3">
        <f t="shared" si="242"/>
        <v>0.13333333333333333</v>
      </c>
      <c r="N1172" s="4">
        <f t="shared" si="243"/>
        <v>8</v>
      </c>
      <c r="O1172" s="2">
        <v>1.8634259259259259E-3</v>
      </c>
      <c r="P1172" s="9">
        <f t="shared" si="236"/>
        <v>442.75000000000006</v>
      </c>
      <c r="Q1172" s="3">
        <f t="shared" si="244"/>
        <v>2.6833333333333336</v>
      </c>
      <c r="R1172" s="4">
        <f t="shared" si="245"/>
        <v>161</v>
      </c>
      <c r="S1172" s="3">
        <f t="shared" si="246"/>
        <v>153</v>
      </c>
      <c r="T1172" s="1">
        <v>0.92769999999999997</v>
      </c>
      <c r="U1172" s="6">
        <f t="shared" si="237"/>
        <v>153.07049999999998</v>
      </c>
    </row>
    <row r="1173" spans="1:21" x14ac:dyDescent="0.35">
      <c r="A1173">
        <v>1172</v>
      </c>
      <c r="B1173" s="5">
        <v>45368</v>
      </c>
      <c r="C1173" s="4">
        <f t="shared" si="238"/>
        <v>2024</v>
      </c>
      <c r="D1173" s="4">
        <f t="shared" si="239"/>
        <v>3</v>
      </c>
      <c r="E1173" s="14">
        <v>45368</v>
      </c>
      <c r="F1173" s="4">
        <f t="shared" si="240"/>
        <v>17</v>
      </c>
      <c r="G1173">
        <v>169</v>
      </c>
      <c r="H1173">
        <v>161</v>
      </c>
      <c r="I1173" s="13">
        <f t="shared" si="241"/>
        <v>0.95</v>
      </c>
      <c r="J1173">
        <f t="shared" si="234"/>
        <v>8</v>
      </c>
      <c r="K1173" s="2">
        <v>2.0833333333333335E-4</v>
      </c>
      <c r="L1173" s="11">
        <f t="shared" si="235"/>
        <v>48.3</v>
      </c>
      <c r="M1173" s="3">
        <f t="shared" si="242"/>
        <v>0.3</v>
      </c>
      <c r="N1173" s="4">
        <f t="shared" si="243"/>
        <v>18</v>
      </c>
      <c r="O1173" s="2">
        <v>1.9907407407407408E-3</v>
      </c>
      <c r="P1173" s="9">
        <f t="shared" si="236"/>
        <v>461.53333333333336</v>
      </c>
      <c r="Q1173" s="3">
        <f t="shared" si="244"/>
        <v>2.8666666666666667</v>
      </c>
      <c r="R1173" s="4">
        <f t="shared" si="245"/>
        <v>172</v>
      </c>
      <c r="S1173" s="3">
        <f t="shared" si="246"/>
        <v>119</v>
      </c>
      <c r="T1173" s="1">
        <v>0.73960000000000004</v>
      </c>
      <c r="U1173" s="6">
        <f t="shared" si="237"/>
        <v>119.07560000000001</v>
      </c>
    </row>
    <row r="1174" spans="1:21" x14ac:dyDescent="0.35">
      <c r="A1174">
        <v>1173</v>
      </c>
      <c r="B1174" s="5">
        <v>45369</v>
      </c>
      <c r="C1174" s="4">
        <f t="shared" si="238"/>
        <v>2024</v>
      </c>
      <c r="D1174" s="4">
        <f t="shared" si="239"/>
        <v>3</v>
      </c>
      <c r="E1174" s="14">
        <v>45369</v>
      </c>
      <c r="F1174" s="4">
        <f t="shared" si="240"/>
        <v>18</v>
      </c>
      <c r="G1174">
        <v>175</v>
      </c>
      <c r="H1174">
        <v>167</v>
      </c>
      <c r="I1174" s="13">
        <f t="shared" si="241"/>
        <v>0.95</v>
      </c>
      <c r="J1174">
        <f t="shared" si="234"/>
        <v>8</v>
      </c>
      <c r="K1174" s="2">
        <v>1.1574074074074075E-4</v>
      </c>
      <c r="L1174" s="11">
        <f t="shared" si="235"/>
        <v>27.833333333333332</v>
      </c>
      <c r="M1174" s="3">
        <f t="shared" si="242"/>
        <v>0.16666666666666666</v>
      </c>
      <c r="N1174" s="4">
        <f t="shared" si="243"/>
        <v>10</v>
      </c>
      <c r="O1174" s="2">
        <v>1.724537037037037E-3</v>
      </c>
      <c r="P1174" s="9">
        <f t="shared" si="236"/>
        <v>414.7166666666667</v>
      </c>
      <c r="Q1174" s="3">
        <f t="shared" si="244"/>
        <v>2.4833333333333334</v>
      </c>
      <c r="R1174" s="4">
        <f t="shared" si="245"/>
        <v>149</v>
      </c>
      <c r="S1174" s="3">
        <f t="shared" si="246"/>
        <v>144</v>
      </c>
      <c r="T1174" s="1">
        <v>0.8629</v>
      </c>
      <c r="U1174" s="6">
        <f t="shared" si="237"/>
        <v>144.10429999999999</v>
      </c>
    </row>
    <row r="1175" spans="1:21" x14ac:dyDescent="0.35">
      <c r="A1175">
        <v>1174</v>
      </c>
      <c r="B1175" s="5">
        <v>45370</v>
      </c>
      <c r="C1175" s="4">
        <f t="shared" si="238"/>
        <v>2024</v>
      </c>
      <c r="D1175" s="4">
        <f t="shared" si="239"/>
        <v>3</v>
      </c>
      <c r="E1175" s="14">
        <v>45370</v>
      </c>
      <c r="F1175" s="4">
        <f t="shared" si="240"/>
        <v>19</v>
      </c>
      <c r="G1175">
        <v>43</v>
      </c>
      <c r="H1175">
        <v>43</v>
      </c>
      <c r="I1175" s="13">
        <f t="shared" si="241"/>
        <v>1</v>
      </c>
      <c r="J1175">
        <f t="shared" si="234"/>
        <v>0</v>
      </c>
      <c r="K1175" s="2">
        <v>4.6296296296296294E-5</v>
      </c>
      <c r="L1175" s="11">
        <f t="shared" si="235"/>
        <v>2.8666666666666667</v>
      </c>
      <c r="M1175" s="3">
        <f t="shared" si="242"/>
        <v>6.6666666666666666E-2</v>
      </c>
      <c r="N1175" s="4">
        <f t="shared" si="243"/>
        <v>4</v>
      </c>
      <c r="O1175" s="2">
        <v>1.8749999999999999E-3</v>
      </c>
      <c r="P1175" s="9">
        <f t="shared" si="236"/>
        <v>116.10000000000001</v>
      </c>
      <c r="Q1175" s="3">
        <f t="shared" si="244"/>
        <v>2.7</v>
      </c>
      <c r="R1175" s="4">
        <f t="shared" si="245"/>
        <v>162</v>
      </c>
      <c r="S1175" s="3">
        <f t="shared" si="246"/>
        <v>43</v>
      </c>
      <c r="T1175" s="1">
        <v>1</v>
      </c>
      <c r="U1175" s="6">
        <f t="shared" si="237"/>
        <v>43</v>
      </c>
    </row>
    <row r="1176" spans="1:21" x14ac:dyDescent="0.35">
      <c r="A1176">
        <v>1175</v>
      </c>
      <c r="B1176" s="5">
        <v>45371</v>
      </c>
      <c r="C1176" s="4">
        <f t="shared" si="238"/>
        <v>2024</v>
      </c>
      <c r="D1176" s="4">
        <f t="shared" si="239"/>
        <v>3</v>
      </c>
      <c r="E1176" s="14">
        <v>45371</v>
      </c>
      <c r="F1176" s="4">
        <f t="shared" si="240"/>
        <v>20</v>
      </c>
      <c r="G1176">
        <v>24</v>
      </c>
      <c r="H1176">
        <v>24</v>
      </c>
      <c r="I1176" s="13">
        <f t="shared" si="241"/>
        <v>1</v>
      </c>
      <c r="J1176">
        <f t="shared" si="234"/>
        <v>0</v>
      </c>
      <c r="K1176" s="2">
        <v>3.4722222222222222E-5</v>
      </c>
      <c r="L1176" s="11">
        <f t="shared" si="235"/>
        <v>1.2000000000000002</v>
      </c>
      <c r="M1176" s="3">
        <f t="shared" si="242"/>
        <v>0.05</v>
      </c>
      <c r="N1176" s="4">
        <f t="shared" si="243"/>
        <v>3</v>
      </c>
      <c r="O1176" s="2">
        <v>1.9212962962962964E-3</v>
      </c>
      <c r="P1176" s="9">
        <f t="shared" si="236"/>
        <v>66.400000000000006</v>
      </c>
      <c r="Q1176" s="3">
        <f t="shared" si="244"/>
        <v>2.7666666666666666</v>
      </c>
      <c r="R1176" s="4">
        <f t="shared" si="245"/>
        <v>166</v>
      </c>
      <c r="S1176" s="3">
        <f t="shared" si="246"/>
        <v>24</v>
      </c>
      <c r="T1176" s="1">
        <v>1</v>
      </c>
      <c r="U1176" s="6">
        <f t="shared" si="237"/>
        <v>24</v>
      </c>
    </row>
    <row r="1177" spans="1:21" x14ac:dyDescent="0.35">
      <c r="A1177">
        <v>1176</v>
      </c>
      <c r="B1177" s="5">
        <v>45372</v>
      </c>
      <c r="C1177" s="4">
        <f t="shared" si="238"/>
        <v>2024</v>
      </c>
      <c r="D1177" s="4">
        <f t="shared" si="239"/>
        <v>3</v>
      </c>
      <c r="E1177" s="14">
        <v>45372</v>
      </c>
      <c r="F1177" s="4">
        <f t="shared" si="240"/>
        <v>21</v>
      </c>
      <c r="G1177">
        <v>26</v>
      </c>
      <c r="H1177">
        <v>26</v>
      </c>
      <c r="I1177" s="13">
        <f t="shared" si="241"/>
        <v>1</v>
      </c>
      <c r="J1177">
        <f t="shared" si="234"/>
        <v>0</v>
      </c>
      <c r="K1177" s="2">
        <v>5.7870370370370373E-5</v>
      </c>
      <c r="L1177" s="11">
        <f t="shared" si="235"/>
        <v>2.1666666666666665</v>
      </c>
      <c r="M1177" s="3">
        <f t="shared" si="242"/>
        <v>8.3333333333333329E-2</v>
      </c>
      <c r="N1177" s="4">
        <f t="shared" si="243"/>
        <v>5</v>
      </c>
      <c r="O1177" s="2">
        <v>1.9907407407407408E-3</v>
      </c>
      <c r="P1177" s="9">
        <f t="shared" si="236"/>
        <v>74.533333333333331</v>
      </c>
      <c r="Q1177" s="3">
        <f t="shared" si="244"/>
        <v>2.8666666666666667</v>
      </c>
      <c r="R1177" s="4">
        <f t="shared" si="245"/>
        <v>172</v>
      </c>
      <c r="S1177" s="3">
        <f t="shared" si="246"/>
        <v>24</v>
      </c>
      <c r="T1177" s="1">
        <v>0.92310000000000003</v>
      </c>
      <c r="U1177" s="6">
        <f t="shared" si="237"/>
        <v>24.000600000000002</v>
      </c>
    </row>
    <row r="1178" spans="1:21" x14ac:dyDescent="0.35">
      <c r="A1178">
        <v>1177</v>
      </c>
      <c r="B1178" s="5">
        <v>45373</v>
      </c>
      <c r="C1178" s="4">
        <f t="shared" si="238"/>
        <v>2024</v>
      </c>
      <c r="D1178" s="4">
        <f t="shared" si="239"/>
        <v>3</v>
      </c>
      <c r="E1178" s="14">
        <v>45373</v>
      </c>
      <c r="F1178" s="4">
        <f t="shared" si="240"/>
        <v>22</v>
      </c>
      <c r="G1178">
        <v>42</v>
      </c>
      <c r="H1178">
        <v>41</v>
      </c>
      <c r="I1178" s="13">
        <f t="shared" si="241"/>
        <v>0.97</v>
      </c>
      <c r="J1178">
        <f t="shared" si="234"/>
        <v>1</v>
      </c>
      <c r="K1178" s="2">
        <v>3.4722222222222222E-5</v>
      </c>
      <c r="L1178" s="11">
        <f t="shared" si="235"/>
        <v>2.0500000000000003</v>
      </c>
      <c r="M1178" s="3">
        <f t="shared" si="242"/>
        <v>0.05</v>
      </c>
      <c r="N1178" s="4">
        <f t="shared" si="243"/>
        <v>3</v>
      </c>
      <c r="O1178" s="2">
        <v>1.8634259259259259E-3</v>
      </c>
      <c r="P1178" s="9">
        <f t="shared" si="236"/>
        <v>110.01666666666668</v>
      </c>
      <c r="Q1178" s="3">
        <f t="shared" si="244"/>
        <v>2.6833333333333336</v>
      </c>
      <c r="R1178" s="4">
        <f t="shared" si="245"/>
        <v>161</v>
      </c>
      <c r="S1178" s="3">
        <f t="shared" si="246"/>
        <v>41</v>
      </c>
      <c r="T1178" s="1">
        <v>1</v>
      </c>
      <c r="U1178" s="6">
        <f t="shared" si="237"/>
        <v>41</v>
      </c>
    </row>
    <row r="1179" spans="1:21" x14ac:dyDescent="0.35">
      <c r="A1179">
        <v>1178</v>
      </c>
      <c r="B1179" s="5">
        <v>45374</v>
      </c>
      <c r="C1179" s="4">
        <f t="shared" si="238"/>
        <v>2024</v>
      </c>
      <c r="D1179" s="4">
        <f t="shared" si="239"/>
        <v>3</v>
      </c>
      <c r="E1179" s="14">
        <v>45374</v>
      </c>
      <c r="F1179" s="4">
        <f t="shared" si="240"/>
        <v>23</v>
      </c>
      <c r="G1179">
        <v>37</v>
      </c>
      <c r="H1179">
        <v>36</v>
      </c>
      <c r="I1179" s="13">
        <f t="shared" si="241"/>
        <v>0.97</v>
      </c>
      <c r="J1179">
        <f t="shared" si="234"/>
        <v>1</v>
      </c>
      <c r="K1179" s="2">
        <v>5.7870370370370373E-5</v>
      </c>
      <c r="L1179" s="11">
        <f t="shared" si="235"/>
        <v>3</v>
      </c>
      <c r="M1179" s="3">
        <f t="shared" si="242"/>
        <v>8.3333333333333329E-2</v>
      </c>
      <c r="N1179" s="4">
        <f t="shared" si="243"/>
        <v>5</v>
      </c>
      <c r="O1179" s="2">
        <v>1.6666666666666668E-3</v>
      </c>
      <c r="P1179" s="9">
        <f t="shared" si="236"/>
        <v>86.399999999999991</v>
      </c>
      <c r="Q1179" s="3">
        <f t="shared" si="244"/>
        <v>2.4</v>
      </c>
      <c r="R1179" s="4">
        <f t="shared" si="245"/>
        <v>144</v>
      </c>
      <c r="S1179" s="3">
        <f t="shared" si="246"/>
        <v>34</v>
      </c>
      <c r="T1179" s="1">
        <v>0.94589999999999996</v>
      </c>
      <c r="U1179" s="6">
        <f t="shared" si="237"/>
        <v>34.052399999999999</v>
      </c>
    </row>
    <row r="1180" spans="1:21" x14ac:dyDescent="0.35">
      <c r="A1180">
        <v>1179</v>
      </c>
      <c r="B1180" s="5">
        <v>45375</v>
      </c>
      <c r="C1180" s="4">
        <f t="shared" si="238"/>
        <v>2024</v>
      </c>
      <c r="D1180" s="4">
        <f t="shared" si="239"/>
        <v>3</v>
      </c>
      <c r="E1180" s="14">
        <v>45375</v>
      </c>
      <c r="F1180" s="4">
        <f t="shared" si="240"/>
        <v>24</v>
      </c>
      <c r="G1180">
        <v>60</v>
      </c>
      <c r="H1180">
        <v>60</v>
      </c>
      <c r="I1180" s="13">
        <f t="shared" si="241"/>
        <v>1</v>
      </c>
      <c r="J1180">
        <f t="shared" si="234"/>
        <v>0</v>
      </c>
      <c r="K1180" s="2">
        <v>5.7870370370370373E-5</v>
      </c>
      <c r="L1180" s="11">
        <f t="shared" si="235"/>
        <v>5</v>
      </c>
      <c r="M1180" s="3">
        <f t="shared" si="242"/>
        <v>8.3333333333333329E-2</v>
      </c>
      <c r="N1180" s="4">
        <f t="shared" si="243"/>
        <v>5</v>
      </c>
      <c r="O1180" s="2">
        <v>2.1643518518518518E-3</v>
      </c>
      <c r="P1180" s="9">
        <f t="shared" si="236"/>
        <v>187</v>
      </c>
      <c r="Q1180" s="3">
        <f t="shared" si="244"/>
        <v>3.1166666666666667</v>
      </c>
      <c r="R1180" s="4">
        <f t="shared" si="245"/>
        <v>187</v>
      </c>
      <c r="S1180" s="3">
        <f t="shared" si="246"/>
        <v>58</v>
      </c>
      <c r="T1180" s="1">
        <v>0.9667</v>
      </c>
      <c r="U1180" s="6">
        <f t="shared" si="237"/>
        <v>58.002000000000002</v>
      </c>
    </row>
    <row r="1181" spans="1:21" x14ac:dyDescent="0.35">
      <c r="A1181">
        <v>1180</v>
      </c>
      <c r="B1181" s="5">
        <v>45376</v>
      </c>
      <c r="C1181" s="4">
        <f t="shared" si="238"/>
        <v>2024</v>
      </c>
      <c r="D1181" s="4">
        <f t="shared" si="239"/>
        <v>3</v>
      </c>
      <c r="E1181" s="14">
        <v>45376</v>
      </c>
      <c r="F1181" s="4">
        <f t="shared" si="240"/>
        <v>25</v>
      </c>
      <c r="G1181">
        <v>82</v>
      </c>
      <c r="H1181">
        <v>81</v>
      </c>
      <c r="I1181" s="13">
        <f t="shared" si="241"/>
        <v>0.98</v>
      </c>
      <c r="J1181">
        <f t="shared" si="234"/>
        <v>1</v>
      </c>
      <c r="K1181" s="2">
        <v>3.4722222222222222E-5</v>
      </c>
      <c r="L1181" s="11">
        <f t="shared" si="235"/>
        <v>4.05</v>
      </c>
      <c r="M1181" s="3">
        <f t="shared" si="242"/>
        <v>0.05</v>
      </c>
      <c r="N1181" s="4">
        <f t="shared" si="243"/>
        <v>3</v>
      </c>
      <c r="O1181" s="2">
        <v>1.6666666666666668E-3</v>
      </c>
      <c r="P1181" s="9">
        <f t="shared" si="236"/>
        <v>194.4</v>
      </c>
      <c r="Q1181" s="3">
        <f t="shared" si="244"/>
        <v>2.4</v>
      </c>
      <c r="R1181" s="4">
        <f t="shared" si="245"/>
        <v>144</v>
      </c>
      <c r="S1181" s="3">
        <f t="shared" si="246"/>
        <v>79</v>
      </c>
      <c r="T1181" s="1">
        <v>0.97560000000000002</v>
      </c>
      <c r="U1181" s="6">
        <f t="shared" si="237"/>
        <v>79.023600000000002</v>
      </c>
    </row>
    <row r="1182" spans="1:21" x14ac:dyDescent="0.35">
      <c r="A1182">
        <v>1181</v>
      </c>
      <c r="B1182" s="5">
        <v>45377</v>
      </c>
      <c r="C1182" s="4">
        <f t="shared" si="238"/>
        <v>2024</v>
      </c>
      <c r="D1182" s="4">
        <f t="shared" si="239"/>
        <v>3</v>
      </c>
      <c r="E1182" s="14">
        <v>45377</v>
      </c>
      <c r="F1182" s="4">
        <f t="shared" si="240"/>
        <v>26</v>
      </c>
      <c r="G1182">
        <v>31</v>
      </c>
      <c r="H1182">
        <v>31</v>
      </c>
      <c r="I1182" s="13">
        <f t="shared" si="241"/>
        <v>1</v>
      </c>
      <c r="J1182">
        <f t="shared" si="234"/>
        <v>0</v>
      </c>
      <c r="K1182" s="2">
        <v>6.9444444444444444E-5</v>
      </c>
      <c r="L1182" s="11">
        <f t="shared" si="235"/>
        <v>3.1</v>
      </c>
      <c r="M1182" s="3">
        <f t="shared" si="242"/>
        <v>0.1</v>
      </c>
      <c r="N1182" s="4">
        <f t="shared" si="243"/>
        <v>6</v>
      </c>
      <c r="O1182" s="2">
        <v>1.6203703703703703E-3</v>
      </c>
      <c r="P1182" s="9">
        <f t="shared" si="236"/>
        <v>72.333333333333343</v>
      </c>
      <c r="Q1182" s="3">
        <f t="shared" si="244"/>
        <v>2.3333333333333335</v>
      </c>
      <c r="R1182" s="4">
        <f t="shared" si="245"/>
        <v>140</v>
      </c>
      <c r="S1182" s="3">
        <f t="shared" si="246"/>
        <v>29</v>
      </c>
      <c r="T1182" s="1">
        <v>0.9355</v>
      </c>
      <c r="U1182" s="6">
        <f t="shared" si="237"/>
        <v>29.000499999999999</v>
      </c>
    </row>
    <row r="1183" spans="1:21" x14ac:dyDescent="0.35">
      <c r="A1183">
        <v>1182</v>
      </c>
      <c r="B1183" s="5">
        <v>45378</v>
      </c>
      <c r="C1183" s="4">
        <f t="shared" si="238"/>
        <v>2024</v>
      </c>
      <c r="D1183" s="4">
        <f t="shared" si="239"/>
        <v>3</v>
      </c>
      <c r="E1183" s="14">
        <v>45378</v>
      </c>
      <c r="F1183" s="4">
        <f t="shared" si="240"/>
        <v>27</v>
      </c>
      <c r="G1183">
        <v>178</v>
      </c>
      <c r="H1183">
        <v>171</v>
      </c>
      <c r="I1183" s="13">
        <f t="shared" si="241"/>
        <v>0.96</v>
      </c>
      <c r="J1183">
        <f t="shared" si="234"/>
        <v>7</v>
      </c>
      <c r="K1183" s="2">
        <v>1.8518518518518518E-4</v>
      </c>
      <c r="L1183" s="11">
        <f t="shared" si="235"/>
        <v>45.6</v>
      </c>
      <c r="M1183" s="3">
        <f t="shared" si="242"/>
        <v>0.26666666666666666</v>
      </c>
      <c r="N1183" s="4">
        <f t="shared" si="243"/>
        <v>16</v>
      </c>
      <c r="O1183" s="2">
        <v>1.8865740740740742E-3</v>
      </c>
      <c r="P1183" s="9">
        <f t="shared" si="236"/>
        <v>464.55</v>
      </c>
      <c r="Q1183" s="3">
        <f t="shared" si="244"/>
        <v>2.7166666666666668</v>
      </c>
      <c r="R1183" s="4">
        <f t="shared" si="245"/>
        <v>163</v>
      </c>
      <c r="S1183" s="3">
        <f t="shared" si="246"/>
        <v>130</v>
      </c>
      <c r="T1183" s="1">
        <v>0.76139999999999997</v>
      </c>
      <c r="U1183" s="6">
        <f t="shared" si="237"/>
        <v>130.1994</v>
      </c>
    </row>
    <row r="1184" spans="1:21" x14ac:dyDescent="0.35">
      <c r="A1184">
        <v>1183</v>
      </c>
      <c r="B1184" s="5">
        <v>45379</v>
      </c>
      <c r="C1184" s="4">
        <f t="shared" si="238"/>
        <v>2024</v>
      </c>
      <c r="D1184" s="4">
        <f t="shared" si="239"/>
        <v>3</v>
      </c>
      <c r="E1184" s="14">
        <v>45379</v>
      </c>
      <c r="F1184" s="4">
        <f t="shared" si="240"/>
        <v>28</v>
      </c>
      <c r="G1184">
        <v>183</v>
      </c>
      <c r="H1184">
        <v>175</v>
      </c>
      <c r="I1184" s="13">
        <f t="shared" si="241"/>
        <v>0.95</v>
      </c>
      <c r="J1184">
        <f t="shared" si="234"/>
        <v>8</v>
      </c>
      <c r="K1184" s="2">
        <v>1.5046296296296297E-4</v>
      </c>
      <c r="L1184" s="11">
        <f t="shared" si="235"/>
        <v>37.916666666666671</v>
      </c>
      <c r="M1184" s="3">
        <f t="shared" si="242"/>
        <v>0.21666666666666667</v>
      </c>
      <c r="N1184" s="4">
        <f t="shared" si="243"/>
        <v>13</v>
      </c>
      <c r="O1184" s="2">
        <v>1.7013888888888888E-3</v>
      </c>
      <c r="P1184" s="9">
        <f t="shared" si="236"/>
        <v>428.75000000000006</v>
      </c>
      <c r="Q1184" s="3">
        <f t="shared" si="244"/>
        <v>2.4500000000000002</v>
      </c>
      <c r="R1184" s="4">
        <f t="shared" si="245"/>
        <v>147</v>
      </c>
      <c r="S1184" s="3">
        <f t="shared" si="246"/>
        <v>149</v>
      </c>
      <c r="T1184" s="1">
        <v>0.85560000000000003</v>
      </c>
      <c r="U1184" s="6">
        <f t="shared" si="237"/>
        <v>149.73000000000002</v>
      </c>
    </row>
    <row r="1185" spans="1:21" x14ac:dyDescent="0.35">
      <c r="A1185">
        <v>1184</v>
      </c>
      <c r="B1185" s="5">
        <v>45380</v>
      </c>
      <c r="C1185" s="4">
        <f t="shared" si="238"/>
        <v>2024</v>
      </c>
      <c r="D1185" s="4">
        <f t="shared" si="239"/>
        <v>3</v>
      </c>
      <c r="E1185" s="14">
        <v>45380</v>
      </c>
      <c r="F1185" s="4">
        <f t="shared" si="240"/>
        <v>29</v>
      </c>
      <c r="G1185">
        <v>39</v>
      </c>
      <c r="H1185">
        <v>37</v>
      </c>
      <c r="I1185" s="13">
        <f t="shared" si="241"/>
        <v>0.94</v>
      </c>
      <c r="J1185">
        <f t="shared" si="234"/>
        <v>2</v>
      </c>
      <c r="K1185" s="2">
        <v>3.4722222222222222E-5</v>
      </c>
      <c r="L1185" s="11">
        <f t="shared" si="235"/>
        <v>1.85</v>
      </c>
      <c r="M1185" s="3">
        <f t="shared" si="242"/>
        <v>0.05</v>
      </c>
      <c r="N1185" s="4">
        <f t="shared" si="243"/>
        <v>3</v>
      </c>
      <c r="O1185" s="2">
        <v>2.0023148148148148E-3</v>
      </c>
      <c r="P1185" s="9">
        <f t="shared" si="236"/>
        <v>106.68333333333334</v>
      </c>
      <c r="Q1185" s="3">
        <f t="shared" si="244"/>
        <v>2.8833333333333333</v>
      </c>
      <c r="R1185" s="4">
        <f t="shared" si="245"/>
        <v>173</v>
      </c>
      <c r="S1185" s="3">
        <f t="shared" si="246"/>
        <v>36</v>
      </c>
      <c r="T1185" s="1">
        <v>0.97370000000000001</v>
      </c>
      <c r="U1185" s="6">
        <f t="shared" si="237"/>
        <v>36.026899999999998</v>
      </c>
    </row>
    <row r="1186" spans="1:21" x14ac:dyDescent="0.35">
      <c r="A1186">
        <v>1185</v>
      </c>
      <c r="B1186" s="5">
        <v>45381</v>
      </c>
      <c r="C1186" s="4">
        <f t="shared" si="238"/>
        <v>2024</v>
      </c>
      <c r="D1186" s="4">
        <f t="shared" si="239"/>
        <v>3</v>
      </c>
      <c r="E1186" s="14">
        <v>45381</v>
      </c>
      <c r="F1186" s="4">
        <f t="shared" si="240"/>
        <v>30</v>
      </c>
      <c r="G1186">
        <v>170</v>
      </c>
      <c r="H1186">
        <v>167</v>
      </c>
      <c r="I1186" s="13">
        <f t="shared" si="241"/>
        <v>0.98</v>
      </c>
      <c r="J1186">
        <f t="shared" si="234"/>
        <v>3</v>
      </c>
      <c r="K1186" s="2">
        <v>1.3888888888888889E-4</v>
      </c>
      <c r="L1186" s="11">
        <f t="shared" si="235"/>
        <v>33.4</v>
      </c>
      <c r="M1186" s="3">
        <f t="shared" si="242"/>
        <v>0.2</v>
      </c>
      <c r="N1186" s="4">
        <f t="shared" si="243"/>
        <v>12</v>
      </c>
      <c r="O1186" s="2">
        <v>1.6666666666666668E-3</v>
      </c>
      <c r="P1186" s="9">
        <f t="shared" si="236"/>
        <v>400.8</v>
      </c>
      <c r="Q1186" s="3">
        <f t="shared" si="244"/>
        <v>2.4</v>
      </c>
      <c r="R1186" s="4">
        <f t="shared" si="245"/>
        <v>144</v>
      </c>
      <c r="S1186" s="3">
        <f t="shared" si="246"/>
        <v>142</v>
      </c>
      <c r="T1186" s="1">
        <v>0.85289999999999999</v>
      </c>
      <c r="U1186" s="6">
        <f t="shared" si="237"/>
        <v>142.43430000000001</v>
      </c>
    </row>
    <row r="1187" spans="1:21" x14ac:dyDescent="0.35">
      <c r="A1187">
        <v>1186</v>
      </c>
      <c r="B1187" s="5">
        <v>45382</v>
      </c>
      <c r="C1187" s="4">
        <f t="shared" si="238"/>
        <v>2024</v>
      </c>
      <c r="D1187" s="4">
        <f t="shared" si="239"/>
        <v>3</v>
      </c>
      <c r="E1187" s="14">
        <v>45382</v>
      </c>
      <c r="F1187" s="4">
        <f t="shared" si="240"/>
        <v>31</v>
      </c>
      <c r="G1187">
        <v>180</v>
      </c>
      <c r="H1187">
        <v>168</v>
      </c>
      <c r="I1187" s="13">
        <f t="shared" si="241"/>
        <v>0.93</v>
      </c>
      <c r="J1187">
        <f t="shared" si="234"/>
        <v>12</v>
      </c>
      <c r="K1187" s="2">
        <v>1.3888888888888889E-4</v>
      </c>
      <c r="L1187" s="11">
        <f t="shared" si="235"/>
        <v>33.6</v>
      </c>
      <c r="M1187" s="3">
        <f t="shared" si="242"/>
        <v>0.2</v>
      </c>
      <c r="N1187" s="4">
        <f t="shared" si="243"/>
        <v>12</v>
      </c>
      <c r="O1187" s="2">
        <v>1.9212962962962964E-3</v>
      </c>
      <c r="P1187" s="9">
        <f t="shared" si="236"/>
        <v>464.8</v>
      </c>
      <c r="Q1187" s="3">
        <f t="shared" si="244"/>
        <v>2.7666666666666666</v>
      </c>
      <c r="R1187" s="4">
        <f t="shared" si="245"/>
        <v>166</v>
      </c>
      <c r="S1187" s="3">
        <f t="shared" si="246"/>
        <v>139</v>
      </c>
      <c r="T1187" s="1">
        <v>0.83150000000000002</v>
      </c>
      <c r="U1187" s="6">
        <f t="shared" si="237"/>
        <v>139.69200000000001</v>
      </c>
    </row>
    <row r="1188" spans="1:21" x14ac:dyDescent="0.35">
      <c r="A1188">
        <v>1187</v>
      </c>
      <c r="B1188" s="5">
        <v>45383</v>
      </c>
      <c r="C1188" s="4">
        <f t="shared" si="238"/>
        <v>2024</v>
      </c>
      <c r="D1188" s="4">
        <f t="shared" si="239"/>
        <v>4</v>
      </c>
      <c r="E1188" s="14">
        <v>45383</v>
      </c>
      <c r="F1188" s="4">
        <f t="shared" si="240"/>
        <v>1</v>
      </c>
      <c r="G1188">
        <v>24</v>
      </c>
      <c r="H1188">
        <v>24</v>
      </c>
      <c r="I1188" s="13">
        <f t="shared" si="241"/>
        <v>1</v>
      </c>
      <c r="J1188">
        <f t="shared" si="234"/>
        <v>0</v>
      </c>
      <c r="K1188" s="2">
        <v>4.6296296296296294E-5</v>
      </c>
      <c r="L1188" s="11">
        <f t="shared" si="235"/>
        <v>1.6</v>
      </c>
      <c r="M1188" s="3">
        <f t="shared" si="242"/>
        <v>6.6666666666666666E-2</v>
      </c>
      <c r="N1188" s="4">
        <f t="shared" si="243"/>
        <v>4</v>
      </c>
      <c r="O1188" s="2">
        <v>1.8055555555555555E-3</v>
      </c>
      <c r="P1188" s="9">
        <f t="shared" si="236"/>
        <v>62.400000000000006</v>
      </c>
      <c r="Q1188" s="3">
        <f t="shared" si="244"/>
        <v>2.6</v>
      </c>
      <c r="R1188" s="4">
        <f t="shared" si="245"/>
        <v>156</v>
      </c>
      <c r="S1188" s="3">
        <f t="shared" si="246"/>
        <v>24</v>
      </c>
      <c r="T1188" s="1">
        <v>1</v>
      </c>
      <c r="U1188" s="6">
        <f t="shared" si="237"/>
        <v>24</v>
      </c>
    </row>
    <row r="1189" spans="1:21" x14ac:dyDescent="0.35">
      <c r="A1189">
        <v>1188</v>
      </c>
      <c r="B1189" s="5">
        <v>45384</v>
      </c>
      <c r="C1189" s="4">
        <f t="shared" si="238"/>
        <v>2024</v>
      </c>
      <c r="D1189" s="4">
        <f t="shared" si="239"/>
        <v>4</v>
      </c>
      <c r="E1189" s="14">
        <v>45384</v>
      </c>
      <c r="F1189" s="4">
        <f t="shared" si="240"/>
        <v>2</v>
      </c>
      <c r="G1189">
        <v>7</v>
      </c>
      <c r="H1189">
        <v>7</v>
      </c>
      <c r="I1189" s="13">
        <f t="shared" si="241"/>
        <v>1</v>
      </c>
      <c r="J1189">
        <f t="shared" si="234"/>
        <v>0</v>
      </c>
      <c r="K1189" s="2">
        <v>3.8194444444444446E-4</v>
      </c>
      <c r="L1189" s="11">
        <f t="shared" si="235"/>
        <v>3.8500000000000005</v>
      </c>
      <c r="M1189" s="3">
        <f t="shared" si="242"/>
        <v>0.55000000000000004</v>
      </c>
      <c r="N1189" s="4">
        <f t="shared" si="243"/>
        <v>33</v>
      </c>
      <c r="O1189" s="2">
        <v>1.8402777777777777E-3</v>
      </c>
      <c r="P1189" s="9">
        <f t="shared" si="236"/>
        <v>18.55</v>
      </c>
      <c r="Q1189" s="3">
        <f t="shared" si="244"/>
        <v>2.65</v>
      </c>
      <c r="R1189" s="4">
        <f t="shared" si="245"/>
        <v>159</v>
      </c>
      <c r="S1189" s="3">
        <f t="shared" si="246"/>
        <v>3</v>
      </c>
      <c r="T1189" s="1">
        <v>0.42859999999999998</v>
      </c>
      <c r="U1189" s="6">
        <f t="shared" si="237"/>
        <v>3.0002</v>
      </c>
    </row>
    <row r="1190" spans="1:21" x14ac:dyDescent="0.35">
      <c r="A1190">
        <v>1189</v>
      </c>
      <c r="B1190" s="5">
        <v>45385</v>
      </c>
      <c r="C1190" s="4">
        <f t="shared" si="238"/>
        <v>2024</v>
      </c>
      <c r="D1190" s="4">
        <f t="shared" si="239"/>
        <v>4</v>
      </c>
      <c r="E1190" s="14">
        <v>45385</v>
      </c>
      <c r="F1190" s="4">
        <f t="shared" si="240"/>
        <v>3</v>
      </c>
      <c r="G1190">
        <v>181</v>
      </c>
      <c r="H1190">
        <v>181</v>
      </c>
      <c r="I1190" s="13">
        <f t="shared" si="241"/>
        <v>1</v>
      </c>
      <c r="J1190">
        <f t="shared" si="234"/>
        <v>0</v>
      </c>
      <c r="K1190" s="2">
        <v>1.3888888888888889E-4</v>
      </c>
      <c r="L1190" s="11">
        <f t="shared" si="235"/>
        <v>36.200000000000003</v>
      </c>
      <c r="M1190" s="3">
        <f t="shared" si="242"/>
        <v>0.2</v>
      </c>
      <c r="N1190" s="4">
        <f t="shared" si="243"/>
        <v>12</v>
      </c>
      <c r="O1190" s="2">
        <v>1.9328703703703704E-3</v>
      </c>
      <c r="P1190" s="9">
        <f t="shared" si="236"/>
        <v>503.7833333333333</v>
      </c>
      <c r="Q1190" s="3">
        <f t="shared" si="244"/>
        <v>2.7833333333333332</v>
      </c>
      <c r="R1190" s="4">
        <f t="shared" si="245"/>
        <v>167</v>
      </c>
      <c r="S1190" s="3">
        <f t="shared" si="246"/>
        <v>159</v>
      </c>
      <c r="T1190" s="1">
        <v>0.87849999999999995</v>
      </c>
      <c r="U1190" s="6">
        <f t="shared" si="237"/>
        <v>159.0085</v>
      </c>
    </row>
    <row r="1191" spans="1:21" x14ac:dyDescent="0.35">
      <c r="A1191">
        <v>1190</v>
      </c>
      <c r="B1191" s="5">
        <v>45386</v>
      </c>
      <c r="C1191" s="4">
        <f t="shared" si="238"/>
        <v>2024</v>
      </c>
      <c r="D1191" s="4">
        <f t="shared" si="239"/>
        <v>4</v>
      </c>
      <c r="E1191" s="14">
        <v>45386</v>
      </c>
      <c r="F1191" s="4">
        <f t="shared" si="240"/>
        <v>4</v>
      </c>
      <c r="G1191">
        <v>209</v>
      </c>
      <c r="H1191">
        <v>206</v>
      </c>
      <c r="I1191" s="13">
        <f t="shared" si="241"/>
        <v>0.98</v>
      </c>
      <c r="J1191">
        <f t="shared" si="234"/>
        <v>3</v>
      </c>
      <c r="K1191" s="2">
        <v>5.7870370370370373E-5</v>
      </c>
      <c r="L1191" s="11">
        <f t="shared" si="235"/>
        <v>17.166666666666664</v>
      </c>
      <c r="M1191" s="3">
        <f t="shared" si="242"/>
        <v>8.3333333333333329E-2</v>
      </c>
      <c r="N1191" s="4">
        <f t="shared" si="243"/>
        <v>5</v>
      </c>
      <c r="O1191" s="2">
        <v>1.8749999999999999E-3</v>
      </c>
      <c r="P1191" s="9">
        <f t="shared" si="236"/>
        <v>556.20000000000005</v>
      </c>
      <c r="Q1191" s="3">
        <f t="shared" si="244"/>
        <v>2.7</v>
      </c>
      <c r="R1191" s="4">
        <f t="shared" si="245"/>
        <v>162</v>
      </c>
      <c r="S1191" s="3">
        <f t="shared" si="246"/>
        <v>196</v>
      </c>
      <c r="T1191" s="1">
        <v>0.95169999999999999</v>
      </c>
      <c r="U1191" s="6">
        <f t="shared" si="237"/>
        <v>196.05019999999999</v>
      </c>
    </row>
    <row r="1192" spans="1:21" x14ac:dyDescent="0.35">
      <c r="A1192">
        <v>1191</v>
      </c>
      <c r="B1192" s="5">
        <v>45387</v>
      </c>
      <c r="C1192" s="4">
        <f t="shared" si="238"/>
        <v>2024</v>
      </c>
      <c r="D1192" s="4">
        <f t="shared" si="239"/>
        <v>4</v>
      </c>
      <c r="E1192" s="14">
        <v>45387</v>
      </c>
      <c r="F1192" s="4">
        <f t="shared" si="240"/>
        <v>5</v>
      </c>
      <c r="G1192">
        <v>180</v>
      </c>
      <c r="H1192">
        <v>179</v>
      </c>
      <c r="I1192" s="13">
        <f t="shared" si="241"/>
        <v>0.99</v>
      </c>
      <c r="J1192">
        <f t="shared" si="234"/>
        <v>1</v>
      </c>
      <c r="K1192" s="2">
        <v>4.6296296296296294E-5</v>
      </c>
      <c r="L1192" s="11">
        <f t="shared" si="235"/>
        <v>11.933333333333334</v>
      </c>
      <c r="M1192" s="3">
        <f t="shared" si="242"/>
        <v>6.6666666666666666E-2</v>
      </c>
      <c r="N1192" s="4">
        <f t="shared" si="243"/>
        <v>4</v>
      </c>
      <c r="O1192" s="2">
        <v>1.712962962962963E-3</v>
      </c>
      <c r="P1192" s="9">
        <f t="shared" si="236"/>
        <v>441.53333333333336</v>
      </c>
      <c r="Q1192" s="3">
        <f t="shared" si="244"/>
        <v>2.4666666666666668</v>
      </c>
      <c r="R1192" s="4">
        <f t="shared" si="245"/>
        <v>148</v>
      </c>
      <c r="S1192" s="3">
        <f t="shared" si="246"/>
        <v>174</v>
      </c>
      <c r="T1192" s="1">
        <v>0.97209999999999996</v>
      </c>
      <c r="U1192" s="6">
        <f t="shared" si="237"/>
        <v>174.0059</v>
      </c>
    </row>
    <row r="1193" spans="1:21" x14ac:dyDescent="0.35">
      <c r="A1193">
        <v>1192</v>
      </c>
      <c r="B1193" s="5">
        <v>45388</v>
      </c>
      <c r="C1193" s="4">
        <f t="shared" si="238"/>
        <v>2024</v>
      </c>
      <c r="D1193" s="4">
        <f t="shared" si="239"/>
        <v>4</v>
      </c>
      <c r="E1193" s="14">
        <v>45388</v>
      </c>
      <c r="F1193" s="4">
        <f t="shared" si="240"/>
        <v>6</v>
      </c>
      <c r="G1193">
        <v>221</v>
      </c>
      <c r="H1193">
        <v>203</v>
      </c>
      <c r="I1193" s="13">
        <f t="shared" si="241"/>
        <v>0.91</v>
      </c>
      <c r="J1193">
        <f t="shared" si="234"/>
        <v>18</v>
      </c>
      <c r="K1193" s="2">
        <v>1.3888888888888889E-4</v>
      </c>
      <c r="L1193" s="11">
        <f t="shared" si="235"/>
        <v>40.6</v>
      </c>
      <c r="M1193" s="3">
        <f t="shared" si="242"/>
        <v>0.2</v>
      </c>
      <c r="N1193" s="4">
        <f t="shared" si="243"/>
        <v>12</v>
      </c>
      <c r="O1193" s="2">
        <v>1.8865740740740742E-3</v>
      </c>
      <c r="P1193" s="9">
        <f t="shared" si="236"/>
        <v>551.48333333333335</v>
      </c>
      <c r="Q1193" s="3">
        <f t="shared" si="244"/>
        <v>2.7166666666666668</v>
      </c>
      <c r="R1193" s="4">
        <f t="shared" si="245"/>
        <v>163</v>
      </c>
      <c r="S1193" s="3">
        <f t="shared" si="246"/>
        <v>177</v>
      </c>
      <c r="T1193" s="1">
        <v>0.87319999999999998</v>
      </c>
      <c r="U1193" s="6">
        <f t="shared" si="237"/>
        <v>177.25960000000001</v>
      </c>
    </row>
    <row r="1194" spans="1:21" x14ac:dyDescent="0.35">
      <c r="A1194">
        <v>1193</v>
      </c>
      <c r="B1194" s="5">
        <v>45389</v>
      </c>
      <c r="C1194" s="4">
        <f t="shared" si="238"/>
        <v>2024</v>
      </c>
      <c r="D1194" s="4">
        <f t="shared" si="239"/>
        <v>4</v>
      </c>
      <c r="E1194" s="14">
        <v>45389</v>
      </c>
      <c r="F1194" s="4">
        <f t="shared" si="240"/>
        <v>7</v>
      </c>
      <c r="G1194">
        <v>254</v>
      </c>
      <c r="H1194">
        <v>248</v>
      </c>
      <c r="I1194" s="13">
        <f t="shared" si="241"/>
        <v>0.97</v>
      </c>
      <c r="J1194">
        <f t="shared" si="234"/>
        <v>6</v>
      </c>
      <c r="K1194" s="2">
        <v>1.1574074074074075E-4</v>
      </c>
      <c r="L1194" s="11">
        <f t="shared" si="235"/>
        <v>41.333333333333329</v>
      </c>
      <c r="M1194" s="3">
        <f t="shared" si="242"/>
        <v>0.16666666666666666</v>
      </c>
      <c r="N1194" s="4">
        <f t="shared" si="243"/>
        <v>10</v>
      </c>
      <c r="O1194" s="2">
        <v>1.9444444444444444E-3</v>
      </c>
      <c r="P1194" s="9">
        <f t="shared" si="236"/>
        <v>694.4</v>
      </c>
      <c r="Q1194" s="3">
        <f t="shared" si="244"/>
        <v>2.8</v>
      </c>
      <c r="R1194" s="4">
        <f t="shared" si="245"/>
        <v>168</v>
      </c>
      <c r="S1194" s="3">
        <f t="shared" si="246"/>
        <v>225</v>
      </c>
      <c r="T1194" s="1">
        <v>0.90869999999999995</v>
      </c>
      <c r="U1194" s="6">
        <f t="shared" si="237"/>
        <v>225.35759999999999</v>
      </c>
    </row>
    <row r="1195" spans="1:21" x14ac:dyDescent="0.35">
      <c r="A1195">
        <v>1194</v>
      </c>
      <c r="B1195" s="5">
        <v>45390</v>
      </c>
      <c r="C1195" s="4">
        <f t="shared" si="238"/>
        <v>2024</v>
      </c>
      <c r="D1195" s="4">
        <f t="shared" si="239"/>
        <v>4</v>
      </c>
      <c r="E1195" s="14">
        <v>45390</v>
      </c>
      <c r="F1195" s="4">
        <f t="shared" si="240"/>
        <v>8</v>
      </c>
      <c r="G1195">
        <v>627</v>
      </c>
      <c r="H1195">
        <v>577</v>
      </c>
      <c r="I1195" s="13">
        <f t="shared" si="241"/>
        <v>0.92</v>
      </c>
      <c r="J1195">
        <f t="shared" si="234"/>
        <v>50</v>
      </c>
      <c r="K1195" s="2">
        <v>4.7453703703703704E-4</v>
      </c>
      <c r="L1195" s="11">
        <f t="shared" si="235"/>
        <v>394.28333333333336</v>
      </c>
      <c r="M1195" s="3">
        <f t="shared" si="242"/>
        <v>0.68333333333333335</v>
      </c>
      <c r="N1195" s="4">
        <f t="shared" si="243"/>
        <v>41</v>
      </c>
      <c r="O1195" s="2">
        <v>1.8402777777777777E-3</v>
      </c>
      <c r="P1195" s="9">
        <f t="shared" si="236"/>
        <v>1529.05</v>
      </c>
      <c r="Q1195" s="3">
        <f t="shared" si="244"/>
        <v>2.65</v>
      </c>
      <c r="R1195" s="4">
        <f t="shared" si="245"/>
        <v>159</v>
      </c>
      <c r="S1195" s="3">
        <f t="shared" si="246"/>
        <v>275</v>
      </c>
      <c r="T1195" s="1">
        <v>0.47810000000000002</v>
      </c>
      <c r="U1195" s="6">
        <f t="shared" si="237"/>
        <v>275.86369999999999</v>
      </c>
    </row>
    <row r="1196" spans="1:21" x14ac:dyDescent="0.35">
      <c r="A1196">
        <v>1195</v>
      </c>
      <c r="B1196" s="5">
        <v>45391</v>
      </c>
      <c r="C1196" s="4">
        <f t="shared" si="238"/>
        <v>2024</v>
      </c>
      <c r="D1196" s="4">
        <f t="shared" si="239"/>
        <v>4</v>
      </c>
      <c r="E1196" s="14">
        <v>45391</v>
      </c>
      <c r="F1196" s="4">
        <f t="shared" si="240"/>
        <v>9</v>
      </c>
      <c r="G1196">
        <v>167</v>
      </c>
      <c r="H1196">
        <v>159</v>
      </c>
      <c r="I1196" s="13">
        <f t="shared" si="241"/>
        <v>0.95</v>
      </c>
      <c r="J1196">
        <f t="shared" si="234"/>
        <v>8</v>
      </c>
      <c r="K1196" s="2">
        <v>2.0833333333333335E-4</v>
      </c>
      <c r="L1196" s="11">
        <f t="shared" si="235"/>
        <v>47.699999999999996</v>
      </c>
      <c r="M1196" s="3">
        <f t="shared" si="242"/>
        <v>0.3</v>
      </c>
      <c r="N1196" s="4">
        <f t="shared" si="243"/>
        <v>18</v>
      </c>
      <c r="O1196" s="2">
        <v>2.1990740740740742E-3</v>
      </c>
      <c r="P1196" s="9">
        <f t="shared" si="236"/>
        <v>503.5</v>
      </c>
      <c r="Q1196" s="3">
        <f t="shared" si="244"/>
        <v>3.1666666666666665</v>
      </c>
      <c r="R1196" s="4">
        <f t="shared" si="245"/>
        <v>190</v>
      </c>
      <c r="S1196" s="3">
        <f t="shared" si="246"/>
        <v>120</v>
      </c>
      <c r="T1196" s="1">
        <v>0.76049999999999995</v>
      </c>
      <c r="U1196" s="6">
        <f t="shared" si="237"/>
        <v>120.9195</v>
      </c>
    </row>
    <row r="1197" spans="1:21" x14ac:dyDescent="0.35">
      <c r="A1197">
        <v>1196</v>
      </c>
      <c r="B1197" s="5">
        <v>45392</v>
      </c>
      <c r="C1197" s="4">
        <f t="shared" si="238"/>
        <v>2024</v>
      </c>
      <c r="D1197" s="4">
        <f t="shared" si="239"/>
        <v>4</v>
      </c>
      <c r="E1197" s="14">
        <v>45392</v>
      </c>
      <c r="F1197" s="4">
        <f t="shared" si="240"/>
        <v>10</v>
      </c>
      <c r="G1197">
        <v>599</v>
      </c>
      <c r="H1197">
        <v>554</v>
      </c>
      <c r="I1197" s="13">
        <f t="shared" si="241"/>
        <v>0.92</v>
      </c>
      <c r="J1197">
        <f t="shared" si="234"/>
        <v>45</v>
      </c>
      <c r="K1197" s="2">
        <v>2.8935185185185184E-4</v>
      </c>
      <c r="L1197" s="11">
        <f t="shared" si="235"/>
        <v>230.83333333333334</v>
      </c>
      <c r="M1197" s="3">
        <f t="shared" si="242"/>
        <v>0.41666666666666669</v>
      </c>
      <c r="N1197" s="4">
        <f t="shared" si="243"/>
        <v>25</v>
      </c>
      <c r="O1197" s="2">
        <v>1.7939814814814815E-3</v>
      </c>
      <c r="P1197" s="9">
        <f t="shared" si="236"/>
        <v>1431.1666666666667</v>
      </c>
      <c r="Q1197" s="3">
        <f t="shared" si="244"/>
        <v>2.5833333333333335</v>
      </c>
      <c r="R1197" s="4">
        <f t="shared" si="245"/>
        <v>155</v>
      </c>
      <c r="S1197" s="3">
        <f t="shared" si="246"/>
        <v>352</v>
      </c>
      <c r="T1197" s="1">
        <v>0.63560000000000005</v>
      </c>
      <c r="U1197" s="6">
        <f t="shared" si="237"/>
        <v>352.12240000000003</v>
      </c>
    </row>
    <row r="1198" spans="1:21" x14ac:dyDescent="0.35">
      <c r="A1198">
        <v>1197</v>
      </c>
      <c r="B1198" s="5">
        <v>45393</v>
      </c>
      <c r="C1198" s="4">
        <f t="shared" si="238"/>
        <v>2024</v>
      </c>
      <c r="D1198" s="4">
        <f t="shared" si="239"/>
        <v>4</v>
      </c>
      <c r="E1198" s="14">
        <v>45393</v>
      </c>
      <c r="F1198" s="4">
        <f t="shared" si="240"/>
        <v>11</v>
      </c>
      <c r="G1198">
        <v>304</v>
      </c>
      <c r="H1198">
        <v>300</v>
      </c>
      <c r="I1198" s="13">
        <f t="shared" si="241"/>
        <v>0.98</v>
      </c>
      <c r="J1198">
        <f t="shared" si="234"/>
        <v>4</v>
      </c>
      <c r="K1198" s="2">
        <v>8.1018518518518516E-5</v>
      </c>
      <c r="L1198" s="11">
        <f t="shared" si="235"/>
        <v>35</v>
      </c>
      <c r="M1198" s="3">
        <f t="shared" si="242"/>
        <v>0.11666666666666667</v>
      </c>
      <c r="N1198" s="4">
        <f t="shared" si="243"/>
        <v>7</v>
      </c>
      <c r="O1198" s="2">
        <v>1.7939814814814815E-3</v>
      </c>
      <c r="P1198" s="9">
        <f t="shared" si="236"/>
        <v>775</v>
      </c>
      <c r="Q1198" s="3">
        <f t="shared" si="244"/>
        <v>2.5833333333333335</v>
      </c>
      <c r="R1198" s="4">
        <f t="shared" si="245"/>
        <v>155</v>
      </c>
      <c r="S1198" s="3">
        <f t="shared" si="246"/>
        <v>277</v>
      </c>
      <c r="T1198" s="1">
        <v>0.92410000000000003</v>
      </c>
      <c r="U1198" s="6">
        <f t="shared" si="237"/>
        <v>277.23</v>
      </c>
    </row>
    <row r="1199" spans="1:21" x14ac:dyDescent="0.35">
      <c r="A1199">
        <v>1198</v>
      </c>
      <c r="B1199" s="5">
        <v>45394</v>
      </c>
      <c r="C1199" s="4">
        <f t="shared" si="238"/>
        <v>2024</v>
      </c>
      <c r="D1199" s="4">
        <f t="shared" si="239"/>
        <v>4</v>
      </c>
      <c r="E1199" s="14">
        <v>45394</v>
      </c>
      <c r="F1199" s="4">
        <f t="shared" si="240"/>
        <v>12</v>
      </c>
      <c r="G1199">
        <v>267</v>
      </c>
      <c r="H1199">
        <v>260</v>
      </c>
      <c r="I1199" s="13">
        <f t="shared" si="241"/>
        <v>0.97</v>
      </c>
      <c r="J1199">
        <f t="shared" si="234"/>
        <v>7</v>
      </c>
      <c r="K1199" s="2">
        <v>9.2592592592592588E-5</v>
      </c>
      <c r="L1199" s="11">
        <f t="shared" si="235"/>
        <v>34.666666666666664</v>
      </c>
      <c r="M1199" s="3">
        <f t="shared" si="242"/>
        <v>0.13333333333333333</v>
      </c>
      <c r="N1199" s="4">
        <f t="shared" si="243"/>
        <v>8</v>
      </c>
      <c r="O1199" s="2">
        <v>2.0370370370370369E-3</v>
      </c>
      <c r="P1199" s="9">
        <f t="shared" si="236"/>
        <v>762.66666666666674</v>
      </c>
      <c r="Q1199" s="3">
        <f t="shared" si="244"/>
        <v>2.9333333333333336</v>
      </c>
      <c r="R1199" s="4">
        <f t="shared" si="245"/>
        <v>176</v>
      </c>
      <c r="S1199" s="3">
        <f t="shared" si="246"/>
        <v>236</v>
      </c>
      <c r="T1199" s="1">
        <v>0.90910000000000002</v>
      </c>
      <c r="U1199" s="6">
        <f t="shared" si="237"/>
        <v>236.36600000000001</v>
      </c>
    </row>
    <row r="1200" spans="1:21" x14ac:dyDescent="0.35">
      <c r="A1200">
        <v>1199</v>
      </c>
      <c r="B1200" s="5">
        <v>45395</v>
      </c>
      <c r="C1200" s="4">
        <f t="shared" si="238"/>
        <v>2024</v>
      </c>
      <c r="D1200" s="4">
        <f t="shared" si="239"/>
        <v>4</v>
      </c>
      <c r="E1200" s="14">
        <v>45395</v>
      </c>
      <c r="F1200" s="4">
        <f t="shared" si="240"/>
        <v>13</v>
      </c>
      <c r="G1200">
        <v>286</v>
      </c>
      <c r="H1200">
        <v>281</v>
      </c>
      <c r="I1200" s="13">
        <f t="shared" si="241"/>
        <v>0.98</v>
      </c>
      <c r="J1200">
        <f t="shared" si="234"/>
        <v>5</v>
      </c>
      <c r="K1200" s="2">
        <v>1.273148148148148E-4</v>
      </c>
      <c r="L1200" s="11">
        <f t="shared" si="235"/>
        <v>51.516666666666666</v>
      </c>
      <c r="M1200" s="3">
        <f t="shared" si="242"/>
        <v>0.18333333333333332</v>
      </c>
      <c r="N1200" s="4">
        <f t="shared" si="243"/>
        <v>11</v>
      </c>
      <c r="O1200" s="2">
        <v>1.8518518518518519E-3</v>
      </c>
      <c r="P1200" s="9">
        <f t="shared" si="236"/>
        <v>749.33333333333326</v>
      </c>
      <c r="Q1200" s="3">
        <f t="shared" si="244"/>
        <v>2.6666666666666665</v>
      </c>
      <c r="R1200" s="4">
        <f t="shared" si="245"/>
        <v>160</v>
      </c>
      <c r="S1200" s="3">
        <f t="shared" si="246"/>
        <v>244</v>
      </c>
      <c r="T1200" s="1">
        <v>0.86970000000000003</v>
      </c>
      <c r="U1200" s="6">
        <f t="shared" si="237"/>
        <v>244.38570000000001</v>
      </c>
    </row>
    <row r="1201" spans="1:21" x14ac:dyDescent="0.35">
      <c r="A1201">
        <v>1200</v>
      </c>
      <c r="B1201" s="5">
        <v>45396</v>
      </c>
      <c r="C1201" s="4">
        <f t="shared" si="238"/>
        <v>2024</v>
      </c>
      <c r="D1201" s="4">
        <f t="shared" si="239"/>
        <v>4</v>
      </c>
      <c r="E1201" s="14">
        <v>45396</v>
      </c>
      <c r="F1201" s="4">
        <f t="shared" si="240"/>
        <v>14</v>
      </c>
      <c r="G1201">
        <v>196</v>
      </c>
      <c r="H1201">
        <v>192</v>
      </c>
      <c r="I1201" s="13">
        <f t="shared" si="241"/>
        <v>0.97</v>
      </c>
      <c r="J1201">
        <f t="shared" si="234"/>
        <v>4</v>
      </c>
      <c r="K1201" s="2">
        <v>1.5046296296296297E-4</v>
      </c>
      <c r="L1201" s="11">
        <f t="shared" si="235"/>
        <v>41.6</v>
      </c>
      <c r="M1201" s="3">
        <f t="shared" si="242"/>
        <v>0.21666666666666667</v>
      </c>
      <c r="N1201" s="4">
        <f t="shared" si="243"/>
        <v>13</v>
      </c>
      <c r="O1201" s="2">
        <v>1.8865740740740742E-3</v>
      </c>
      <c r="P1201" s="9">
        <f t="shared" si="236"/>
        <v>521.6</v>
      </c>
      <c r="Q1201" s="3">
        <f t="shared" si="244"/>
        <v>2.7166666666666668</v>
      </c>
      <c r="R1201" s="4">
        <f t="shared" si="245"/>
        <v>163</v>
      </c>
      <c r="S1201" s="3">
        <f t="shared" si="246"/>
        <v>164</v>
      </c>
      <c r="T1201" s="1">
        <v>0.85640000000000005</v>
      </c>
      <c r="U1201" s="6">
        <f t="shared" si="237"/>
        <v>164.42880000000002</v>
      </c>
    </row>
    <row r="1202" spans="1:21" x14ac:dyDescent="0.35">
      <c r="A1202">
        <v>1201</v>
      </c>
      <c r="B1202" s="5">
        <v>45397</v>
      </c>
      <c r="C1202" s="4">
        <f t="shared" si="238"/>
        <v>2024</v>
      </c>
      <c r="D1202" s="4">
        <f t="shared" si="239"/>
        <v>4</v>
      </c>
      <c r="E1202" s="14">
        <v>45397</v>
      </c>
      <c r="F1202" s="4">
        <f t="shared" si="240"/>
        <v>15</v>
      </c>
      <c r="G1202">
        <v>191</v>
      </c>
      <c r="H1202">
        <v>189</v>
      </c>
      <c r="I1202" s="13">
        <f t="shared" si="241"/>
        <v>0.98</v>
      </c>
      <c r="J1202">
        <f t="shared" si="234"/>
        <v>2</v>
      </c>
      <c r="K1202" s="2">
        <v>1.273148148148148E-4</v>
      </c>
      <c r="L1202" s="11">
        <f t="shared" si="235"/>
        <v>34.65</v>
      </c>
      <c r="M1202" s="3">
        <f t="shared" si="242"/>
        <v>0.18333333333333332</v>
      </c>
      <c r="N1202" s="4">
        <f t="shared" si="243"/>
        <v>11</v>
      </c>
      <c r="O1202" s="2">
        <v>2.0833333333333333E-3</v>
      </c>
      <c r="P1202" s="9">
        <f t="shared" si="236"/>
        <v>567</v>
      </c>
      <c r="Q1202" s="3">
        <f t="shared" si="244"/>
        <v>3</v>
      </c>
      <c r="R1202" s="4">
        <f t="shared" si="245"/>
        <v>180</v>
      </c>
      <c r="S1202" s="3">
        <f t="shared" si="246"/>
        <v>167</v>
      </c>
      <c r="T1202" s="1">
        <v>0.88419999999999999</v>
      </c>
      <c r="U1202" s="6">
        <f t="shared" si="237"/>
        <v>167.1138</v>
      </c>
    </row>
    <row r="1203" spans="1:21" x14ac:dyDescent="0.35">
      <c r="A1203">
        <v>1202</v>
      </c>
      <c r="B1203" s="5">
        <v>45398</v>
      </c>
      <c r="C1203" s="4">
        <f t="shared" si="238"/>
        <v>2024</v>
      </c>
      <c r="D1203" s="4">
        <f t="shared" si="239"/>
        <v>4</v>
      </c>
      <c r="E1203" s="14">
        <v>45398</v>
      </c>
      <c r="F1203" s="4">
        <f t="shared" si="240"/>
        <v>16</v>
      </c>
      <c r="G1203">
        <v>60</v>
      </c>
      <c r="H1203">
        <v>60</v>
      </c>
      <c r="I1203" s="13">
        <f t="shared" si="241"/>
        <v>1</v>
      </c>
      <c r="J1203">
        <f t="shared" si="234"/>
        <v>0</v>
      </c>
      <c r="K1203" s="2">
        <v>6.9444444444444444E-5</v>
      </c>
      <c r="L1203" s="11">
        <f t="shared" si="235"/>
        <v>6</v>
      </c>
      <c r="M1203" s="3">
        <f t="shared" si="242"/>
        <v>0.1</v>
      </c>
      <c r="N1203" s="4">
        <f t="shared" si="243"/>
        <v>6</v>
      </c>
      <c r="O1203" s="2">
        <v>1.3657407407407407E-3</v>
      </c>
      <c r="P1203" s="9">
        <f t="shared" si="236"/>
        <v>118</v>
      </c>
      <c r="Q1203" s="3">
        <f t="shared" si="244"/>
        <v>1.9666666666666668</v>
      </c>
      <c r="R1203" s="4">
        <f t="shared" si="245"/>
        <v>118</v>
      </c>
      <c r="S1203" s="3">
        <f t="shared" si="246"/>
        <v>58</v>
      </c>
      <c r="T1203" s="1">
        <v>0.9667</v>
      </c>
      <c r="U1203" s="6">
        <f t="shared" si="237"/>
        <v>58.002000000000002</v>
      </c>
    </row>
    <row r="1204" spans="1:21" x14ac:dyDescent="0.35">
      <c r="A1204">
        <v>1203</v>
      </c>
      <c r="B1204" s="5">
        <v>45399</v>
      </c>
      <c r="C1204" s="4">
        <f t="shared" si="238"/>
        <v>2024</v>
      </c>
      <c r="D1204" s="4">
        <f t="shared" si="239"/>
        <v>4</v>
      </c>
      <c r="E1204" s="14">
        <v>45399</v>
      </c>
      <c r="F1204" s="4">
        <f t="shared" si="240"/>
        <v>17</v>
      </c>
      <c r="G1204">
        <v>215</v>
      </c>
      <c r="H1204">
        <v>207</v>
      </c>
      <c r="I1204" s="13">
        <f t="shared" si="241"/>
        <v>0.96</v>
      </c>
      <c r="J1204">
        <f t="shared" si="234"/>
        <v>8</v>
      </c>
      <c r="K1204" s="2">
        <v>1.1574074074074075E-4</v>
      </c>
      <c r="L1204" s="11">
        <f t="shared" si="235"/>
        <v>34.5</v>
      </c>
      <c r="M1204" s="3">
        <f t="shared" si="242"/>
        <v>0.16666666666666666</v>
      </c>
      <c r="N1204" s="4">
        <f t="shared" si="243"/>
        <v>10</v>
      </c>
      <c r="O1204" s="2">
        <v>1.8518518518518519E-3</v>
      </c>
      <c r="P1204" s="9">
        <f t="shared" si="236"/>
        <v>552</v>
      </c>
      <c r="Q1204" s="3">
        <f t="shared" si="244"/>
        <v>2.6666666666666665</v>
      </c>
      <c r="R1204" s="4">
        <f t="shared" si="245"/>
        <v>160</v>
      </c>
      <c r="S1204" s="3">
        <f t="shared" si="246"/>
        <v>187</v>
      </c>
      <c r="T1204" s="1">
        <v>0.90429999999999999</v>
      </c>
      <c r="U1204" s="6">
        <f t="shared" si="237"/>
        <v>187.1901</v>
      </c>
    </row>
    <row r="1205" spans="1:21" x14ac:dyDescent="0.35">
      <c r="A1205">
        <v>1204</v>
      </c>
      <c r="B1205" s="5">
        <v>45400</v>
      </c>
      <c r="C1205" s="4">
        <f t="shared" si="238"/>
        <v>2024</v>
      </c>
      <c r="D1205" s="4">
        <f t="shared" si="239"/>
        <v>4</v>
      </c>
      <c r="E1205" s="14">
        <v>45400</v>
      </c>
      <c r="F1205" s="4">
        <f t="shared" si="240"/>
        <v>18</v>
      </c>
      <c r="G1205">
        <v>221</v>
      </c>
      <c r="H1205">
        <v>213</v>
      </c>
      <c r="I1205" s="13">
        <f t="shared" si="241"/>
        <v>0.96</v>
      </c>
      <c r="J1205">
        <f t="shared" si="234"/>
        <v>8</v>
      </c>
      <c r="K1205" s="2">
        <v>9.2592592592592588E-5</v>
      </c>
      <c r="L1205" s="11">
        <f t="shared" si="235"/>
        <v>28.4</v>
      </c>
      <c r="M1205" s="3">
        <f t="shared" si="242"/>
        <v>0.13333333333333333</v>
      </c>
      <c r="N1205" s="4">
        <f t="shared" si="243"/>
        <v>8</v>
      </c>
      <c r="O1205" s="2">
        <v>1.7939814814814815E-3</v>
      </c>
      <c r="P1205" s="9">
        <f t="shared" si="236"/>
        <v>550.25</v>
      </c>
      <c r="Q1205" s="3">
        <f t="shared" si="244"/>
        <v>2.5833333333333335</v>
      </c>
      <c r="R1205" s="4">
        <f t="shared" si="245"/>
        <v>155</v>
      </c>
      <c r="S1205" s="3">
        <f t="shared" si="246"/>
        <v>192</v>
      </c>
      <c r="T1205" s="1">
        <v>0.90449999999999997</v>
      </c>
      <c r="U1205" s="6">
        <f t="shared" si="237"/>
        <v>192.6585</v>
      </c>
    </row>
    <row r="1206" spans="1:21" x14ac:dyDescent="0.35">
      <c r="A1206">
        <v>1205</v>
      </c>
      <c r="B1206" s="5">
        <v>45401</v>
      </c>
      <c r="C1206" s="4">
        <f t="shared" si="238"/>
        <v>2024</v>
      </c>
      <c r="D1206" s="4">
        <f t="shared" si="239"/>
        <v>4</v>
      </c>
      <c r="E1206" s="14">
        <v>45401</v>
      </c>
      <c r="F1206" s="4">
        <f t="shared" si="240"/>
        <v>19</v>
      </c>
      <c r="G1206">
        <v>201</v>
      </c>
      <c r="H1206">
        <v>193</v>
      </c>
      <c r="I1206" s="13">
        <f t="shared" si="241"/>
        <v>0.96</v>
      </c>
      <c r="J1206">
        <f t="shared" si="234"/>
        <v>8</v>
      </c>
      <c r="K1206" s="2">
        <v>3.4722222222222222E-5</v>
      </c>
      <c r="L1206" s="11">
        <f t="shared" si="235"/>
        <v>9.65</v>
      </c>
      <c r="M1206" s="3">
        <f t="shared" si="242"/>
        <v>0.05</v>
      </c>
      <c r="N1206" s="4">
        <f t="shared" si="243"/>
        <v>3</v>
      </c>
      <c r="O1206" s="2">
        <v>1.9212962962962964E-3</v>
      </c>
      <c r="P1206" s="9">
        <f t="shared" si="236"/>
        <v>533.9666666666667</v>
      </c>
      <c r="Q1206" s="3">
        <f t="shared" si="244"/>
        <v>2.7666666666666666</v>
      </c>
      <c r="R1206" s="4">
        <f t="shared" si="245"/>
        <v>166</v>
      </c>
      <c r="S1206" s="3">
        <f t="shared" si="246"/>
        <v>190</v>
      </c>
      <c r="T1206" s="1">
        <v>0.98450000000000004</v>
      </c>
      <c r="U1206" s="6">
        <f t="shared" si="237"/>
        <v>190.0085</v>
      </c>
    </row>
    <row r="1207" spans="1:21" x14ac:dyDescent="0.35">
      <c r="A1207">
        <v>1206</v>
      </c>
      <c r="B1207" s="5">
        <v>45402</v>
      </c>
      <c r="C1207" s="4">
        <f t="shared" si="238"/>
        <v>2024</v>
      </c>
      <c r="D1207" s="4">
        <f t="shared" si="239"/>
        <v>4</v>
      </c>
      <c r="E1207" s="14">
        <v>45402</v>
      </c>
      <c r="F1207" s="4">
        <f t="shared" si="240"/>
        <v>20</v>
      </c>
      <c r="G1207">
        <v>205</v>
      </c>
      <c r="H1207">
        <v>202</v>
      </c>
      <c r="I1207" s="13">
        <f t="shared" si="241"/>
        <v>0.98</v>
      </c>
      <c r="J1207">
        <f t="shared" si="234"/>
        <v>3</v>
      </c>
      <c r="K1207" s="2">
        <v>5.7870370370370373E-5</v>
      </c>
      <c r="L1207" s="11">
        <f t="shared" si="235"/>
        <v>16.833333333333332</v>
      </c>
      <c r="M1207" s="3">
        <f t="shared" si="242"/>
        <v>8.3333333333333329E-2</v>
      </c>
      <c r="N1207" s="4">
        <f t="shared" si="243"/>
        <v>5</v>
      </c>
      <c r="O1207" s="2">
        <v>1.9444444444444444E-3</v>
      </c>
      <c r="P1207" s="9">
        <f t="shared" si="236"/>
        <v>565.59999999999991</v>
      </c>
      <c r="Q1207" s="3">
        <f t="shared" si="244"/>
        <v>2.8</v>
      </c>
      <c r="R1207" s="4">
        <f t="shared" si="245"/>
        <v>168</v>
      </c>
      <c r="S1207" s="3">
        <f t="shared" si="246"/>
        <v>194</v>
      </c>
      <c r="T1207" s="1">
        <v>0.96060000000000001</v>
      </c>
      <c r="U1207" s="6">
        <f t="shared" si="237"/>
        <v>194.0412</v>
      </c>
    </row>
    <row r="1208" spans="1:21" x14ac:dyDescent="0.35">
      <c r="A1208">
        <v>1207</v>
      </c>
      <c r="B1208" s="5">
        <v>45403</v>
      </c>
      <c r="C1208" s="4">
        <f t="shared" si="238"/>
        <v>2024</v>
      </c>
      <c r="D1208" s="4">
        <f t="shared" si="239"/>
        <v>4</v>
      </c>
      <c r="E1208" s="14">
        <v>45403</v>
      </c>
      <c r="F1208" s="4">
        <f t="shared" si="240"/>
        <v>21</v>
      </c>
      <c r="G1208">
        <v>201</v>
      </c>
      <c r="H1208">
        <v>194</v>
      </c>
      <c r="I1208" s="13">
        <f t="shared" si="241"/>
        <v>0.96</v>
      </c>
      <c r="J1208">
        <f t="shared" si="234"/>
        <v>7</v>
      </c>
      <c r="K1208" s="2">
        <v>1.6203703703703703E-4</v>
      </c>
      <c r="L1208" s="11">
        <f t="shared" si="235"/>
        <v>45.266666666666666</v>
      </c>
      <c r="M1208" s="3">
        <f t="shared" si="242"/>
        <v>0.23333333333333334</v>
      </c>
      <c r="N1208" s="4">
        <f t="shared" si="243"/>
        <v>14</v>
      </c>
      <c r="O1208" s="2">
        <v>1.8981481481481482E-3</v>
      </c>
      <c r="P1208" s="9">
        <f t="shared" si="236"/>
        <v>530.26666666666665</v>
      </c>
      <c r="Q1208" s="3">
        <f t="shared" si="244"/>
        <v>2.7333333333333334</v>
      </c>
      <c r="R1208" s="4">
        <f t="shared" si="245"/>
        <v>164</v>
      </c>
      <c r="S1208" s="3">
        <f t="shared" si="246"/>
        <v>163</v>
      </c>
      <c r="T1208" s="1">
        <v>0.84260000000000002</v>
      </c>
      <c r="U1208" s="6">
        <f t="shared" si="237"/>
        <v>163.46440000000001</v>
      </c>
    </row>
    <row r="1209" spans="1:21" x14ac:dyDescent="0.35">
      <c r="A1209">
        <v>1208</v>
      </c>
      <c r="B1209" s="5">
        <v>45404</v>
      </c>
      <c r="C1209" s="4">
        <f t="shared" si="238"/>
        <v>2024</v>
      </c>
      <c r="D1209" s="4">
        <f t="shared" si="239"/>
        <v>4</v>
      </c>
      <c r="E1209" s="14">
        <v>45404</v>
      </c>
      <c r="F1209" s="4">
        <f t="shared" si="240"/>
        <v>22</v>
      </c>
      <c r="G1209">
        <v>140</v>
      </c>
      <c r="H1209">
        <v>132</v>
      </c>
      <c r="I1209" s="13">
        <f t="shared" si="241"/>
        <v>0.94</v>
      </c>
      <c r="J1209">
        <f t="shared" si="234"/>
        <v>8</v>
      </c>
      <c r="K1209" s="2">
        <v>8.1018518518518516E-5</v>
      </c>
      <c r="L1209" s="11">
        <f t="shared" si="235"/>
        <v>15.4</v>
      </c>
      <c r="M1209" s="3">
        <f t="shared" si="242"/>
        <v>0.11666666666666667</v>
      </c>
      <c r="N1209" s="4">
        <f t="shared" si="243"/>
        <v>7</v>
      </c>
      <c r="O1209" s="2">
        <v>1.2847222222222223E-3</v>
      </c>
      <c r="P1209" s="9">
        <f t="shared" si="236"/>
        <v>244.20000000000002</v>
      </c>
      <c r="Q1209" s="3">
        <f t="shared" si="244"/>
        <v>1.85</v>
      </c>
      <c r="R1209" s="4">
        <f t="shared" si="245"/>
        <v>111</v>
      </c>
      <c r="S1209" s="3">
        <f t="shared" si="246"/>
        <v>122</v>
      </c>
      <c r="T1209" s="1">
        <v>0.92479999999999996</v>
      </c>
      <c r="U1209" s="6">
        <f t="shared" si="237"/>
        <v>122.0736</v>
      </c>
    </row>
    <row r="1210" spans="1:21" x14ac:dyDescent="0.35">
      <c r="A1210">
        <v>1209</v>
      </c>
      <c r="B1210" s="5">
        <v>45405</v>
      </c>
      <c r="C1210" s="4">
        <f t="shared" si="238"/>
        <v>2024</v>
      </c>
      <c r="D1210" s="4">
        <f t="shared" si="239"/>
        <v>4</v>
      </c>
      <c r="E1210" s="14">
        <v>45405</v>
      </c>
      <c r="F1210" s="4">
        <f t="shared" si="240"/>
        <v>23</v>
      </c>
      <c r="G1210">
        <v>29</v>
      </c>
      <c r="H1210">
        <v>28</v>
      </c>
      <c r="I1210" s="13">
        <f t="shared" si="241"/>
        <v>0.96</v>
      </c>
      <c r="J1210">
        <f t="shared" si="234"/>
        <v>1</v>
      </c>
      <c r="K1210" s="2">
        <v>1.5046296296296297E-4</v>
      </c>
      <c r="L1210" s="11">
        <f t="shared" si="235"/>
        <v>6.0666666666666664</v>
      </c>
      <c r="M1210" s="3">
        <f t="shared" si="242"/>
        <v>0.21666666666666667</v>
      </c>
      <c r="N1210" s="4">
        <f t="shared" si="243"/>
        <v>13</v>
      </c>
      <c r="O1210" s="2">
        <v>2.1875000000000002E-3</v>
      </c>
      <c r="P1210" s="9">
        <f t="shared" si="236"/>
        <v>88.2</v>
      </c>
      <c r="Q1210" s="3">
        <f t="shared" si="244"/>
        <v>3.15</v>
      </c>
      <c r="R1210" s="4">
        <f t="shared" si="245"/>
        <v>189</v>
      </c>
      <c r="S1210" s="3">
        <f t="shared" si="246"/>
        <v>23</v>
      </c>
      <c r="T1210" s="1">
        <v>0.8276</v>
      </c>
      <c r="U1210" s="6">
        <f t="shared" si="237"/>
        <v>23.172799999999999</v>
      </c>
    </row>
    <row r="1211" spans="1:21" x14ac:dyDescent="0.35">
      <c r="A1211">
        <v>1210</v>
      </c>
      <c r="B1211" s="5">
        <v>45406</v>
      </c>
      <c r="C1211" s="4">
        <f t="shared" si="238"/>
        <v>2024</v>
      </c>
      <c r="D1211" s="4">
        <f t="shared" si="239"/>
        <v>4</v>
      </c>
      <c r="E1211" s="14">
        <v>45406</v>
      </c>
      <c r="F1211" s="4">
        <f t="shared" si="240"/>
        <v>24</v>
      </c>
      <c r="G1211">
        <v>398</v>
      </c>
      <c r="H1211">
        <v>372</v>
      </c>
      <c r="I1211" s="13">
        <f t="shared" si="241"/>
        <v>0.93</v>
      </c>
      <c r="J1211">
        <f t="shared" si="234"/>
        <v>26</v>
      </c>
      <c r="K1211" s="2">
        <v>2.4305555555555555E-4</v>
      </c>
      <c r="L1211" s="11">
        <f t="shared" si="235"/>
        <v>130.19999999999999</v>
      </c>
      <c r="M1211" s="3">
        <f t="shared" si="242"/>
        <v>0.35</v>
      </c>
      <c r="N1211" s="4">
        <f t="shared" si="243"/>
        <v>21</v>
      </c>
      <c r="O1211" s="2">
        <v>1.9791666666666668E-3</v>
      </c>
      <c r="P1211" s="9">
        <f t="shared" si="236"/>
        <v>1060.2</v>
      </c>
      <c r="Q1211" s="3">
        <f t="shared" si="244"/>
        <v>2.85</v>
      </c>
      <c r="R1211" s="4">
        <f t="shared" si="245"/>
        <v>171</v>
      </c>
      <c r="S1211" s="3">
        <f t="shared" si="246"/>
        <v>269</v>
      </c>
      <c r="T1211" s="1">
        <v>0.72519999999999996</v>
      </c>
      <c r="U1211" s="6">
        <f t="shared" si="237"/>
        <v>269.77439999999996</v>
      </c>
    </row>
    <row r="1212" spans="1:21" x14ac:dyDescent="0.35">
      <c r="A1212">
        <v>1211</v>
      </c>
      <c r="B1212" s="5">
        <v>45407</v>
      </c>
      <c r="C1212" s="4">
        <f t="shared" si="238"/>
        <v>2024</v>
      </c>
      <c r="D1212" s="4">
        <f t="shared" si="239"/>
        <v>4</v>
      </c>
      <c r="E1212" s="14">
        <v>45407</v>
      </c>
      <c r="F1212" s="4">
        <f t="shared" si="240"/>
        <v>25</v>
      </c>
      <c r="G1212">
        <v>255</v>
      </c>
      <c r="H1212">
        <v>249</v>
      </c>
      <c r="I1212" s="13">
        <f t="shared" si="241"/>
        <v>0.97</v>
      </c>
      <c r="J1212">
        <f t="shared" si="234"/>
        <v>6</v>
      </c>
      <c r="K1212" s="2">
        <v>1.7361111111111112E-4</v>
      </c>
      <c r="L1212" s="11">
        <f t="shared" si="235"/>
        <v>62.25</v>
      </c>
      <c r="M1212" s="3">
        <f t="shared" si="242"/>
        <v>0.25</v>
      </c>
      <c r="N1212" s="4">
        <f t="shared" si="243"/>
        <v>15</v>
      </c>
      <c r="O1212" s="2">
        <v>2.0949074074074073E-3</v>
      </c>
      <c r="P1212" s="9">
        <f t="shared" si="236"/>
        <v>751.15</v>
      </c>
      <c r="Q1212" s="3">
        <f t="shared" si="244"/>
        <v>3.0166666666666666</v>
      </c>
      <c r="R1212" s="4">
        <f t="shared" si="245"/>
        <v>181</v>
      </c>
      <c r="S1212" s="3">
        <f t="shared" si="246"/>
        <v>207</v>
      </c>
      <c r="T1212" s="1">
        <v>0.83330000000000004</v>
      </c>
      <c r="U1212" s="6">
        <f t="shared" si="237"/>
        <v>207.49170000000001</v>
      </c>
    </row>
    <row r="1213" spans="1:21" x14ac:dyDescent="0.35">
      <c r="A1213">
        <v>1212</v>
      </c>
      <c r="B1213" s="5">
        <v>45408</v>
      </c>
      <c r="C1213" s="4">
        <f t="shared" si="238"/>
        <v>2024</v>
      </c>
      <c r="D1213" s="4">
        <f t="shared" si="239"/>
        <v>4</v>
      </c>
      <c r="E1213" s="14">
        <v>45408</v>
      </c>
      <c r="F1213" s="4">
        <f t="shared" si="240"/>
        <v>26</v>
      </c>
      <c r="G1213">
        <v>283</v>
      </c>
      <c r="H1213">
        <v>278</v>
      </c>
      <c r="I1213" s="13">
        <f t="shared" si="241"/>
        <v>0.98</v>
      </c>
      <c r="J1213">
        <f t="shared" si="234"/>
        <v>5</v>
      </c>
      <c r="K1213" s="2">
        <v>1.9675925925925926E-4</v>
      </c>
      <c r="L1213" s="11">
        <f t="shared" si="235"/>
        <v>78.766666666666666</v>
      </c>
      <c r="M1213" s="3">
        <f t="shared" si="242"/>
        <v>0.28333333333333333</v>
      </c>
      <c r="N1213" s="4">
        <f t="shared" si="243"/>
        <v>17</v>
      </c>
      <c r="O1213" s="2">
        <v>1.8287037037037037E-3</v>
      </c>
      <c r="P1213" s="9">
        <f t="shared" si="236"/>
        <v>732.06666666666661</v>
      </c>
      <c r="Q1213" s="3">
        <f t="shared" si="244"/>
        <v>2.6333333333333333</v>
      </c>
      <c r="R1213" s="4">
        <f t="shared" si="245"/>
        <v>158</v>
      </c>
      <c r="S1213" s="3">
        <f t="shared" si="246"/>
        <v>221</v>
      </c>
      <c r="T1213" s="1">
        <v>0.79569999999999996</v>
      </c>
      <c r="U1213" s="6">
        <f t="shared" si="237"/>
        <v>221.2046</v>
      </c>
    </row>
    <row r="1214" spans="1:21" x14ac:dyDescent="0.35">
      <c r="A1214">
        <v>1213</v>
      </c>
      <c r="B1214" s="5">
        <v>45409</v>
      </c>
      <c r="C1214" s="4">
        <f t="shared" si="238"/>
        <v>2024</v>
      </c>
      <c r="D1214" s="4">
        <f t="shared" si="239"/>
        <v>4</v>
      </c>
      <c r="E1214" s="14">
        <v>45409</v>
      </c>
      <c r="F1214" s="4">
        <f t="shared" si="240"/>
        <v>27</v>
      </c>
      <c r="G1214">
        <v>230</v>
      </c>
      <c r="H1214">
        <v>222</v>
      </c>
      <c r="I1214" s="13">
        <f t="shared" si="241"/>
        <v>0.96</v>
      </c>
      <c r="J1214">
        <f t="shared" si="234"/>
        <v>8</v>
      </c>
      <c r="K1214" s="2">
        <v>2.4305555555555555E-4</v>
      </c>
      <c r="L1214" s="11">
        <f t="shared" si="235"/>
        <v>77.699999999999989</v>
      </c>
      <c r="M1214" s="3">
        <f t="shared" si="242"/>
        <v>0.35</v>
      </c>
      <c r="N1214" s="4">
        <f t="shared" si="243"/>
        <v>21</v>
      </c>
      <c r="O1214" s="2">
        <v>1.9212962962962964E-3</v>
      </c>
      <c r="P1214" s="9">
        <f t="shared" si="236"/>
        <v>614.19999999999993</v>
      </c>
      <c r="Q1214" s="3">
        <f t="shared" si="244"/>
        <v>2.7666666666666666</v>
      </c>
      <c r="R1214" s="4">
        <f t="shared" si="245"/>
        <v>166</v>
      </c>
      <c r="S1214" s="3">
        <f t="shared" si="246"/>
        <v>160</v>
      </c>
      <c r="T1214" s="1">
        <v>0.72250000000000003</v>
      </c>
      <c r="U1214" s="6">
        <f t="shared" si="237"/>
        <v>160.39500000000001</v>
      </c>
    </row>
    <row r="1215" spans="1:21" x14ac:dyDescent="0.35">
      <c r="A1215">
        <v>1214</v>
      </c>
      <c r="B1215" s="5">
        <v>45410</v>
      </c>
      <c r="C1215" s="4">
        <f t="shared" si="238"/>
        <v>2024</v>
      </c>
      <c r="D1215" s="4">
        <f t="shared" si="239"/>
        <v>4</v>
      </c>
      <c r="E1215" s="14">
        <v>45410</v>
      </c>
      <c r="F1215" s="4">
        <f t="shared" si="240"/>
        <v>28</v>
      </c>
      <c r="G1215">
        <v>185</v>
      </c>
      <c r="H1215">
        <v>183</v>
      </c>
      <c r="I1215" s="13">
        <f t="shared" si="241"/>
        <v>0.98</v>
      </c>
      <c r="J1215">
        <f t="shared" si="234"/>
        <v>2</v>
      </c>
      <c r="K1215" s="2">
        <v>1.1574074074074075E-4</v>
      </c>
      <c r="L1215" s="11">
        <f t="shared" si="235"/>
        <v>30.5</v>
      </c>
      <c r="M1215" s="3">
        <f t="shared" si="242"/>
        <v>0.16666666666666666</v>
      </c>
      <c r="N1215" s="4">
        <f t="shared" si="243"/>
        <v>10</v>
      </c>
      <c r="O1215" s="2">
        <v>2.2569444444444442E-3</v>
      </c>
      <c r="P1215" s="9">
        <f t="shared" si="236"/>
        <v>594.75</v>
      </c>
      <c r="Q1215" s="3">
        <f t="shared" si="244"/>
        <v>3.25</v>
      </c>
      <c r="R1215" s="4">
        <f t="shared" si="245"/>
        <v>195</v>
      </c>
      <c r="S1215" s="3">
        <f t="shared" si="246"/>
        <v>164</v>
      </c>
      <c r="T1215" s="1">
        <v>0.89729999999999999</v>
      </c>
      <c r="U1215" s="6">
        <f t="shared" si="237"/>
        <v>164.20589999999999</v>
      </c>
    </row>
    <row r="1216" spans="1:21" x14ac:dyDescent="0.35">
      <c r="A1216">
        <v>1215</v>
      </c>
      <c r="B1216" s="5">
        <v>45411</v>
      </c>
      <c r="C1216" s="4">
        <f t="shared" si="238"/>
        <v>2024</v>
      </c>
      <c r="D1216" s="4">
        <f t="shared" si="239"/>
        <v>4</v>
      </c>
      <c r="E1216" s="14">
        <v>45411</v>
      </c>
      <c r="F1216" s="4">
        <f t="shared" si="240"/>
        <v>29</v>
      </c>
      <c r="G1216">
        <v>197</v>
      </c>
      <c r="H1216">
        <v>194</v>
      </c>
      <c r="I1216" s="13">
        <f t="shared" si="241"/>
        <v>0.98</v>
      </c>
      <c r="J1216">
        <f t="shared" si="234"/>
        <v>3</v>
      </c>
      <c r="K1216" s="2">
        <v>1.5046296296296297E-4</v>
      </c>
      <c r="L1216" s="11">
        <f t="shared" si="235"/>
        <v>42.033333333333331</v>
      </c>
      <c r="M1216" s="3">
        <f t="shared" si="242"/>
        <v>0.21666666666666667</v>
      </c>
      <c r="N1216" s="4">
        <f t="shared" si="243"/>
        <v>13</v>
      </c>
      <c r="O1216" s="2">
        <v>1.9560185185185184E-3</v>
      </c>
      <c r="P1216" s="9">
        <f t="shared" si="236"/>
        <v>546.43333333333328</v>
      </c>
      <c r="Q1216" s="3">
        <f t="shared" si="244"/>
        <v>2.8166666666666664</v>
      </c>
      <c r="R1216" s="4">
        <f t="shared" si="245"/>
        <v>169</v>
      </c>
      <c r="S1216" s="3">
        <f t="shared" si="246"/>
        <v>160</v>
      </c>
      <c r="T1216" s="1">
        <v>0.82650000000000001</v>
      </c>
      <c r="U1216" s="6">
        <f t="shared" si="237"/>
        <v>160.34100000000001</v>
      </c>
    </row>
    <row r="1217" spans="1:21" x14ac:dyDescent="0.35">
      <c r="A1217">
        <v>1216</v>
      </c>
      <c r="B1217" s="5">
        <v>45412</v>
      </c>
      <c r="C1217" s="4">
        <f t="shared" si="238"/>
        <v>2024</v>
      </c>
      <c r="D1217" s="4">
        <f t="shared" si="239"/>
        <v>4</v>
      </c>
      <c r="E1217" s="14">
        <v>45412</v>
      </c>
      <c r="F1217" s="4">
        <f t="shared" si="240"/>
        <v>30</v>
      </c>
      <c r="G1217">
        <v>15</v>
      </c>
      <c r="H1217">
        <v>14</v>
      </c>
      <c r="I1217" s="13">
        <f t="shared" si="241"/>
        <v>0.93</v>
      </c>
      <c r="J1217">
        <f t="shared" si="234"/>
        <v>1</v>
      </c>
      <c r="K1217" s="2">
        <v>1.3888888888888889E-4</v>
      </c>
      <c r="L1217" s="11">
        <f t="shared" si="235"/>
        <v>2.8000000000000003</v>
      </c>
      <c r="M1217" s="3">
        <f t="shared" si="242"/>
        <v>0.2</v>
      </c>
      <c r="N1217" s="4">
        <f t="shared" si="243"/>
        <v>12</v>
      </c>
      <c r="O1217" s="2">
        <v>2.2453703703703702E-3</v>
      </c>
      <c r="P1217" s="9">
        <f t="shared" si="236"/>
        <v>45.266666666666666</v>
      </c>
      <c r="Q1217" s="3">
        <f t="shared" si="244"/>
        <v>3.2333333333333334</v>
      </c>
      <c r="R1217" s="4">
        <f t="shared" si="245"/>
        <v>194</v>
      </c>
      <c r="S1217" s="3">
        <f t="shared" si="246"/>
        <v>12</v>
      </c>
      <c r="T1217" s="1">
        <v>0.86670000000000003</v>
      </c>
      <c r="U1217" s="6">
        <f t="shared" si="237"/>
        <v>12.133800000000001</v>
      </c>
    </row>
    <row r="1218" spans="1:21" x14ac:dyDescent="0.35">
      <c r="A1218">
        <v>1217</v>
      </c>
      <c r="B1218" s="5">
        <v>45413</v>
      </c>
      <c r="C1218" s="4">
        <f t="shared" si="238"/>
        <v>2024</v>
      </c>
      <c r="D1218" s="4">
        <f t="shared" si="239"/>
        <v>5</v>
      </c>
      <c r="E1218" s="14">
        <v>45413</v>
      </c>
      <c r="F1218" s="4">
        <f t="shared" si="240"/>
        <v>1</v>
      </c>
      <c r="G1218">
        <v>230</v>
      </c>
      <c r="H1218">
        <v>228</v>
      </c>
      <c r="I1218" s="13">
        <f t="shared" si="241"/>
        <v>0.99</v>
      </c>
      <c r="J1218">
        <f t="shared" ref="J1218:J1252" si="247">G1218-H1218</f>
        <v>2</v>
      </c>
      <c r="K1218" s="2">
        <v>8.1018518518518516E-5</v>
      </c>
      <c r="L1218" s="11">
        <f t="shared" ref="L1218:L1252" si="248">H1218*M1218</f>
        <v>26.6</v>
      </c>
      <c r="M1218" s="3">
        <f t="shared" si="242"/>
        <v>0.11666666666666667</v>
      </c>
      <c r="N1218" s="4">
        <f t="shared" si="243"/>
        <v>7</v>
      </c>
      <c r="O1218" s="2">
        <v>1.9328703703703704E-3</v>
      </c>
      <c r="P1218" s="9">
        <f t="shared" ref="P1218:P1252" si="249">Q1218*H1218</f>
        <v>634.6</v>
      </c>
      <c r="Q1218" s="3">
        <f t="shared" si="244"/>
        <v>2.7833333333333332</v>
      </c>
      <c r="R1218" s="4">
        <f t="shared" si="245"/>
        <v>167</v>
      </c>
      <c r="S1218" s="3">
        <f t="shared" si="246"/>
        <v>214</v>
      </c>
      <c r="T1218" s="1">
        <v>0.93889999999999996</v>
      </c>
      <c r="U1218" s="6">
        <f t="shared" ref="U1218:U1252" si="250">T1218*H1218</f>
        <v>214.0692</v>
      </c>
    </row>
    <row r="1219" spans="1:21" x14ac:dyDescent="0.35">
      <c r="A1219">
        <v>1218</v>
      </c>
      <c r="B1219" s="5">
        <v>45414</v>
      </c>
      <c r="C1219" s="4">
        <f t="shared" ref="C1219:C1252" si="251">YEAR(B1219)</f>
        <v>2024</v>
      </c>
      <c r="D1219" s="4">
        <f t="shared" ref="D1219:D1252" si="252">MONTH(B1219)</f>
        <v>5</v>
      </c>
      <c r="E1219" s="14">
        <v>45414</v>
      </c>
      <c r="F1219" s="4">
        <f t="shared" ref="F1219:F1252" si="253">DAY(B1219)</f>
        <v>2</v>
      </c>
      <c r="G1219">
        <v>232</v>
      </c>
      <c r="H1219">
        <v>224</v>
      </c>
      <c r="I1219" s="13">
        <f t="shared" ref="I1219:I1252" si="254">TRUNC(H1219/G1219,2)</f>
        <v>0.96</v>
      </c>
      <c r="J1219">
        <f t="shared" si="247"/>
        <v>8</v>
      </c>
      <c r="K1219" s="2">
        <v>1.3888888888888889E-4</v>
      </c>
      <c r="L1219" s="11">
        <f t="shared" si="248"/>
        <v>44.800000000000004</v>
      </c>
      <c r="M1219" s="3">
        <f t="shared" ref="M1219:M1252" si="255">MINUTE(K1219)+SECOND(K1219)/60</f>
        <v>0.2</v>
      </c>
      <c r="N1219" s="4">
        <f t="shared" ref="N1219:N1252" si="256">M1219*60</f>
        <v>12</v>
      </c>
      <c r="O1219" s="2">
        <v>1.9791666666666668E-3</v>
      </c>
      <c r="P1219" s="9">
        <f t="shared" si="249"/>
        <v>638.4</v>
      </c>
      <c r="Q1219" s="3">
        <f t="shared" ref="Q1219:Q1252" si="257">MINUTE(O1219)+SECOND(O1219)/60</f>
        <v>2.85</v>
      </c>
      <c r="R1219" s="4">
        <f t="shared" ref="R1219:R1252" si="258">Q1219*60</f>
        <v>171</v>
      </c>
      <c r="S1219" s="3">
        <f t="shared" ref="S1219:S1252" si="259">TRUNC(U1219,0)</f>
        <v>193</v>
      </c>
      <c r="T1219" s="1">
        <v>0.86460000000000004</v>
      </c>
      <c r="U1219" s="6">
        <f t="shared" si="250"/>
        <v>193.6704</v>
      </c>
    </row>
    <row r="1220" spans="1:21" x14ac:dyDescent="0.35">
      <c r="A1220">
        <v>1219</v>
      </c>
      <c r="B1220" s="5">
        <v>45415</v>
      </c>
      <c r="C1220" s="4">
        <f t="shared" si="251"/>
        <v>2024</v>
      </c>
      <c r="D1220" s="4">
        <f t="shared" si="252"/>
        <v>5</v>
      </c>
      <c r="E1220" s="14">
        <v>45415</v>
      </c>
      <c r="F1220" s="4">
        <f t="shared" si="253"/>
        <v>3</v>
      </c>
      <c r="G1220">
        <v>237</v>
      </c>
      <c r="H1220">
        <v>231</v>
      </c>
      <c r="I1220" s="13">
        <f t="shared" si="254"/>
        <v>0.97</v>
      </c>
      <c r="J1220">
        <f t="shared" si="247"/>
        <v>6</v>
      </c>
      <c r="K1220" s="2">
        <v>1.273148148148148E-4</v>
      </c>
      <c r="L1220" s="11">
        <f t="shared" si="248"/>
        <v>42.349999999999994</v>
      </c>
      <c r="M1220" s="3">
        <f t="shared" si="255"/>
        <v>0.18333333333333332</v>
      </c>
      <c r="N1220" s="4">
        <f t="shared" si="256"/>
        <v>11</v>
      </c>
      <c r="O1220" s="2">
        <v>2.0949074074074073E-3</v>
      </c>
      <c r="P1220" s="9">
        <f t="shared" si="249"/>
        <v>696.85</v>
      </c>
      <c r="Q1220" s="3">
        <f t="shared" si="257"/>
        <v>3.0166666666666666</v>
      </c>
      <c r="R1220" s="4">
        <f t="shared" si="258"/>
        <v>181</v>
      </c>
      <c r="S1220" s="3">
        <f t="shared" si="259"/>
        <v>202</v>
      </c>
      <c r="T1220" s="1">
        <v>0.87709999999999999</v>
      </c>
      <c r="U1220" s="6">
        <f t="shared" si="250"/>
        <v>202.61009999999999</v>
      </c>
    </row>
    <row r="1221" spans="1:21" x14ac:dyDescent="0.35">
      <c r="A1221">
        <v>1220</v>
      </c>
      <c r="B1221" s="5">
        <v>45416</v>
      </c>
      <c r="C1221" s="4">
        <f t="shared" si="251"/>
        <v>2024</v>
      </c>
      <c r="D1221" s="4">
        <f t="shared" si="252"/>
        <v>5</v>
      </c>
      <c r="E1221" s="14">
        <v>45416</v>
      </c>
      <c r="F1221" s="4">
        <f t="shared" si="253"/>
        <v>4</v>
      </c>
      <c r="G1221">
        <v>42</v>
      </c>
      <c r="H1221">
        <v>39</v>
      </c>
      <c r="I1221" s="13">
        <f t="shared" si="254"/>
        <v>0.92</v>
      </c>
      <c r="J1221">
        <f t="shared" si="247"/>
        <v>3</v>
      </c>
      <c r="K1221" s="2">
        <v>1.9675925925925926E-4</v>
      </c>
      <c r="L1221" s="11">
        <f t="shared" si="248"/>
        <v>11.049999999999999</v>
      </c>
      <c r="M1221" s="3">
        <f t="shared" si="255"/>
        <v>0.28333333333333333</v>
      </c>
      <c r="N1221" s="4">
        <f t="shared" si="256"/>
        <v>17</v>
      </c>
      <c r="O1221" s="2">
        <v>1.9791666666666668E-3</v>
      </c>
      <c r="P1221" s="9">
        <f t="shared" si="249"/>
        <v>111.15</v>
      </c>
      <c r="Q1221" s="3">
        <f t="shared" si="257"/>
        <v>2.85</v>
      </c>
      <c r="R1221" s="4">
        <f t="shared" si="258"/>
        <v>171</v>
      </c>
      <c r="S1221" s="3">
        <f t="shared" si="259"/>
        <v>30</v>
      </c>
      <c r="T1221" s="1">
        <v>0.78569999999999995</v>
      </c>
      <c r="U1221" s="6">
        <f t="shared" si="250"/>
        <v>30.642299999999999</v>
      </c>
    </row>
    <row r="1222" spans="1:21" x14ac:dyDescent="0.35">
      <c r="A1222">
        <v>1221</v>
      </c>
      <c r="B1222" s="5">
        <v>45417</v>
      </c>
      <c r="C1222" s="4">
        <f t="shared" si="251"/>
        <v>2024</v>
      </c>
      <c r="D1222" s="4">
        <f t="shared" si="252"/>
        <v>5</v>
      </c>
      <c r="E1222" s="14">
        <v>45417</v>
      </c>
      <c r="F1222" s="4">
        <f t="shared" si="253"/>
        <v>5</v>
      </c>
      <c r="G1222">
        <v>215</v>
      </c>
      <c r="H1222">
        <v>211</v>
      </c>
      <c r="I1222" s="13">
        <f t="shared" si="254"/>
        <v>0.98</v>
      </c>
      <c r="J1222">
        <f t="shared" si="247"/>
        <v>4</v>
      </c>
      <c r="K1222" s="2">
        <v>6.9444444444444444E-5</v>
      </c>
      <c r="L1222" s="11">
        <f t="shared" si="248"/>
        <v>21.1</v>
      </c>
      <c r="M1222" s="3">
        <f t="shared" si="255"/>
        <v>0.1</v>
      </c>
      <c r="N1222" s="4">
        <f t="shared" si="256"/>
        <v>6</v>
      </c>
      <c r="O1222" s="2">
        <v>2.1527777777777778E-3</v>
      </c>
      <c r="P1222" s="9">
        <f t="shared" si="249"/>
        <v>654.1</v>
      </c>
      <c r="Q1222" s="3">
        <f t="shared" si="257"/>
        <v>3.1</v>
      </c>
      <c r="R1222" s="4">
        <f t="shared" si="258"/>
        <v>186</v>
      </c>
      <c r="S1222" s="3">
        <f t="shared" si="259"/>
        <v>200</v>
      </c>
      <c r="T1222" s="1">
        <v>0.94810000000000005</v>
      </c>
      <c r="U1222" s="6">
        <f t="shared" si="250"/>
        <v>200.04910000000001</v>
      </c>
    </row>
    <row r="1223" spans="1:21" x14ac:dyDescent="0.35">
      <c r="A1223">
        <v>1222</v>
      </c>
      <c r="B1223" s="5">
        <v>45418</v>
      </c>
      <c r="C1223" s="4">
        <f t="shared" si="251"/>
        <v>2024</v>
      </c>
      <c r="D1223" s="4">
        <f t="shared" si="252"/>
        <v>5</v>
      </c>
      <c r="E1223" s="14">
        <v>45418</v>
      </c>
      <c r="F1223" s="4">
        <f t="shared" si="253"/>
        <v>6</v>
      </c>
      <c r="G1223">
        <v>153</v>
      </c>
      <c r="H1223">
        <v>152</v>
      </c>
      <c r="I1223" s="13">
        <f t="shared" si="254"/>
        <v>0.99</v>
      </c>
      <c r="J1223">
        <f t="shared" si="247"/>
        <v>1</v>
      </c>
      <c r="K1223" s="2">
        <v>4.6296296296296294E-5</v>
      </c>
      <c r="L1223" s="11">
        <f t="shared" si="248"/>
        <v>10.133333333333333</v>
      </c>
      <c r="M1223" s="3">
        <f t="shared" si="255"/>
        <v>6.6666666666666666E-2</v>
      </c>
      <c r="N1223" s="4">
        <f t="shared" si="256"/>
        <v>4</v>
      </c>
      <c r="O1223" s="2">
        <v>1.7939814814814815E-3</v>
      </c>
      <c r="P1223" s="9">
        <f t="shared" si="249"/>
        <v>392.66666666666669</v>
      </c>
      <c r="Q1223" s="3">
        <f t="shared" si="257"/>
        <v>2.5833333333333335</v>
      </c>
      <c r="R1223" s="4">
        <f t="shared" si="258"/>
        <v>155</v>
      </c>
      <c r="S1223" s="3">
        <f t="shared" si="259"/>
        <v>150</v>
      </c>
      <c r="T1223" s="1">
        <v>0.9869</v>
      </c>
      <c r="U1223" s="6">
        <f t="shared" si="250"/>
        <v>150.00880000000001</v>
      </c>
    </row>
    <row r="1224" spans="1:21" x14ac:dyDescent="0.35">
      <c r="A1224">
        <v>1223</v>
      </c>
      <c r="B1224" s="5">
        <v>45419</v>
      </c>
      <c r="C1224" s="4">
        <f t="shared" si="251"/>
        <v>2024</v>
      </c>
      <c r="D1224" s="4">
        <f t="shared" si="252"/>
        <v>5</v>
      </c>
      <c r="E1224" s="14">
        <v>45419</v>
      </c>
      <c r="F1224" s="4">
        <f t="shared" si="253"/>
        <v>7</v>
      </c>
      <c r="G1224">
        <v>39</v>
      </c>
      <c r="H1224">
        <v>39</v>
      </c>
      <c r="I1224" s="13">
        <f t="shared" si="254"/>
        <v>1</v>
      </c>
      <c r="J1224">
        <f t="shared" si="247"/>
        <v>0</v>
      </c>
      <c r="K1224" s="2">
        <v>1.6203703703703703E-4</v>
      </c>
      <c r="L1224" s="11">
        <f t="shared" si="248"/>
        <v>9.1</v>
      </c>
      <c r="M1224" s="3">
        <f t="shared" si="255"/>
        <v>0.23333333333333334</v>
      </c>
      <c r="N1224" s="4">
        <f t="shared" si="256"/>
        <v>14</v>
      </c>
      <c r="O1224" s="2">
        <v>2.5694444444444445E-3</v>
      </c>
      <c r="P1224" s="9">
        <f t="shared" si="249"/>
        <v>144.30000000000001</v>
      </c>
      <c r="Q1224" s="3">
        <f t="shared" si="257"/>
        <v>3.7</v>
      </c>
      <c r="R1224" s="4">
        <f t="shared" si="258"/>
        <v>222</v>
      </c>
      <c r="S1224" s="3">
        <f t="shared" si="259"/>
        <v>33</v>
      </c>
      <c r="T1224" s="1">
        <v>0.84619999999999995</v>
      </c>
      <c r="U1224" s="6">
        <f t="shared" si="250"/>
        <v>33.001799999999996</v>
      </c>
    </row>
    <row r="1225" spans="1:21" x14ac:dyDescent="0.35">
      <c r="A1225">
        <v>1224</v>
      </c>
      <c r="B1225" s="5">
        <v>45420</v>
      </c>
      <c r="C1225" s="4">
        <f t="shared" si="251"/>
        <v>2024</v>
      </c>
      <c r="D1225" s="4">
        <f t="shared" si="252"/>
        <v>5</v>
      </c>
      <c r="E1225" s="14">
        <v>45420</v>
      </c>
      <c r="F1225" s="4">
        <f t="shared" si="253"/>
        <v>8</v>
      </c>
      <c r="G1225">
        <v>334</v>
      </c>
      <c r="H1225">
        <v>322</v>
      </c>
      <c r="I1225" s="13">
        <f t="shared" si="254"/>
        <v>0.96</v>
      </c>
      <c r="J1225">
        <f t="shared" si="247"/>
        <v>12</v>
      </c>
      <c r="K1225" s="2">
        <v>1.9675925925925926E-4</v>
      </c>
      <c r="L1225" s="11">
        <f t="shared" si="248"/>
        <v>91.233333333333334</v>
      </c>
      <c r="M1225" s="3">
        <f t="shared" si="255"/>
        <v>0.28333333333333333</v>
      </c>
      <c r="N1225" s="4">
        <f t="shared" si="256"/>
        <v>17</v>
      </c>
      <c r="O1225" s="2">
        <v>2.0370370370370369E-3</v>
      </c>
      <c r="P1225" s="9">
        <f t="shared" si="249"/>
        <v>944.53333333333342</v>
      </c>
      <c r="Q1225" s="3">
        <f t="shared" si="257"/>
        <v>2.9333333333333336</v>
      </c>
      <c r="R1225" s="4">
        <f t="shared" si="258"/>
        <v>176</v>
      </c>
      <c r="S1225" s="3">
        <f t="shared" si="259"/>
        <v>248</v>
      </c>
      <c r="T1225" s="1">
        <v>0.77129999999999999</v>
      </c>
      <c r="U1225" s="6">
        <f t="shared" si="250"/>
        <v>248.3586</v>
      </c>
    </row>
    <row r="1226" spans="1:21" x14ac:dyDescent="0.35">
      <c r="A1226">
        <v>1225</v>
      </c>
      <c r="B1226" s="5">
        <v>45421</v>
      </c>
      <c r="C1226" s="4">
        <f t="shared" si="251"/>
        <v>2024</v>
      </c>
      <c r="D1226" s="4">
        <f t="shared" si="252"/>
        <v>5</v>
      </c>
      <c r="E1226" s="14">
        <v>45421</v>
      </c>
      <c r="F1226" s="4">
        <f t="shared" si="253"/>
        <v>9</v>
      </c>
      <c r="G1226">
        <v>236</v>
      </c>
      <c r="H1226">
        <v>225</v>
      </c>
      <c r="I1226" s="13">
        <f t="shared" si="254"/>
        <v>0.95</v>
      </c>
      <c r="J1226">
        <f t="shared" si="247"/>
        <v>11</v>
      </c>
      <c r="K1226" s="2">
        <v>1.5046296296296297E-4</v>
      </c>
      <c r="L1226" s="11">
        <f t="shared" si="248"/>
        <v>48.75</v>
      </c>
      <c r="M1226" s="3">
        <f t="shared" si="255"/>
        <v>0.21666666666666667</v>
      </c>
      <c r="N1226" s="4">
        <f t="shared" si="256"/>
        <v>13</v>
      </c>
      <c r="O1226" s="2">
        <v>2.0023148148148148E-3</v>
      </c>
      <c r="P1226" s="9">
        <f t="shared" si="249"/>
        <v>648.75</v>
      </c>
      <c r="Q1226" s="3">
        <f t="shared" si="257"/>
        <v>2.8833333333333333</v>
      </c>
      <c r="R1226" s="4">
        <f t="shared" si="258"/>
        <v>173</v>
      </c>
      <c r="S1226" s="3">
        <f t="shared" si="259"/>
        <v>191</v>
      </c>
      <c r="T1226" s="1">
        <v>0.85089999999999999</v>
      </c>
      <c r="U1226" s="6">
        <f t="shared" si="250"/>
        <v>191.45249999999999</v>
      </c>
    </row>
    <row r="1227" spans="1:21" x14ac:dyDescent="0.35">
      <c r="A1227">
        <v>1226</v>
      </c>
      <c r="B1227" s="5">
        <v>45422</v>
      </c>
      <c r="C1227" s="4">
        <f t="shared" si="251"/>
        <v>2024</v>
      </c>
      <c r="D1227" s="4">
        <f t="shared" si="252"/>
        <v>5</v>
      </c>
      <c r="E1227" s="14">
        <v>45422</v>
      </c>
      <c r="F1227" s="4">
        <f t="shared" si="253"/>
        <v>10</v>
      </c>
      <c r="G1227">
        <v>186</v>
      </c>
      <c r="H1227">
        <v>182</v>
      </c>
      <c r="I1227" s="13">
        <f t="shared" si="254"/>
        <v>0.97</v>
      </c>
      <c r="J1227">
        <f t="shared" si="247"/>
        <v>4</v>
      </c>
      <c r="K1227" s="2">
        <v>9.2592592592592588E-5</v>
      </c>
      <c r="L1227" s="11">
        <f t="shared" si="248"/>
        <v>24.266666666666666</v>
      </c>
      <c r="M1227" s="3">
        <f t="shared" si="255"/>
        <v>0.13333333333333333</v>
      </c>
      <c r="N1227" s="4">
        <f t="shared" si="256"/>
        <v>8</v>
      </c>
      <c r="O1227" s="2">
        <v>1.8287037037037037E-3</v>
      </c>
      <c r="P1227" s="9">
        <f t="shared" si="249"/>
        <v>479.26666666666665</v>
      </c>
      <c r="Q1227" s="3">
        <f t="shared" si="257"/>
        <v>2.6333333333333333</v>
      </c>
      <c r="R1227" s="4">
        <f t="shared" si="258"/>
        <v>158</v>
      </c>
      <c r="S1227" s="3">
        <f t="shared" si="259"/>
        <v>173</v>
      </c>
      <c r="T1227" s="1">
        <v>0.95109999999999995</v>
      </c>
      <c r="U1227" s="6">
        <f t="shared" si="250"/>
        <v>173.1002</v>
      </c>
    </row>
    <row r="1228" spans="1:21" x14ac:dyDescent="0.35">
      <c r="A1228">
        <v>1227</v>
      </c>
      <c r="B1228" s="5">
        <v>45423</v>
      </c>
      <c r="C1228" s="4">
        <f t="shared" si="251"/>
        <v>2024</v>
      </c>
      <c r="D1228" s="4">
        <f t="shared" si="252"/>
        <v>5</v>
      </c>
      <c r="E1228" s="14">
        <v>45423</v>
      </c>
      <c r="F1228" s="4">
        <f t="shared" si="253"/>
        <v>11</v>
      </c>
      <c r="G1228">
        <v>202</v>
      </c>
      <c r="H1228">
        <v>197</v>
      </c>
      <c r="I1228" s="13">
        <f t="shared" si="254"/>
        <v>0.97</v>
      </c>
      <c r="J1228">
        <f t="shared" si="247"/>
        <v>5</v>
      </c>
      <c r="K1228" s="2">
        <v>1.5046296296296297E-4</v>
      </c>
      <c r="L1228" s="11">
        <f t="shared" si="248"/>
        <v>42.683333333333337</v>
      </c>
      <c r="M1228" s="3">
        <f t="shared" si="255"/>
        <v>0.21666666666666667</v>
      </c>
      <c r="N1228" s="4">
        <f t="shared" si="256"/>
        <v>13</v>
      </c>
      <c r="O1228" s="2">
        <v>1.7708333333333332E-3</v>
      </c>
      <c r="P1228" s="9">
        <f t="shared" si="249"/>
        <v>502.34999999999997</v>
      </c>
      <c r="Q1228" s="3">
        <f t="shared" si="257"/>
        <v>2.5499999999999998</v>
      </c>
      <c r="R1228" s="4">
        <f t="shared" si="258"/>
        <v>153</v>
      </c>
      <c r="S1228" s="3">
        <f t="shared" si="259"/>
        <v>171</v>
      </c>
      <c r="T1228" s="1">
        <v>0.87</v>
      </c>
      <c r="U1228" s="6">
        <f t="shared" si="250"/>
        <v>171.39</v>
      </c>
    </row>
    <row r="1229" spans="1:21" x14ac:dyDescent="0.35">
      <c r="A1229">
        <v>1228</v>
      </c>
      <c r="B1229" s="5">
        <v>45424</v>
      </c>
      <c r="C1229" s="4">
        <f t="shared" si="251"/>
        <v>2024</v>
      </c>
      <c r="D1229" s="4">
        <f t="shared" si="252"/>
        <v>5</v>
      </c>
      <c r="E1229" s="14">
        <v>45424</v>
      </c>
      <c r="F1229" s="4">
        <f t="shared" si="253"/>
        <v>12</v>
      </c>
      <c r="G1229">
        <v>185</v>
      </c>
      <c r="H1229">
        <v>182</v>
      </c>
      <c r="I1229" s="13">
        <f t="shared" si="254"/>
        <v>0.98</v>
      </c>
      <c r="J1229">
        <f t="shared" si="247"/>
        <v>3</v>
      </c>
      <c r="K1229" s="2">
        <v>9.2592592592592588E-5</v>
      </c>
      <c r="L1229" s="11">
        <f t="shared" si="248"/>
        <v>24.266666666666666</v>
      </c>
      <c r="M1229" s="3">
        <f t="shared" si="255"/>
        <v>0.13333333333333333</v>
      </c>
      <c r="N1229" s="4">
        <f t="shared" si="256"/>
        <v>8</v>
      </c>
      <c r="O1229" s="2">
        <v>1.9560185185185184E-3</v>
      </c>
      <c r="P1229" s="9">
        <f t="shared" si="249"/>
        <v>512.63333333333333</v>
      </c>
      <c r="Q1229" s="3">
        <f t="shared" si="257"/>
        <v>2.8166666666666664</v>
      </c>
      <c r="R1229" s="4">
        <f t="shared" si="258"/>
        <v>169</v>
      </c>
      <c r="S1229" s="3">
        <f t="shared" si="259"/>
        <v>164</v>
      </c>
      <c r="T1229" s="1">
        <v>0.90269999999999995</v>
      </c>
      <c r="U1229" s="6">
        <f t="shared" si="250"/>
        <v>164.29139999999998</v>
      </c>
    </row>
    <row r="1230" spans="1:21" x14ac:dyDescent="0.35">
      <c r="A1230">
        <v>1229</v>
      </c>
      <c r="B1230" s="5">
        <v>45425</v>
      </c>
      <c r="C1230" s="4">
        <f t="shared" si="251"/>
        <v>2024</v>
      </c>
      <c r="D1230" s="4">
        <f t="shared" si="252"/>
        <v>5</v>
      </c>
      <c r="E1230" s="14">
        <v>45425</v>
      </c>
      <c r="F1230" s="4">
        <f t="shared" si="253"/>
        <v>13</v>
      </c>
      <c r="G1230">
        <v>38</v>
      </c>
      <c r="H1230">
        <v>38</v>
      </c>
      <c r="I1230" s="13">
        <f t="shared" si="254"/>
        <v>1</v>
      </c>
      <c r="J1230">
        <f t="shared" si="247"/>
        <v>0</v>
      </c>
      <c r="K1230" s="2">
        <v>4.6296296296296294E-5</v>
      </c>
      <c r="L1230" s="11">
        <f t="shared" si="248"/>
        <v>2.5333333333333332</v>
      </c>
      <c r="M1230" s="3">
        <f t="shared" si="255"/>
        <v>6.6666666666666666E-2</v>
      </c>
      <c r="N1230" s="4">
        <f t="shared" si="256"/>
        <v>4</v>
      </c>
      <c r="O1230" s="2">
        <v>2.3842592592592591E-3</v>
      </c>
      <c r="P1230" s="9">
        <f t="shared" si="249"/>
        <v>130.46666666666667</v>
      </c>
      <c r="Q1230" s="3">
        <f t="shared" si="257"/>
        <v>3.4333333333333336</v>
      </c>
      <c r="R1230" s="4">
        <f t="shared" si="258"/>
        <v>206</v>
      </c>
      <c r="S1230" s="3">
        <f t="shared" si="259"/>
        <v>37</v>
      </c>
      <c r="T1230" s="1">
        <v>0.97370000000000001</v>
      </c>
      <c r="U1230" s="6">
        <f t="shared" si="250"/>
        <v>37.000599999999999</v>
      </c>
    </row>
    <row r="1231" spans="1:21" x14ac:dyDescent="0.35">
      <c r="A1231">
        <v>1230</v>
      </c>
      <c r="B1231" s="5">
        <v>45426</v>
      </c>
      <c r="C1231" s="4">
        <f t="shared" si="251"/>
        <v>2024</v>
      </c>
      <c r="D1231" s="4">
        <f t="shared" si="252"/>
        <v>5</v>
      </c>
      <c r="E1231" s="14">
        <v>45426</v>
      </c>
      <c r="F1231" s="4">
        <f t="shared" si="253"/>
        <v>14</v>
      </c>
      <c r="G1231">
        <v>25</v>
      </c>
      <c r="H1231">
        <v>24</v>
      </c>
      <c r="I1231" s="13">
        <f t="shared" si="254"/>
        <v>0.96</v>
      </c>
      <c r="J1231">
        <f t="shared" si="247"/>
        <v>1</v>
      </c>
      <c r="K1231" s="2">
        <v>3.4722222222222222E-5</v>
      </c>
      <c r="L1231" s="11">
        <f t="shared" si="248"/>
        <v>1.2000000000000002</v>
      </c>
      <c r="M1231" s="3">
        <f t="shared" si="255"/>
        <v>0.05</v>
      </c>
      <c r="N1231" s="4">
        <f t="shared" si="256"/>
        <v>3</v>
      </c>
      <c r="O1231" s="2">
        <v>1.8981481481481482E-3</v>
      </c>
      <c r="P1231" s="9">
        <f t="shared" si="249"/>
        <v>65.599999999999994</v>
      </c>
      <c r="Q1231" s="3">
        <f t="shared" si="257"/>
        <v>2.7333333333333334</v>
      </c>
      <c r="R1231" s="4">
        <f t="shared" si="258"/>
        <v>164</v>
      </c>
      <c r="S1231" s="3">
        <f t="shared" si="259"/>
        <v>23</v>
      </c>
      <c r="T1231" s="1">
        <v>0.96</v>
      </c>
      <c r="U1231" s="6">
        <f t="shared" si="250"/>
        <v>23.04</v>
      </c>
    </row>
    <row r="1232" spans="1:21" x14ac:dyDescent="0.35">
      <c r="A1232">
        <v>1231</v>
      </c>
      <c r="B1232" s="5">
        <v>45427</v>
      </c>
      <c r="C1232" s="4">
        <f t="shared" si="251"/>
        <v>2024</v>
      </c>
      <c r="D1232" s="4">
        <f t="shared" si="252"/>
        <v>5</v>
      </c>
      <c r="E1232" s="14">
        <v>45427</v>
      </c>
      <c r="F1232" s="4">
        <f t="shared" si="253"/>
        <v>15</v>
      </c>
      <c r="G1232">
        <v>203</v>
      </c>
      <c r="H1232">
        <v>195</v>
      </c>
      <c r="I1232" s="13">
        <f t="shared" si="254"/>
        <v>0.96</v>
      </c>
      <c r="J1232">
        <f t="shared" si="247"/>
        <v>8</v>
      </c>
      <c r="K1232" s="2">
        <v>9.2592592592592588E-5</v>
      </c>
      <c r="L1232" s="11">
        <f t="shared" si="248"/>
        <v>26</v>
      </c>
      <c r="M1232" s="3">
        <f t="shared" si="255"/>
        <v>0.13333333333333333</v>
      </c>
      <c r="N1232" s="4">
        <f t="shared" si="256"/>
        <v>8</v>
      </c>
      <c r="O1232" s="2">
        <v>1.8287037037037037E-3</v>
      </c>
      <c r="P1232" s="9">
        <f t="shared" si="249"/>
        <v>513.5</v>
      </c>
      <c r="Q1232" s="3">
        <f t="shared" si="257"/>
        <v>2.6333333333333333</v>
      </c>
      <c r="R1232" s="4">
        <f t="shared" si="258"/>
        <v>158</v>
      </c>
      <c r="S1232" s="3">
        <f t="shared" si="259"/>
        <v>172</v>
      </c>
      <c r="T1232" s="1">
        <v>0.88560000000000005</v>
      </c>
      <c r="U1232" s="6">
        <f t="shared" si="250"/>
        <v>172.69200000000001</v>
      </c>
    </row>
    <row r="1233" spans="1:21" x14ac:dyDescent="0.35">
      <c r="A1233">
        <v>1232</v>
      </c>
      <c r="B1233" s="5">
        <v>45428</v>
      </c>
      <c r="C1233" s="4">
        <f t="shared" si="251"/>
        <v>2024</v>
      </c>
      <c r="D1233" s="4">
        <f t="shared" si="252"/>
        <v>5</v>
      </c>
      <c r="E1233" s="14">
        <v>45428</v>
      </c>
      <c r="F1233" s="4">
        <f t="shared" si="253"/>
        <v>16</v>
      </c>
      <c r="G1233">
        <v>296</v>
      </c>
      <c r="H1233">
        <v>292</v>
      </c>
      <c r="I1233" s="13">
        <f t="shared" si="254"/>
        <v>0.98</v>
      </c>
      <c r="J1233">
        <f t="shared" si="247"/>
        <v>4</v>
      </c>
      <c r="K1233" s="2">
        <v>4.6296296296296294E-5</v>
      </c>
      <c r="L1233" s="11">
        <f t="shared" si="248"/>
        <v>19.466666666666665</v>
      </c>
      <c r="M1233" s="3">
        <f t="shared" si="255"/>
        <v>6.6666666666666666E-2</v>
      </c>
      <c r="N1233" s="4">
        <f t="shared" si="256"/>
        <v>4</v>
      </c>
      <c r="O1233" s="2">
        <v>1.8518518518518519E-3</v>
      </c>
      <c r="P1233" s="9">
        <f t="shared" si="249"/>
        <v>778.66666666666663</v>
      </c>
      <c r="Q1233" s="3">
        <f t="shared" si="257"/>
        <v>2.6666666666666665</v>
      </c>
      <c r="R1233" s="4">
        <f t="shared" si="258"/>
        <v>160</v>
      </c>
      <c r="S1233" s="3">
        <f t="shared" si="259"/>
        <v>287</v>
      </c>
      <c r="T1233" s="1">
        <v>0.98629999999999995</v>
      </c>
      <c r="U1233" s="6">
        <f t="shared" si="250"/>
        <v>287.99959999999999</v>
      </c>
    </row>
    <row r="1234" spans="1:21" x14ac:dyDescent="0.35">
      <c r="A1234">
        <v>1233</v>
      </c>
      <c r="B1234" s="5">
        <v>45429</v>
      </c>
      <c r="C1234" s="4">
        <f t="shared" si="251"/>
        <v>2024</v>
      </c>
      <c r="D1234" s="4">
        <f t="shared" si="252"/>
        <v>5</v>
      </c>
      <c r="E1234" s="14">
        <v>45429</v>
      </c>
      <c r="F1234" s="4">
        <f t="shared" si="253"/>
        <v>17</v>
      </c>
      <c r="G1234">
        <v>233</v>
      </c>
      <c r="H1234">
        <v>223</v>
      </c>
      <c r="I1234" s="13">
        <f t="shared" si="254"/>
        <v>0.95</v>
      </c>
      <c r="J1234">
        <f t="shared" si="247"/>
        <v>10</v>
      </c>
      <c r="K1234" s="2">
        <v>1.0416666666666667E-4</v>
      </c>
      <c r="L1234" s="11">
        <f t="shared" si="248"/>
        <v>33.449999999999996</v>
      </c>
      <c r="M1234" s="3">
        <f t="shared" si="255"/>
        <v>0.15</v>
      </c>
      <c r="N1234" s="4">
        <f t="shared" si="256"/>
        <v>9</v>
      </c>
      <c r="O1234" s="2">
        <v>1.9328703703703704E-3</v>
      </c>
      <c r="P1234" s="9">
        <f t="shared" si="249"/>
        <v>620.68333333333328</v>
      </c>
      <c r="Q1234" s="3">
        <f t="shared" si="257"/>
        <v>2.7833333333333332</v>
      </c>
      <c r="R1234" s="4">
        <f t="shared" si="258"/>
        <v>167</v>
      </c>
      <c r="S1234" s="3">
        <f t="shared" si="259"/>
        <v>195</v>
      </c>
      <c r="T1234" s="1">
        <v>0.87829999999999997</v>
      </c>
      <c r="U1234" s="6">
        <f t="shared" si="250"/>
        <v>195.86089999999999</v>
      </c>
    </row>
    <row r="1235" spans="1:21" x14ac:dyDescent="0.35">
      <c r="A1235">
        <v>1234</v>
      </c>
      <c r="B1235" s="5">
        <v>45430</v>
      </c>
      <c r="C1235" s="4">
        <f t="shared" si="251"/>
        <v>2024</v>
      </c>
      <c r="D1235" s="4">
        <f t="shared" si="252"/>
        <v>5</v>
      </c>
      <c r="E1235" s="14">
        <v>45430</v>
      </c>
      <c r="F1235" s="4">
        <f t="shared" si="253"/>
        <v>18</v>
      </c>
      <c r="G1235">
        <v>198</v>
      </c>
      <c r="H1235">
        <v>194</v>
      </c>
      <c r="I1235" s="13">
        <f t="shared" si="254"/>
        <v>0.97</v>
      </c>
      <c r="J1235">
        <f t="shared" si="247"/>
        <v>4</v>
      </c>
      <c r="K1235" s="2">
        <v>9.2592592592592588E-5</v>
      </c>
      <c r="L1235" s="11">
        <f t="shared" si="248"/>
        <v>25.866666666666667</v>
      </c>
      <c r="M1235" s="3">
        <f t="shared" si="255"/>
        <v>0.13333333333333333</v>
      </c>
      <c r="N1235" s="4">
        <f t="shared" si="256"/>
        <v>8</v>
      </c>
      <c r="O1235" s="2">
        <v>1.8749999999999999E-3</v>
      </c>
      <c r="P1235" s="9">
        <f t="shared" si="249"/>
        <v>523.80000000000007</v>
      </c>
      <c r="Q1235" s="3">
        <f t="shared" si="257"/>
        <v>2.7</v>
      </c>
      <c r="R1235" s="4">
        <f t="shared" si="258"/>
        <v>162</v>
      </c>
      <c r="S1235" s="3">
        <f t="shared" si="259"/>
        <v>178</v>
      </c>
      <c r="T1235" s="1">
        <v>0.91790000000000005</v>
      </c>
      <c r="U1235" s="6">
        <f t="shared" si="250"/>
        <v>178.07260000000002</v>
      </c>
    </row>
    <row r="1236" spans="1:21" x14ac:dyDescent="0.35">
      <c r="A1236">
        <v>1235</v>
      </c>
      <c r="B1236" s="5">
        <v>45431</v>
      </c>
      <c r="C1236" s="4">
        <f t="shared" si="251"/>
        <v>2024</v>
      </c>
      <c r="D1236" s="4">
        <f t="shared" si="252"/>
        <v>5</v>
      </c>
      <c r="E1236" s="14">
        <v>45431</v>
      </c>
      <c r="F1236" s="4">
        <f t="shared" si="253"/>
        <v>19</v>
      </c>
      <c r="G1236">
        <v>181</v>
      </c>
      <c r="H1236">
        <v>179</v>
      </c>
      <c r="I1236" s="13">
        <f t="shared" si="254"/>
        <v>0.98</v>
      </c>
      <c r="J1236">
        <f t="shared" si="247"/>
        <v>2</v>
      </c>
      <c r="K1236" s="2">
        <v>4.6296296296296294E-5</v>
      </c>
      <c r="L1236" s="11">
        <f t="shared" si="248"/>
        <v>11.933333333333334</v>
      </c>
      <c r="M1236" s="3">
        <f t="shared" si="255"/>
        <v>6.6666666666666666E-2</v>
      </c>
      <c r="N1236" s="4">
        <f t="shared" si="256"/>
        <v>4</v>
      </c>
      <c r="O1236" s="2">
        <v>1.8402777777777777E-3</v>
      </c>
      <c r="P1236" s="9">
        <f t="shared" si="249"/>
        <v>474.34999999999997</v>
      </c>
      <c r="Q1236" s="3">
        <f t="shared" si="257"/>
        <v>2.65</v>
      </c>
      <c r="R1236" s="4">
        <f t="shared" si="258"/>
        <v>159</v>
      </c>
      <c r="S1236" s="3">
        <f t="shared" si="259"/>
        <v>177</v>
      </c>
      <c r="T1236" s="1">
        <v>0.99439999999999995</v>
      </c>
      <c r="U1236" s="6">
        <f t="shared" si="250"/>
        <v>177.99759999999998</v>
      </c>
    </row>
    <row r="1237" spans="1:21" x14ac:dyDescent="0.35">
      <c r="A1237">
        <v>1236</v>
      </c>
      <c r="B1237" s="5">
        <v>45432</v>
      </c>
      <c r="C1237" s="4">
        <f t="shared" si="251"/>
        <v>2024</v>
      </c>
      <c r="D1237" s="4">
        <f t="shared" si="252"/>
        <v>5</v>
      </c>
      <c r="E1237" s="14">
        <v>45432</v>
      </c>
      <c r="F1237" s="4">
        <f t="shared" si="253"/>
        <v>20</v>
      </c>
      <c r="G1237">
        <v>166</v>
      </c>
      <c r="H1237">
        <v>162</v>
      </c>
      <c r="I1237" s="13">
        <f t="shared" si="254"/>
        <v>0.97</v>
      </c>
      <c r="J1237">
        <f t="shared" si="247"/>
        <v>4</v>
      </c>
      <c r="K1237" s="2">
        <v>6.9444444444444444E-5</v>
      </c>
      <c r="L1237" s="11">
        <f t="shared" si="248"/>
        <v>16.2</v>
      </c>
      <c r="M1237" s="3">
        <f t="shared" si="255"/>
        <v>0.1</v>
      </c>
      <c r="N1237" s="4">
        <f t="shared" si="256"/>
        <v>6</v>
      </c>
      <c r="O1237" s="2">
        <v>1.8402777777777777E-3</v>
      </c>
      <c r="P1237" s="9">
        <f t="shared" si="249"/>
        <v>429.3</v>
      </c>
      <c r="Q1237" s="3">
        <f t="shared" si="257"/>
        <v>2.65</v>
      </c>
      <c r="R1237" s="4">
        <f t="shared" si="258"/>
        <v>159</v>
      </c>
      <c r="S1237" s="3">
        <f t="shared" si="259"/>
        <v>152</v>
      </c>
      <c r="T1237" s="1">
        <v>0.93869999999999998</v>
      </c>
      <c r="U1237" s="6">
        <f t="shared" si="250"/>
        <v>152.0694</v>
      </c>
    </row>
    <row r="1238" spans="1:21" x14ac:dyDescent="0.35">
      <c r="A1238">
        <v>1237</v>
      </c>
      <c r="B1238" s="5">
        <v>45433</v>
      </c>
      <c r="C1238" s="4">
        <f t="shared" si="251"/>
        <v>2024</v>
      </c>
      <c r="D1238" s="4">
        <f t="shared" si="252"/>
        <v>5</v>
      </c>
      <c r="E1238" s="14">
        <v>45433</v>
      </c>
      <c r="F1238" s="4">
        <f t="shared" si="253"/>
        <v>21</v>
      </c>
      <c r="G1238">
        <v>19</v>
      </c>
      <c r="H1238">
        <v>19</v>
      </c>
      <c r="I1238" s="13">
        <f t="shared" si="254"/>
        <v>1</v>
      </c>
      <c r="J1238">
        <f t="shared" si="247"/>
        <v>0</v>
      </c>
      <c r="K1238" s="2">
        <v>3.4722222222222222E-5</v>
      </c>
      <c r="L1238" s="11">
        <f t="shared" si="248"/>
        <v>0.95000000000000007</v>
      </c>
      <c r="M1238" s="3">
        <f t="shared" si="255"/>
        <v>0.05</v>
      </c>
      <c r="N1238" s="4">
        <f t="shared" si="256"/>
        <v>3</v>
      </c>
      <c r="O1238" s="2">
        <v>1.7013888888888888E-3</v>
      </c>
      <c r="P1238" s="9">
        <f t="shared" si="249"/>
        <v>46.550000000000004</v>
      </c>
      <c r="Q1238" s="3">
        <f t="shared" si="257"/>
        <v>2.4500000000000002</v>
      </c>
      <c r="R1238" s="4">
        <f t="shared" si="258"/>
        <v>147</v>
      </c>
      <c r="S1238" s="3">
        <f t="shared" si="259"/>
        <v>19</v>
      </c>
      <c r="T1238" s="1">
        <v>1</v>
      </c>
      <c r="U1238" s="6">
        <f t="shared" si="250"/>
        <v>19</v>
      </c>
    </row>
    <row r="1239" spans="1:21" x14ac:dyDescent="0.35">
      <c r="A1239">
        <v>1238</v>
      </c>
      <c r="B1239" s="5">
        <v>45434</v>
      </c>
      <c r="C1239" s="4">
        <f t="shared" si="251"/>
        <v>2024</v>
      </c>
      <c r="D1239" s="4">
        <f t="shared" si="252"/>
        <v>5</v>
      </c>
      <c r="E1239" s="14">
        <v>45434</v>
      </c>
      <c r="F1239" s="4">
        <f t="shared" si="253"/>
        <v>22</v>
      </c>
      <c r="G1239">
        <v>196</v>
      </c>
      <c r="H1239">
        <v>181</v>
      </c>
      <c r="I1239" s="13">
        <f t="shared" si="254"/>
        <v>0.92</v>
      </c>
      <c r="J1239">
        <f t="shared" si="247"/>
        <v>15</v>
      </c>
      <c r="K1239" s="2">
        <v>1.6203703703703703E-4</v>
      </c>
      <c r="L1239" s="11">
        <f t="shared" si="248"/>
        <v>42.233333333333334</v>
      </c>
      <c r="M1239" s="3">
        <f t="shared" si="255"/>
        <v>0.23333333333333334</v>
      </c>
      <c r="N1239" s="4">
        <f t="shared" si="256"/>
        <v>14</v>
      </c>
      <c r="O1239" s="2">
        <v>1.8171296296296297E-3</v>
      </c>
      <c r="P1239" s="9">
        <f t="shared" si="249"/>
        <v>473.61666666666667</v>
      </c>
      <c r="Q1239" s="3">
        <f t="shared" si="257"/>
        <v>2.6166666666666667</v>
      </c>
      <c r="R1239" s="4">
        <f t="shared" si="258"/>
        <v>157</v>
      </c>
      <c r="S1239" s="3">
        <f t="shared" si="259"/>
        <v>141</v>
      </c>
      <c r="T1239" s="1">
        <v>0.78129999999999999</v>
      </c>
      <c r="U1239" s="6">
        <f t="shared" si="250"/>
        <v>141.4153</v>
      </c>
    </row>
    <row r="1240" spans="1:21" x14ac:dyDescent="0.35">
      <c r="A1240">
        <v>1239</v>
      </c>
      <c r="B1240" s="5">
        <v>45435</v>
      </c>
      <c r="C1240" s="4">
        <f t="shared" si="251"/>
        <v>2024</v>
      </c>
      <c r="D1240" s="4">
        <f t="shared" si="252"/>
        <v>5</v>
      </c>
      <c r="E1240" s="14">
        <v>45435</v>
      </c>
      <c r="F1240" s="4">
        <f t="shared" si="253"/>
        <v>23</v>
      </c>
      <c r="G1240">
        <v>176</v>
      </c>
      <c r="H1240">
        <v>172</v>
      </c>
      <c r="I1240" s="13">
        <f t="shared" si="254"/>
        <v>0.97</v>
      </c>
      <c r="J1240">
        <f t="shared" si="247"/>
        <v>4</v>
      </c>
      <c r="K1240" s="2">
        <v>1.8518518518518518E-4</v>
      </c>
      <c r="L1240" s="11">
        <f t="shared" si="248"/>
        <v>45.866666666666667</v>
      </c>
      <c r="M1240" s="3">
        <f t="shared" si="255"/>
        <v>0.26666666666666666</v>
      </c>
      <c r="N1240" s="4">
        <f t="shared" si="256"/>
        <v>16</v>
      </c>
      <c r="O1240" s="2">
        <v>1.736111111111111E-3</v>
      </c>
      <c r="P1240" s="9">
        <f t="shared" si="249"/>
        <v>430</v>
      </c>
      <c r="Q1240" s="3">
        <f t="shared" si="257"/>
        <v>2.5</v>
      </c>
      <c r="R1240" s="4">
        <f t="shared" si="258"/>
        <v>150</v>
      </c>
      <c r="S1240" s="3">
        <f t="shared" si="259"/>
        <v>136</v>
      </c>
      <c r="T1240" s="1">
        <v>0.79430000000000001</v>
      </c>
      <c r="U1240" s="6">
        <f t="shared" si="250"/>
        <v>136.61959999999999</v>
      </c>
    </row>
    <row r="1241" spans="1:21" x14ac:dyDescent="0.35">
      <c r="A1241">
        <v>1240</v>
      </c>
      <c r="B1241" s="5">
        <v>45436</v>
      </c>
      <c r="C1241" s="4">
        <f t="shared" si="251"/>
        <v>2024</v>
      </c>
      <c r="D1241" s="4">
        <f t="shared" si="252"/>
        <v>5</v>
      </c>
      <c r="E1241" s="14">
        <v>45436</v>
      </c>
      <c r="F1241" s="4">
        <f t="shared" si="253"/>
        <v>24</v>
      </c>
      <c r="G1241">
        <v>221</v>
      </c>
      <c r="H1241">
        <v>209</v>
      </c>
      <c r="I1241" s="13">
        <f t="shared" si="254"/>
        <v>0.94</v>
      </c>
      <c r="J1241">
        <f t="shared" si="247"/>
        <v>12</v>
      </c>
      <c r="K1241" s="2">
        <v>1.3888888888888889E-4</v>
      </c>
      <c r="L1241" s="11">
        <f t="shared" si="248"/>
        <v>41.800000000000004</v>
      </c>
      <c r="M1241" s="3">
        <f t="shared" si="255"/>
        <v>0.2</v>
      </c>
      <c r="N1241" s="4">
        <f t="shared" si="256"/>
        <v>12</v>
      </c>
      <c r="O1241" s="2">
        <v>1.8749999999999999E-3</v>
      </c>
      <c r="P1241" s="9">
        <f t="shared" si="249"/>
        <v>564.30000000000007</v>
      </c>
      <c r="Q1241" s="3">
        <f t="shared" si="257"/>
        <v>2.7</v>
      </c>
      <c r="R1241" s="4">
        <f t="shared" si="258"/>
        <v>162</v>
      </c>
      <c r="S1241" s="3">
        <f t="shared" si="259"/>
        <v>175</v>
      </c>
      <c r="T1241" s="1">
        <v>0.8387</v>
      </c>
      <c r="U1241" s="6">
        <f t="shared" si="250"/>
        <v>175.28829999999999</v>
      </c>
    </row>
    <row r="1242" spans="1:21" x14ac:dyDescent="0.35">
      <c r="A1242">
        <v>1241</v>
      </c>
      <c r="B1242" s="5">
        <v>45437</v>
      </c>
      <c r="C1242" s="4">
        <f t="shared" si="251"/>
        <v>2024</v>
      </c>
      <c r="D1242" s="4">
        <f t="shared" si="252"/>
        <v>5</v>
      </c>
      <c r="E1242" s="14">
        <v>45437</v>
      </c>
      <c r="F1242" s="4">
        <f t="shared" si="253"/>
        <v>25</v>
      </c>
      <c r="G1242">
        <v>196</v>
      </c>
      <c r="H1242">
        <v>191</v>
      </c>
      <c r="I1242" s="13">
        <f t="shared" si="254"/>
        <v>0.97</v>
      </c>
      <c r="J1242">
        <f t="shared" si="247"/>
        <v>5</v>
      </c>
      <c r="K1242" s="2">
        <v>1.6203703703703703E-4</v>
      </c>
      <c r="L1242" s="11">
        <f t="shared" si="248"/>
        <v>44.56666666666667</v>
      </c>
      <c r="M1242" s="3">
        <f t="shared" si="255"/>
        <v>0.23333333333333334</v>
      </c>
      <c r="N1242" s="4">
        <f t="shared" si="256"/>
        <v>14</v>
      </c>
      <c r="O1242" s="2">
        <v>1.9791666666666668E-3</v>
      </c>
      <c r="P1242" s="9">
        <f t="shared" si="249"/>
        <v>544.35</v>
      </c>
      <c r="Q1242" s="3">
        <f t="shared" si="257"/>
        <v>2.85</v>
      </c>
      <c r="R1242" s="4">
        <f t="shared" si="258"/>
        <v>171</v>
      </c>
      <c r="S1242" s="3">
        <f t="shared" si="259"/>
        <v>164</v>
      </c>
      <c r="T1242" s="1">
        <v>0.86009999999999998</v>
      </c>
      <c r="U1242" s="6">
        <f t="shared" si="250"/>
        <v>164.2791</v>
      </c>
    </row>
    <row r="1243" spans="1:21" x14ac:dyDescent="0.35">
      <c r="A1243">
        <v>1242</v>
      </c>
      <c r="B1243" s="5">
        <v>45438</v>
      </c>
      <c r="C1243" s="4">
        <f t="shared" si="251"/>
        <v>2024</v>
      </c>
      <c r="D1243" s="4">
        <f t="shared" si="252"/>
        <v>5</v>
      </c>
      <c r="E1243" s="14">
        <v>45438</v>
      </c>
      <c r="F1243" s="4">
        <f t="shared" si="253"/>
        <v>26</v>
      </c>
      <c r="G1243">
        <v>211</v>
      </c>
      <c r="H1243">
        <v>202</v>
      </c>
      <c r="I1243" s="13">
        <f t="shared" si="254"/>
        <v>0.95</v>
      </c>
      <c r="J1243">
        <f t="shared" si="247"/>
        <v>9</v>
      </c>
      <c r="K1243" s="2">
        <v>1.7361111111111112E-4</v>
      </c>
      <c r="L1243" s="11">
        <f t="shared" si="248"/>
        <v>50.5</v>
      </c>
      <c r="M1243" s="3">
        <f t="shared" si="255"/>
        <v>0.25</v>
      </c>
      <c r="N1243" s="4">
        <f t="shared" si="256"/>
        <v>15</v>
      </c>
      <c r="O1243" s="2">
        <v>1.9212962962962964E-3</v>
      </c>
      <c r="P1243" s="9">
        <f t="shared" si="249"/>
        <v>558.86666666666667</v>
      </c>
      <c r="Q1243" s="3">
        <f t="shared" si="257"/>
        <v>2.7666666666666666</v>
      </c>
      <c r="R1243" s="4">
        <f t="shared" si="258"/>
        <v>166</v>
      </c>
      <c r="S1243" s="3">
        <f t="shared" si="259"/>
        <v>160</v>
      </c>
      <c r="T1243" s="1">
        <v>0.79330000000000001</v>
      </c>
      <c r="U1243" s="6">
        <f t="shared" si="250"/>
        <v>160.2466</v>
      </c>
    </row>
    <row r="1244" spans="1:21" x14ac:dyDescent="0.35">
      <c r="A1244">
        <v>1243</v>
      </c>
      <c r="B1244" s="5">
        <v>45439</v>
      </c>
      <c r="C1244" s="4">
        <f t="shared" si="251"/>
        <v>2024</v>
      </c>
      <c r="D1244" s="4">
        <f t="shared" si="252"/>
        <v>5</v>
      </c>
      <c r="E1244" s="14">
        <v>45439</v>
      </c>
      <c r="F1244" s="4">
        <f t="shared" si="253"/>
        <v>27</v>
      </c>
      <c r="G1244">
        <v>201</v>
      </c>
      <c r="H1244">
        <v>194</v>
      </c>
      <c r="I1244" s="13">
        <f t="shared" si="254"/>
        <v>0.96</v>
      </c>
      <c r="J1244">
        <f t="shared" si="247"/>
        <v>7</v>
      </c>
      <c r="K1244" s="2">
        <v>1.8518518518518518E-4</v>
      </c>
      <c r="L1244" s="11">
        <f t="shared" si="248"/>
        <v>51.733333333333334</v>
      </c>
      <c r="M1244" s="3">
        <f t="shared" si="255"/>
        <v>0.26666666666666666</v>
      </c>
      <c r="N1244" s="4">
        <f t="shared" si="256"/>
        <v>16</v>
      </c>
      <c r="O1244" s="2">
        <v>1.9560185185185184E-3</v>
      </c>
      <c r="P1244" s="9">
        <f t="shared" si="249"/>
        <v>546.43333333333328</v>
      </c>
      <c r="Q1244" s="3">
        <f t="shared" si="257"/>
        <v>2.8166666666666664</v>
      </c>
      <c r="R1244" s="4">
        <f t="shared" si="258"/>
        <v>169</v>
      </c>
      <c r="S1244" s="3">
        <f t="shared" si="259"/>
        <v>157</v>
      </c>
      <c r="T1244" s="1">
        <v>0.81410000000000005</v>
      </c>
      <c r="U1244" s="6">
        <f t="shared" si="250"/>
        <v>157.93540000000002</v>
      </c>
    </row>
    <row r="1245" spans="1:21" x14ac:dyDescent="0.35">
      <c r="A1245">
        <v>1244</v>
      </c>
      <c r="B1245" s="5">
        <v>45440</v>
      </c>
      <c r="C1245" s="4">
        <f t="shared" si="251"/>
        <v>2024</v>
      </c>
      <c r="D1245" s="4">
        <f t="shared" si="252"/>
        <v>5</v>
      </c>
      <c r="E1245" s="14">
        <v>45440</v>
      </c>
      <c r="F1245" s="4">
        <f t="shared" si="253"/>
        <v>28</v>
      </c>
      <c r="G1245">
        <v>23</v>
      </c>
      <c r="H1245">
        <v>22</v>
      </c>
      <c r="I1245" s="13">
        <f t="shared" si="254"/>
        <v>0.95</v>
      </c>
      <c r="J1245">
        <f t="shared" si="247"/>
        <v>1</v>
      </c>
      <c r="K1245" s="2">
        <v>1.1574074074074075E-4</v>
      </c>
      <c r="L1245" s="11">
        <f t="shared" si="248"/>
        <v>3.6666666666666665</v>
      </c>
      <c r="M1245" s="3">
        <f t="shared" si="255"/>
        <v>0.16666666666666666</v>
      </c>
      <c r="N1245" s="4">
        <f t="shared" si="256"/>
        <v>10</v>
      </c>
      <c r="O1245" s="2">
        <v>2.1064814814814813E-3</v>
      </c>
      <c r="P1245" s="9">
        <f t="shared" si="249"/>
        <v>66.733333333333334</v>
      </c>
      <c r="Q1245" s="3">
        <f t="shared" si="257"/>
        <v>3.0333333333333332</v>
      </c>
      <c r="R1245" s="4">
        <f t="shared" si="258"/>
        <v>182</v>
      </c>
      <c r="S1245" s="3">
        <f t="shared" si="259"/>
        <v>18</v>
      </c>
      <c r="T1245" s="1">
        <v>0.82609999999999995</v>
      </c>
      <c r="U1245" s="6">
        <f t="shared" si="250"/>
        <v>18.174199999999999</v>
      </c>
    </row>
    <row r="1246" spans="1:21" x14ac:dyDescent="0.35">
      <c r="A1246">
        <v>1245</v>
      </c>
      <c r="B1246" s="5">
        <v>45441</v>
      </c>
      <c r="C1246" s="4">
        <f t="shared" si="251"/>
        <v>2024</v>
      </c>
      <c r="D1246" s="4">
        <f t="shared" si="252"/>
        <v>5</v>
      </c>
      <c r="E1246" s="14">
        <v>45441</v>
      </c>
      <c r="F1246" s="4">
        <f t="shared" si="253"/>
        <v>29</v>
      </c>
      <c r="G1246">
        <v>225</v>
      </c>
      <c r="H1246">
        <v>210</v>
      </c>
      <c r="I1246" s="13">
        <f t="shared" si="254"/>
        <v>0.93</v>
      </c>
      <c r="J1246">
        <f t="shared" si="247"/>
        <v>15</v>
      </c>
      <c r="K1246" s="2">
        <v>1.1574074074074075E-4</v>
      </c>
      <c r="L1246" s="11">
        <f t="shared" si="248"/>
        <v>35</v>
      </c>
      <c r="M1246" s="3">
        <f t="shared" si="255"/>
        <v>0.16666666666666666</v>
      </c>
      <c r="N1246" s="4">
        <f t="shared" si="256"/>
        <v>10</v>
      </c>
      <c r="O1246" s="2">
        <v>1.8171296296296297E-3</v>
      </c>
      <c r="P1246" s="9">
        <f t="shared" si="249"/>
        <v>549.5</v>
      </c>
      <c r="Q1246" s="3">
        <f t="shared" si="257"/>
        <v>2.6166666666666667</v>
      </c>
      <c r="R1246" s="4">
        <f t="shared" si="258"/>
        <v>157</v>
      </c>
      <c r="S1246" s="3">
        <f t="shared" si="259"/>
        <v>180</v>
      </c>
      <c r="T1246" s="1">
        <v>0.85909999999999997</v>
      </c>
      <c r="U1246" s="6">
        <f t="shared" si="250"/>
        <v>180.411</v>
      </c>
    </row>
    <row r="1247" spans="1:21" x14ac:dyDescent="0.35">
      <c r="A1247">
        <v>1246</v>
      </c>
      <c r="B1247" s="5">
        <v>45442</v>
      </c>
      <c r="C1247" s="4">
        <f t="shared" si="251"/>
        <v>2024</v>
      </c>
      <c r="D1247" s="4">
        <f t="shared" si="252"/>
        <v>5</v>
      </c>
      <c r="E1247" s="14">
        <v>45442</v>
      </c>
      <c r="F1247" s="4">
        <f t="shared" si="253"/>
        <v>30</v>
      </c>
      <c r="G1247">
        <v>202</v>
      </c>
      <c r="H1247">
        <v>195</v>
      </c>
      <c r="I1247" s="13">
        <f t="shared" si="254"/>
        <v>0.96</v>
      </c>
      <c r="J1247">
        <f t="shared" si="247"/>
        <v>7</v>
      </c>
      <c r="K1247" s="2">
        <v>1.273148148148148E-4</v>
      </c>
      <c r="L1247" s="11">
        <f t="shared" si="248"/>
        <v>35.75</v>
      </c>
      <c r="M1247" s="3">
        <f t="shared" si="255"/>
        <v>0.18333333333333332</v>
      </c>
      <c r="N1247" s="4">
        <f t="shared" si="256"/>
        <v>11</v>
      </c>
      <c r="O1247" s="2">
        <v>1.9328703703703704E-3</v>
      </c>
      <c r="P1247" s="9">
        <f t="shared" si="249"/>
        <v>542.75</v>
      </c>
      <c r="Q1247" s="3">
        <f t="shared" si="257"/>
        <v>2.7833333333333332</v>
      </c>
      <c r="R1247" s="4">
        <f t="shared" si="258"/>
        <v>167</v>
      </c>
      <c r="S1247" s="3">
        <f t="shared" si="259"/>
        <v>169</v>
      </c>
      <c r="T1247" s="1">
        <v>0.86799999999999999</v>
      </c>
      <c r="U1247" s="6">
        <f t="shared" si="250"/>
        <v>169.26</v>
      </c>
    </row>
    <row r="1248" spans="1:21" x14ac:dyDescent="0.35">
      <c r="A1248">
        <v>1247</v>
      </c>
      <c r="B1248" s="5">
        <v>45443</v>
      </c>
      <c r="C1248" s="4">
        <f t="shared" si="251"/>
        <v>2024</v>
      </c>
      <c r="D1248" s="4">
        <f t="shared" si="252"/>
        <v>5</v>
      </c>
      <c r="E1248" s="14">
        <v>45443</v>
      </c>
      <c r="F1248" s="4">
        <f t="shared" si="253"/>
        <v>31</v>
      </c>
      <c r="G1248">
        <v>191</v>
      </c>
      <c r="H1248">
        <v>184</v>
      </c>
      <c r="I1248" s="13">
        <f t="shared" si="254"/>
        <v>0.96</v>
      </c>
      <c r="J1248">
        <f t="shared" si="247"/>
        <v>7</v>
      </c>
      <c r="K1248" s="2">
        <v>8.1018518518518516E-5</v>
      </c>
      <c r="L1248" s="11">
        <f t="shared" si="248"/>
        <v>21.466666666666669</v>
      </c>
      <c r="M1248" s="3">
        <f t="shared" si="255"/>
        <v>0.11666666666666667</v>
      </c>
      <c r="N1248" s="4">
        <f t="shared" si="256"/>
        <v>7</v>
      </c>
      <c r="O1248" s="2">
        <v>1.9675925925925924E-3</v>
      </c>
      <c r="P1248" s="9">
        <f t="shared" si="249"/>
        <v>521.33333333333337</v>
      </c>
      <c r="Q1248" s="3">
        <f t="shared" si="257"/>
        <v>2.8333333333333335</v>
      </c>
      <c r="R1248" s="4">
        <f t="shared" si="258"/>
        <v>170</v>
      </c>
      <c r="S1248" s="3">
        <f t="shared" si="259"/>
        <v>170</v>
      </c>
      <c r="T1248" s="1">
        <v>0.92549999999999999</v>
      </c>
      <c r="U1248" s="6">
        <f t="shared" si="250"/>
        <v>170.292</v>
      </c>
    </row>
    <row r="1249" spans="1:21" x14ac:dyDescent="0.35">
      <c r="A1249">
        <v>1248</v>
      </c>
      <c r="B1249" s="5">
        <v>45444</v>
      </c>
      <c r="C1249" s="4">
        <f t="shared" si="251"/>
        <v>2024</v>
      </c>
      <c r="D1249" s="4">
        <f t="shared" si="252"/>
        <v>6</v>
      </c>
      <c r="E1249" s="14">
        <v>45444</v>
      </c>
      <c r="F1249" s="4">
        <f t="shared" si="253"/>
        <v>1</v>
      </c>
      <c r="G1249">
        <v>212</v>
      </c>
      <c r="H1249">
        <v>209</v>
      </c>
      <c r="I1249" s="13">
        <f t="shared" si="254"/>
        <v>0.98</v>
      </c>
      <c r="J1249">
        <f t="shared" si="247"/>
        <v>3</v>
      </c>
      <c r="K1249" s="2">
        <v>1.1574074074074075E-4</v>
      </c>
      <c r="L1249" s="11">
        <f t="shared" si="248"/>
        <v>34.833333333333329</v>
      </c>
      <c r="M1249" s="3">
        <f t="shared" si="255"/>
        <v>0.16666666666666666</v>
      </c>
      <c r="N1249" s="4">
        <f t="shared" si="256"/>
        <v>10</v>
      </c>
      <c r="O1249" s="2">
        <v>1.9791666666666668E-3</v>
      </c>
      <c r="P1249" s="9">
        <f t="shared" si="249"/>
        <v>595.65</v>
      </c>
      <c r="Q1249" s="3">
        <f t="shared" si="257"/>
        <v>2.85</v>
      </c>
      <c r="R1249" s="4">
        <f t="shared" si="258"/>
        <v>171</v>
      </c>
      <c r="S1249" s="3">
        <f t="shared" si="259"/>
        <v>186</v>
      </c>
      <c r="T1249" s="1">
        <v>0.89100000000000001</v>
      </c>
      <c r="U1249" s="6">
        <f t="shared" si="250"/>
        <v>186.21899999999999</v>
      </c>
    </row>
    <row r="1250" spans="1:21" x14ac:dyDescent="0.35">
      <c r="A1250">
        <v>1249</v>
      </c>
      <c r="B1250" s="5">
        <v>45445</v>
      </c>
      <c r="C1250" s="4">
        <f t="shared" si="251"/>
        <v>2024</v>
      </c>
      <c r="D1250" s="4">
        <f t="shared" si="252"/>
        <v>6</v>
      </c>
      <c r="E1250" s="14">
        <v>45445</v>
      </c>
      <c r="F1250" s="4">
        <f t="shared" si="253"/>
        <v>2</v>
      </c>
      <c r="G1250">
        <v>210</v>
      </c>
      <c r="H1250">
        <v>203</v>
      </c>
      <c r="I1250" s="13">
        <f t="shared" si="254"/>
        <v>0.96</v>
      </c>
      <c r="J1250">
        <f t="shared" si="247"/>
        <v>7</v>
      </c>
      <c r="K1250" s="2">
        <v>1.3888888888888889E-4</v>
      </c>
      <c r="L1250" s="11">
        <f t="shared" si="248"/>
        <v>40.6</v>
      </c>
      <c r="M1250" s="3">
        <f t="shared" si="255"/>
        <v>0.2</v>
      </c>
      <c r="N1250" s="4">
        <f t="shared" si="256"/>
        <v>12</v>
      </c>
      <c r="O1250" s="2">
        <v>2.3379629629629631E-3</v>
      </c>
      <c r="P1250" s="9">
        <f t="shared" si="249"/>
        <v>683.43333333333339</v>
      </c>
      <c r="Q1250" s="3">
        <f t="shared" si="257"/>
        <v>3.3666666666666667</v>
      </c>
      <c r="R1250" s="4">
        <f t="shared" si="258"/>
        <v>202</v>
      </c>
      <c r="S1250" s="3">
        <f t="shared" si="259"/>
        <v>173</v>
      </c>
      <c r="T1250" s="1">
        <v>0.85240000000000005</v>
      </c>
      <c r="U1250" s="6">
        <f t="shared" si="250"/>
        <v>173.03720000000001</v>
      </c>
    </row>
    <row r="1251" spans="1:21" x14ac:dyDescent="0.35">
      <c r="A1251">
        <v>1250</v>
      </c>
      <c r="B1251" s="5">
        <v>45446</v>
      </c>
      <c r="C1251" s="4">
        <f t="shared" si="251"/>
        <v>2024</v>
      </c>
      <c r="D1251" s="4">
        <f t="shared" si="252"/>
        <v>6</v>
      </c>
      <c r="E1251" s="14">
        <v>45446</v>
      </c>
      <c r="F1251" s="4">
        <f t="shared" si="253"/>
        <v>3</v>
      </c>
      <c r="G1251">
        <v>167</v>
      </c>
      <c r="H1251">
        <v>159</v>
      </c>
      <c r="I1251" s="13">
        <f t="shared" si="254"/>
        <v>0.95</v>
      </c>
      <c r="J1251">
        <f t="shared" si="247"/>
        <v>8</v>
      </c>
      <c r="K1251" s="2">
        <v>1.8518518518518518E-4</v>
      </c>
      <c r="L1251" s="11">
        <f t="shared" si="248"/>
        <v>42.4</v>
      </c>
      <c r="M1251" s="3">
        <f t="shared" si="255"/>
        <v>0.26666666666666666</v>
      </c>
      <c r="N1251" s="4">
        <f t="shared" si="256"/>
        <v>16</v>
      </c>
      <c r="O1251" s="2">
        <v>2.2685185185185187E-3</v>
      </c>
      <c r="P1251" s="9">
        <f t="shared" si="249"/>
        <v>519.4</v>
      </c>
      <c r="Q1251" s="3">
        <f t="shared" si="257"/>
        <v>3.2666666666666666</v>
      </c>
      <c r="R1251" s="4">
        <f t="shared" si="258"/>
        <v>196</v>
      </c>
      <c r="S1251" s="3">
        <f t="shared" si="259"/>
        <v>132</v>
      </c>
      <c r="T1251" s="1">
        <v>0.83030000000000004</v>
      </c>
      <c r="U1251" s="6">
        <f t="shared" si="250"/>
        <v>132.01770000000002</v>
      </c>
    </row>
    <row r="1252" spans="1:21" x14ac:dyDescent="0.35">
      <c r="A1252">
        <v>1251</v>
      </c>
      <c r="B1252" s="5">
        <v>45447</v>
      </c>
      <c r="C1252" s="4">
        <f t="shared" si="251"/>
        <v>2024</v>
      </c>
      <c r="D1252" s="4">
        <f t="shared" si="252"/>
        <v>6</v>
      </c>
      <c r="E1252" s="14">
        <v>45447</v>
      </c>
      <c r="F1252" s="4">
        <f t="shared" si="253"/>
        <v>4</v>
      </c>
      <c r="G1252">
        <v>12</v>
      </c>
      <c r="H1252">
        <v>11</v>
      </c>
      <c r="I1252" s="13">
        <f t="shared" si="254"/>
        <v>0.91</v>
      </c>
      <c r="J1252">
        <f t="shared" si="247"/>
        <v>1</v>
      </c>
      <c r="K1252" s="2">
        <v>3.4722222222222222E-5</v>
      </c>
      <c r="L1252" s="11">
        <f t="shared" si="248"/>
        <v>0.55000000000000004</v>
      </c>
      <c r="M1252" s="3">
        <f t="shared" si="255"/>
        <v>0.05</v>
      </c>
      <c r="N1252" s="4">
        <f t="shared" si="256"/>
        <v>3</v>
      </c>
      <c r="O1252" s="2">
        <v>1.5277777777777779E-3</v>
      </c>
      <c r="P1252" s="9">
        <f t="shared" si="249"/>
        <v>24.200000000000003</v>
      </c>
      <c r="Q1252" s="3">
        <f t="shared" si="257"/>
        <v>2.2000000000000002</v>
      </c>
      <c r="R1252" s="4">
        <f t="shared" si="258"/>
        <v>132</v>
      </c>
      <c r="S1252" s="3">
        <f t="shared" si="259"/>
        <v>10</v>
      </c>
      <c r="T1252" s="1">
        <v>0.91669999999999996</v>
      </c>
      <c r="U1252" s="6">
        <f t="shared" si="250"/>
        <v>10.0837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BC0C-715C-4FA7-849B-5A7CAFCA505A}">
  <dimension ref="A1:U1252"/>
  <sheetViews>
    <sheetView tabSelected="1" workbookViewId="0"/>
  </sheetViews>
  <sheetFormatPr defaultRowHeight="14.5" x14ac:dyDescent="0.35"/>
  <cols>
    <col min="1" max="1" width="5.08984375" bestFit="1" customWidth="1"/>
    <col min="2" max="2" width="10.54296875" bestFit="1" customWidth="1"/>
    <col min="3" max="3" width="8.26953125" bestFit="1" customWidth="1"/>
    <col min="4" max="4" width="11" bestFit="1" customWidth="1"/>
    <col min="5" max="5" width="13.81640625" bestFit="1" customWidth="1"/>
    <col min="6" max="6" width="7.6328125" bestFit="1" customWidth="1"/>
    <col min="7" max="7" width="12.6328125" bestFit="1" customWidth="1"/>
    <col min="8" max="8" width="13.26953125" bestFit="1" customWidth="1"/>
    <col min="9" max="9" width="13.1796875" style="13" bestFit="1" customWidth="1"/>
    <col min="10" max="10" width="14.453125" bestFit="1" customWidth="1"/>
    <col min="11" max="11" width="17.36328125" bestFit="1" customWidth="1"/>
    <col min="12" max="12" width="16" bestFit="1" customWidth="1"/>
    <col min="13" max="13" width="20.6328125" bestFit="1" customWidth="1"/>
    <col min="14" max="14" width="20.7265625" bestFit="1" customWidth="1"/>
    <col min="15" max="15" width="16.6328125" bestFit="1" customWidth="1"/>
    <col min="16" max="16" width="11.90625" bestFit="1" customWidth="1"/>
    <col min="17" max="17" width="20" bestFit="1" customWidth="1"/>
    <col min="18" max="18" width="20" customWidth="1"/>
    <col min="19" max="19" width="30.81640625" bestFit="1" customWidth="1"/>
    <col min="20" max="20" width="22.81640625" bestFit="1" customWidth="1"/>
  </cols>
  <sheetData>
    <row r="1" spans="1:21" x14ac:dyDescent="0.35">
      <c r="A1" t="s">
        <v>0</v>
      </c>
      <c r="B1" t="s">
        <v>11</v>
      </c>
      <c r="C1" t="s">
        <v>54</v>
      </c>
      <c r="D1" t="s">
        <v>56</v>
      </c>
      <c r="E1" t="s">
        <v>57</v>
      </c>
      <c r="F1" t="s">
        <v>55</v>
      </c>
      <c r="G1" t="s">
        <v>1</v>
      </c>
      <c r="H1" t="s">
        <v>2</v>
      </c>
      <c r="I1" s="13" t="s">
        <v>44</v>
      </c>
      <c r="J1" t="s">
        <v>3</v>
      </c>
      <c r="K1" t="s">
        <v>4</v>
      </c>
      <c r="L1" t="s">
        <v>40</v>
      </c>
      <c r="M1" t="s">
        <v>7</v>
      </c>
      <c r="N1" t="s">
        <v>8</v>
      </c>
      <c r="O1" t="s">
        <v>5</v>
      </c>
      <c r="P1" t="s">
        <v>42</v>
      </c>
      <c r="Q1" t="s">
        <v>9</v>
      </c>
      <c r="R1" t="s">
        <v>10</v>
      </c>
      <c r="S1" t="s">
        <v>12</v>
      </c>
      <c r="T1" t="s">
        <v>6</v>
      </c>
      <c r="U1" t="s">
        <v>13</v>
      </c>
    </row>
    <row r="2" spans="1:21" x14ac:dyDescent="0.35">
      <c r="A2">
        <v>1</v>
      </c>
      <c r="B2" s="5">
        <v>44197</v>
      </c>
      <c r="C2" s="4">
        <v>2021</v>
      </c>
      <c r="D2" s="4">
        <v>1</v>
      </c>
      <c r="E2" s="14">
        <v>44197</v>
      </c>
      <c r="F2" s="4">
        <v>1</v>
      </c>
      <c r="G2">
        <v>217</v>
      </c>
      <c r="H2">
        <v>204</v>
      </c>
      <c r="I2" s="13">
        <v>0.94</v>
      </c>
      <c r="J2">
        <v>13</v>
      </c>
      <c r="K2" s="2">
        <v>1.9675925925925926E-4</v>
      </c>
      <c r="L2" s="11">
        <v>57.8</v>
      </c>
      <c r="M2" s="3">
        <v>0.28333333333333333</v>
      </c>
      <c r="N2" s="4">
        <v>17</v>
      </c>
      <c r="O2" s="2">
        <v>1.5509259259259259E-3</v>
      </c>
      <c r="P2" s="9">
        <v>455.6</v>
      </c>
      <c r="Q2" s="3">
        <v>2.2333333333333334</v>
      </c>
      <c r="R2" s="4">
        <v>134</v>
      </c>
      <c r="S2" s="3">
        <v>155</v>
      </c>
      <c r="T2" s="1">
        <v>0.76280000000000003</v>
      </c>
      <c r="U2" s="6">
        <v>155.6112</v>
      </c>
    </row>
    <row r="3" spans="1:21" x14ac:dyDescent="0.35">
      <c r="A3">
        <v>2</v>
      </c>
      <c r="B3" s="5">
        <v>44198</v>
      </c>
      <c r="C3" s="4">
        <v>2021</v>
      </c>
      <c r="D3" s="4">
        <v>1</v>
      </c>
      <c r="E3" s="14">
        <v>44198</v>
      </c>
      <c r="F3" s="4">
        <v>2</v>
      </c>
      <c r="G3">
        <v>200</v>
      </c>
      <c r="H3">
        <v>182</v>
      </c>
      <c r="I3" s="13">
        <v>0.91</v>
      </c>
      <c r="J3">
        <v>18</v>
      </c>
      <c r="K3" s="2">
        <v>2.3148148148148149E-4</v>
      </c>
      <c r="L3" s="11">
        <v>60.666666666666664</v>
      </c>
      <c r="M3" s="3">
        <v>0.33333333333333331</v>
      </c>
      <c r="N3" s="4">
        <v>20</v>
      </c>
      <c r="O3" s="2">
        <v>1.6435185185185185E-3</v>
      </c>
      <c r="P3" s="9">
        <v>430.73333333333335</v>
      </c>
      <c r="Q3" s="3">
        <v>2.3666666666666667</v>
      </c>
      <c r="R3" s="4">
        <v>142</v>
      </c>
      <c r="S3" s="3">
        <v>132</v>
      </c>
      <c r="T3" s="1">
        <v>0.72729999999999995</v>
      </c>
      <c r="U3" s="6">
        <v>132.36859999999999</v>
      </c>
    </row>
    <row r="4" spans="1:21" x14ac:dyDescent="0.35">
      <c r="A4">
        <v>3</v>
      </c>
      <c r="B4" s="5">
        <v>44199</v>
      </c>
      <c r="C4" s="4">
        <v>2021</v>
      </c>
      <c r="D4" s="4">
        <v>1</v>
      </c>
      <c r="E4" s="14">
        <v>44199</v>
      </c>
      <c r="F4" s="4">
        <v>3</v>
      </c>
      <c r="G4">
        <v>216</v>
      </c>
      <c r="H4">
        <v>198</v>
      </c>
      <c r="I4" s="13">
        <v>0.91</v>
      </c>
      <c r="J4">
        <v>18</v>
      </c>
      <c r="K4" s="2">
        <v>2.0833333333333335E-4</v>
      </c>
      <c r="L4" s="11">
        <v>59.4</v>
      </c>
      <c r="M4" s="3">
        <v>0.3</v>
      </c>
      <c r="N4" s="4">
        <v>18</v>
      </c>
      <c r="O4" s="2">
        <v>1.8287037037037037E-3</v>
      </c>
      <c r="P4" s="9">
        <v>521.4</v>
      </c>
      <c r="Q4" s="3">
        <v>2.6333333333333333</v>
      </c>
      <c r="R4" s="4">
        <v>158</v>
      </c>
      <c r="S4" s="3">
        <v>147</v>
      </c>
      <c r="T4" s="1">
        <v>0.74299999999999999</v>
      </c>
      <c r="U4" s="6">
        <v>147.114</v>
      </c>
    </row>
    <row r="5" spans="1:21" x14ac:dyDescent="0.35">
      <c r="A5">
        <v>4</v>
      </c>
      <c r="B5" s="5">
        <v>44200</v>
      </c>
      <c r="C5" s="4">
        <v>2021</v>
      </c>
      <c r="D5" s="4">
        <v>1</v>
      </c>
      <c r="E5" s="14">
        <v>44200</v>
      </c>
      <c r="F5" s="4">
        <v>4</v>
      </c>
      <c r="G5">
        <v>155</v>
      </c>
      <c r="H5">
        <v>145</v>
      </c>
      <c r="I5" s="13">
        <v>0.93</v>
      </c>
      <c r="J5">
        <v>10</v>
      </c>
      <c r="K5" s="2">
        <v>1.7361111111111112E-4</v>
      </c>
      <c r="L5" s="11">
        <v>36.25</v>
      </c>
      <c r="M5" s="3">
        <v>0.25</v>
      </c>
      <c r="N5" s="4">
        <v>15</v>
      </c>
      <c r="O5" s="2">
        <v>1.724537037037037E-3</v>
      </c>
      <c r="P5" s="9">
        <v>360.08333333333331</v>
      </c>
      <c r="Q5" s="3">
        <v>2.4833333333333334</v>
      </c>
      <c r="R5" s="4">
        <v>149</v>
      </c>
      <c r="S5" s="3">
        <v>115</v>
      </c>
      <c r="T5" s="1">
        <v>0.79610000000000003</v>
      </c>
      <c r="U5" s="6">
        <v>115.4345</v>
      </c>
    </row>
    <row r="6" spans="1:21" x14ac:dyDescent="0.35">
      <c r="A6">
        <v>5</v>
      </c>
      <c r="B6" s="5">
        <v>44201</v>
      </c>
      <c r="C6" s="4">
        <v>2021</v>
      </c>
      <c r="D6" s="4">
        <v>1</v>
      </c>
      <c r="E6" s="14">
        <v>44201</v>
      </c>
      <c r="F6" s="4">
        <v>5</v>
      </c>
      <c r="G6">
        <v>37</v>
      </c>
      <c r="H6">
        <v>37</v>
      </c>
      <c r="I6" s="13">
        <v>1</v>
      </c>
      <c r="J6">
        <v>0</v>
      </c>
      <c r="K6" s="2">
        <v>3.4722222222222222E-5</v>
      </c>
      <c r="L6" s="11">
        <v>1.85</v>
      </c>
      <c r="M6" s="3">
        <v>0.05</v>
      </c>
      <c r="N6" s="4">
        <v>3</v>
      </c>
      <c r="O6" s="2">
        <v>1.4583333333333334E-3</v>
      </c>
      <c r="P6" s="9">
        <v>77.7</v>
      </c>
      <c r="Q6" s="3">
        <v>2.1</v>
      </c>
      <c r="R6" s="4">
        <v>126</v>
      </c>
      <c r="S6" s="3">
        <v>36</v>
      </c>
      <c r="T6" s="1">
        <v>0.97299999999999998</v>
      </c>
      <c r="U6" s="6">
        <v>36.000999999999998</v>
      </c>
    </row>
    <row r="7" spans="1:21" x14ac:dyDescent="0.35">
      <c r="A7">
        <v>6</v>
      </c>
      <c r="B7" s="5">
        <v>44202</v>
      </c>
      <c r="C7" s="4">
        <v>2021</v>
      </c>
      <c r="D7" s="4">
        <v>1</v>
      </c>
      <c r="E7" s="14">
        <v>44202</v>
      </c>
      <c r="F7" s="4">
        <v>6</v>
      </c>
      <c r="G7">
        <v>315</v>
      </c>
      <c r="H7">
        <v>304</v>
      </c>
      <c r="I7" s="13">
        <v>0.96</v>
      </c>
      <c r="J7">
        <v>11</v>
      </c>
      <c r="K7" s="2">
        <v>2.0833333333333335E-4</v>
      </c>
      <c r="L7" s="11">
        <v>91.2</v>
      </c>
      <c r="M7" s="3">
        <v>0.3</v>
      </c>
      <c r="N7" s="4">
        <v>18</v>
      </c>
      <c r="O7" s="2">
        <v>1.0995370370370371E-3</v>
      </c>
      <c r="P7" s="9">
        <v>481.33333333333337</v>
      </c>
      <c r="Q7" s="3">
        <v>1.5833333333333335</v>
      </c>
      <c r="R7" s="4">
        <v>95.000000000000014</v>
      </c>
      <c r="S7" s="3">
        <v>234</v>
      </c>
      <c r="T7" s="1">
        <v>0.77170000000000005</v>
      </c>
      <c r="U7" s="6">
        <v>234.59680000000003</v>
      </c>
    </row>
    <row r="8" spans="1:21" x14ac:dyDescent="0.35">
      <c r="A8">
        <v>7</v>
      </c>
      <c r="B8" s="5">
        <v>44203</v>
      </c>
      <c r="C8" s="4">
        <v>2021</v>
      </c>
      <c r="D8" s="4">
        <v>1</v>
      </c>
      <c r="E8" s="14">
        <v>44203</v>
      </c>
      <c r="F8" s="4">
        <v>7</v>
      </c>
      <c r="G8">
        <v>252</v>
      </c>
      <c r="H8">
        <v>244</v>
      </c>
      <c r="I8" s="13">
        <v>0.96</v>
      </c>
      <c r="J8">
        <v>8</v>
      </c>
      <c r="K8" s="2">
        <v>1.5046296296296297E-4</v>
      </c>
      <c r="L8" s="11">
        <v>52.866666666666667</v>
      </c>
      <c r="M8" s="3">
        <v>0.21666666666666667</v>
      </c>
      <c r="N8" s="4">
        <v>13</v>
      </c>
      <c r="O8" s="2">
        <v>1.2731481481481483E-3</v>
      </c>
      <c r="P8" s="9">
        <v>447.33333333333337</v>
      </c>
      <c r="Q8" s="3">
        <v>1.8333333333333335</v>
      </c>
      <c r="R8" s="4">
        <v>110.00000000000001</v>
      </c>
      <c r="S8" s="3">
        <v>200</v>
      </c>
      <c r="T8" s="1">
        <v>0.82</v>
      </c>
      <c r="U8" s="6">
        <v>200.07999999999998</v>
      </c>
    </row>
    <row r="9" spans="1:21" x14ac:dyDescent="0.35">
      <c r="A9">
        <v>8</v>
      </c>
      <c r="B9" s="5">
        <v>44204</v>
      </c>
      <c r="C9" s="4">
        <v>2021</v>
      </c>
      <c r="D9" s="4">
        <v>1</v>
      </c>
      <c r="E9" s="14">
        <v>44204</v>
      </c>
      <c r="F9" s="4">
        <v>8</v>
      </c>
      <c r="G9">
        <v>213</v>
      </c>
      <c r="H9">
        <v>205</v>
      </c>
      <c r="I9" s="13">
        <v>0.96</v>
      </c>
      <c r="J9">
        <v>8</v>
      </c>
      <c r="K9" s="2">
        <v>1.1574074074074075E-4</v>
      </c>
      <c r="L9" s="11">
        <v>34.166666666666664</v>
      </c>
      <c r="M9" s="3">
        <v>0.16666666666666666</v>
      </c>
      <c r="N9" s="4">
        <v>10</v>
      </c>
      <c r="O9" s="2">
        <v>1.5046296296296296E-3</v>
      </c>
      <c r="P9" s="9">
        <v>444.16666666666663</v>
      </c>
      <c r="Q9" s="3">
        <v>2.1666666666666665</v>
      </c>
      <c r="R9" s="4">
        <v>130</v>
      </c>
      <c r="S9" s="3">
        <v>180</v>
      </c>
      <c r="T9" s="1">
        <v>0.88100000000000001</v>
      </c>
      <c r="U9" s="6">
        <v>180.60499999999999</v>
      </c>
    </row>
    <row r="10" spans="1:21" x14ac:dyDescent="0.35">
      <c r="A10">
        <v>9</v>
      </c>
      <c r="B10" s="5">
        <v>44205</v>
      </c>
      <c r="C10" s="4">
        <v>2021</v>
      </c>
      <c r="D10" s="4">
        <v>1</v>
      </c>
      <c r="E10" s="14">
        <v>44205</v>
      </c>
      <c r="F10" s="4">
        <v>9</v>
      </c>
      <c r="G10">
        <v>219</v>
      </c>
      <c r="H10">
        <v>200</v>
      </c>
      <c r="I10" s="13">
        <v>0.91</v>
      </c>
      <c r="J10">
        <v>19</v>
      </c>
      <c r="K10" s="2">
        <v>1.7361111111111112E-4</v>
      </c>
      <c r="L10" s="11">
        <v>50</v>
      </c>
      <c r="M10" s="3">
        <v>0.25</v>
      </c>
      <c r="N10" s="4">
        <v>15</v>
      </c>
      <c r="O10" s="2">
        <v>1.5972222222222223E-3</v>
      </c>
      <c r="P10" s="9">
        <v>459.99999999999994</v>
      </c>
      <c r="Q10" s="3">
        <v>2.2999999999999998</v>
      </c>
      <c r="R10" s="4">
        <v>138</v>
      </c>
      <c r="S10" s="3">
        <v>158</v>
      </c>
      <c r="T10" s="1">
        <v>0.79449999999999998</v>
      </c>
      <c r="U10" s="6">
        <v>158.9</v>
      </c>
    </row>
    <row r="11" spans="1:21" x14ac:dyDescent="0.35">
      <c r="A11">
        <v>10</v>
      </c>
      <c r="B11" s="5">
        <v>44206</v>
      </c>
      <c r="C11" s="4">
        <v>2021</v>
      </c>
      <c r="D11" s="4">
        <v>1</v>
      </c>
      <c r="E11" s="14">
        <v>44206</v>
      </c>
      <c r="F11" s="4">
        <v>10</v>
      </c>
      <c r="G11">
        <v>371</v>
      </c>
      <c r="H11">
        <v>348</v>
      </c>
      <c r="I11" s="13">
        <v>0.93</v>
      </c>
      <c r="J11">
        <v>23</v>
      </c>
      <c r="K11" s="2">
        <v>2.199074074074074E-4</v>
      </c>
      <c r="L11" s="11">
        <v>110.19999999999999</v>
      </c>
      <c r="M11" s="3">
        <v>0.31666666666666665</v>
      </c>
      <c r="N11" s="4">
        <v>19</v>
      </c>
      <c r="O11" s="2">
        <v>1.1574074074074073E-3</v>
      </c>
      <c r="P11" s="9">
        <v>580</v>
      </c>
      <c r="Q11" s="3">
        <v>1.6666666666666665</v>
      </c>
      <c r="R11" s="4">
        <v>99.999999999999986</v>
      </c>
      <c r="S11" s="3">
        <v>256</v>
      </c>
      <c r="T11" s="1">
        <v>0.73629999999999995</v>
      </c>
      <c r="U11" s="6">
        <v>256.23239999999998</v>
      </c>
    </row>
    <row r="12" spans="1:21" x14ac:dyDescent="0.35">
      <c r="A12">
        <v>11</v>
      </c>
      <c r="B12" s="5">
        <v>44207</v>
      </c>
      <c r="C12" s="4">
        <v>2021</v>
      </c>
      <c r="D12" s="4">
        <v>1</v>
      </c>
      <c r="E12" s="14">
        <v>44207</v>
      </c>
      <c r="F12" s="4">
        <v>11</v>
      </c>
      <c r="G12">
        <v>166</v>
      </c>
      <c r="H12">
        <v>164</v>
      </c>
      <c r="I12" s="13">
        <v>0.98</v>
      </c>
      <c r="J12">
        <v>2</v>
      </c>
      <c r="K12" s="2">
        <v>1.3888888888888889E-4</v>
      </c>
      <c r="L12" s="11">
        <v>32.800000000000004</v>
      </c>
      <c r="M12" s="3">
        <v>0.2</v>
      </c>
      <c r="N12" s="4">
        <v>12</v>
      </c>
      <c r="O12" s="2">
        <v>1.5046296296296296E-3</v>
      </c>
      <c r="P12" s="9">
        <v>355.33333333333331</v>
      </c>
      <c r="Q12" s="3">
        <v>2.1666666666666665</v>
      </c>
      <c r="R12" s="4">
        <v>130</v>
      </c>
      <c r="S12" s="3">
        <v>133</v>
      </c>
      <c r="T12" s="1">
        <v>0.81330000000000002</v>
      </c>
      <c r="U12" s="6">
        <v>133.38120000000001</v>
      </c>
    </row>
    <row r="13" spans="1:21" x14ac:dyDescent="0.35">
      <c r="A13">
        <v>12</v>
      </c>
      <c r="B13" s="5">
        <v>44208</v>
      </c>
      <c r="C13" s="4">
        <v>2021</v>
      </c>
      <c r="D13" s="4">
        <v>1</v>
      </c>
      <c r="E13" s="14">
        <v>44208</v>
      </c>
      <c r="F13" s="4">
        <v>12</v>
      </c>
      <c r="G13">
        <v>32</v>
      </c>
      <c r="H13">
        <v>32</v>
      </c>
      <c r="I13" s="13">
        <v>1</v>
      </c>
      <c r="J13">
        <v>0</v>
      </c>
      <c r="K13" s="2">
        <v>2.3148148148148147E-5</v>
      </c>
      <c r="L13" s="11">
        <v>1.0666666666666667</v>
      </c>
      <c r="M13" s="3">
        <v>3.3333333333333333E-2</v>
      </c>
      <c r="N13" s="4">
        <v>2</v>
      </c>
      <c r="O13" s="2">
        <v>1.4236111111111112E-3</v>
      </c>
      <c r="P13" s="9">
        <v>65.599999999999994</v>
      </c>
      <c r="Q13" s="3">
        <v>2.0499999999999998</v>
      </c>
      <c r="R13" s="4">
        <v>122.99999999999999</v>
      </c>
      <c r="S13" s="3">
        <v>32</v>
      </c>
      <c r="T13" s="1">
        <v>1</v>
      </c>
      <c r="U13" s="6">
        <v>32</v>
      </c>
    </row>
    <row r="14" spans="1:21" x14ac:dyDescent="0.35">
      <c r="A14">
        <v>13</v>
      </c>
      <c r="B14" s="5">
        <v>44209</v>
      </c>
      <c r="C14" s="4">
        <v>2021</v>
      </c>
      <c r="D14" s="4">
        <v>1</v>
      </c>
      <c r="E14" s="14">
        <v>44209</v>
      </c>
      <c r="F14" s="4">
        <v>13</v>
      </c>
      <c r="G14">
        <v>231</v>
      </c>
      <c r="H14">
        <v>222</v>
      </c>
      <c r="I14" s="13">
        <v>0.96</v>
      </c>
      <c r="J14">
        <v>9</v>
      </c>
      <c r="K14" s="2">
        <v>9.2592592592592588E-5</v>
      </c>
      <c r="L14" s="11">
        <v>29.599999999999998</v>
      </c>
      <c r="M14" s="3">
        <v>0.13333333333333333</v>
      </c>
      <c r="N14" s="4">
        <v>8</v>
      </c>
      <c r="O14" s="2">
        <v>1.261574074074074E-3</v>
      </c>
      <c r="P14" s="9">
        <v>403.3</v>
      </c>
      <c r="Q14" s="3">
        <v>1.8166666666666667</v>
      </c>
      <c r="R14" s="4">
        <v>109</v>
      </c>
      <c r="S14" s="3">
        <v>191</v>
      </c>
      <c r="T14" s="1">
        <v>0.86460000000000004</v>
      </c>
      <c r="U14" s="6">
        <v>191.94120000000001</v>
      </c>
    </row>
    <row r="15" spans="1:21" x14ac:dyDescent="0.35">
      <c r="A15">
        <v>14</v>
      </c>
      <c r="B15" s="5">
        <v>44210</v>
      </c>
      <c r="C15" s="4">
        <v>2021</v>
      </c>
      <c r="D15" s="4">
        <v>1</v>
      </c>
      <c r="E15" s="14">
        <v>44210</v>
      </c>
      <c r="F15" s="4">
        <v>14</v>
      </c>
      <c r="G15">
        <v>205</v>
      </c>
      <c r="H15">
        <v>197</v>
      </c>
      <c r="I15" s="13">
        <v>0.96</v>
      </c>
      <c r="J15">
        <v>8</v>
      </c>
      <c r="K15" s="2">
        <v>8.1018518518518516E-5</v>
      </c>
      <c r="L15" s="11">
        <v>22.983333333333334</v>
      </c>
      <c r="M15" s="3">
        <v>0.11666666666666667</v>
      </c>
      <c r="N15" s="4">
        <v>7</v>
      </c>
      <c r="O15" s="2">
        <v>1.2962962962962963E-3</v>
      </c>
      <c r="P15" s="9">
        <v>367.73333333333335</v>
      </c>
      <c r="Q15" s="3">
        <v>1.8666666666666667</v>
      </c>
      <c r="R15" s="4">
        <v>112</v>
      </c>
      <c r="S15" s="3">
        <v>182</v>
      </c>
      <c r="T15" s="1">
        <v>0.92610000000000003</v>
      </c>
      <c r="U15" s="6">
        <v>182.4417</v>
      </c>
    </row>
    <row r="16" spans="1:21" x14ac:dyDescent="0.35">
      <c r="A16">
        <v>15</v>
      </c>
      <c r="B16" s="5">
        <v>44211</v>
      </c>
      <c r="C16" s="4">
        <v>2021</v>
      </c>
      <c r="D16" s="4">
        <v>1</v>
      </c>
      <c r="E16" s="14">
        <v>44211</v>
      </c>
      <c r="F16" s="4">
        <v>15</v>
      </c>
      <c r="G16">
        <v>338</v>
      </c>
      <c r="H16">
        <v>313</v>
      </c>
      <c r="I16" s="13">
        <v>0.92</v>
      </c>
      <c r="J16">
        <v>25</v>
      </c>
      <c r="K16" s="2">
        <v>1.5046296296296297E-4</v>
      </c>
      <c r="L16" s="11">
        <v>67.816666666666663</v>
      </c>
      <c r="M16" s="3">
        <v>0.21666666666666667</v>
      </c>
      <c r="N16" s="4">
        <v>13</v>
      </c>
      <c r="O16" s="2">
        <v>1.2847222222222223E-3</v>
      </c>
      <c r="P16" s="9">
        <v>579.05000000000007</v>
      </c>
      <c r="Q16" s="3">
        <v>1.85</v>
      </c>
      <c r="R16" s="4">
        <v>111</v>
      </c>
      <c r="S16" s="3">
        <v>250</v>
      </c>
      <c r="T16" s="1">
        <v>0.80059999999999998</v>
      </c>
      <c r="U16" s="6">
        <v>250.58779999999999</v>
      </c>
    </row>
    <row r="17" spans="1:21" x14ac:dyDescent="0.35">
      <c r="A17">
        <v>16</v>
      </c>
      <c r="B17" s="5">
        <v>44212</v>
      </c>
      <c r="C17" s="4">
        <v>2021</v>
      </c>
      <c r="D17" s="4">
        <v>1</v>
      </c>
      <c r="E17" s="14">
        <v>44212</v>
      </c>
      <c r="F17" s="4">
        <v>16</v>
      </c>
      <c r="G17">
        <v>180</v>
      </c>
      <c r="H17">
        <v>174</v>
      </c>
      <c r="I17" s="13">
        <v>0.96</v>
      </c>
      <c r="J17">
        <v>6</v>
      </c>
      <c r="K17" s="2">
        <v>1.5046296296296297E-4</v>
      </c>
      <c r="L17" s="11">
        <v>37.700000000000003</v>
      </c>
      <c r="M17" s="3">
        <v>0.21666666666666667</v>
      </c>
      <c r="N17" s="4">
        <v>13</v>
      </c>
      <c r="O17" s="2">
        <v>1.5972222222222223E-3</v>
      </c>
      <c r="P17" s="9">
        <v>400.2</v>
      </c>
      <c r="Q17" s="3">
        <v>2.2999999999999998</v>
      </c>
      <c r="R17" s="4">
        <v>138</v>
      </c>
      <c r="S17" s="3">
        <v>145</v>
      </c>
      <c r="T17" s="1">
        <v>0.83799999999999997</v>
      </c>
      <c r="U17" s="6">
        <v>145.81199999999998</v>
      </c>
    </row>
    <row r="18" spans="1:21" x14ac:dyDescent="0.35">
      <c r="A18">
        <v>17</v>
      </c>
      <c r="B18" s="5">
        <v>44213</v>
      </c>
      <c r="C18" s="4">
        <v>2021</v>
      </c>
      <c r="D18" s="4">
        <v>1</v>
      </c>
      <c r="E18" s="14">
        <v>44213</v>
      </c>
      <c r="F18" s="4">
        <v>17</v>
      </c>
      <c r="G18">
        <v>226</v>
      </c>
      <c r="H18">
        <v>211</v>
      </c>
      <c r="I18" s="13">
        <v>0.93</v>
      </c>
      <c r="J18">
        <v>15</v>
      </c>
      <c r="K18" s="2">
        <v>2.3148148148148149E-4</v>
      </c>
      <c r="L18" s="11">
        <v>70.333333333333329</v>
      </c>
      <c r="M18" s="3">
        <v>0.33333333333333331</v>
      </c>
      <c r="N18" s="4">
        <v>20</v>
      </c>
      <c r="O18" s="2">
        <v>1.4351851851851852E-3</v>
      </c>
      <c r="P18" s="9">
        <v>436.06666666666672</v>
      </c>
      <c r="Q18" s="3">
        <v>2.0666666666666669</v>
      </c>
      <c r="R18" s="4">
        <v>124.00000000000001</v>
      </c>
      <c r="S18" s="3">
        <v>160</v>
      </c>
      <c r="T18" s="1">
        <v>0.76229999999999998</v>
      </c>
      <c r="U18" s="6">
        <v>160.84530000000001</v>
      </c>
    </row>
    <row r="19" spans="1:21" x14ac:dyDescent="0.35">
      <c r="A19">
        <v>18</v>
      </c>
      <c r="B19" s="5">
        <v>44214</v>
      </c>
      <c r="C19" s="4">
        <v>2021</v>
      </c>
      <c r="D19" s="4">
        <v>1</v>
      </c>
      <c r="E19" s="14">
        <v>44214</v>
      </c>
      <c r="F19" s="4">
        <v>18</v>
      </c>
      <c r="G19">
        <v>226</v>
      </c>
      <c r="H19">
        <v>212</v>
      </c>
      <c r="I19" s="13">
        <v>0.93</v>
      </c>
      <c r="J19">
        <v>14</v>
      </c>
      <c r="K19" s="2">
        <v>1.1574074074074075E-4</v>
      </c>
      <c r="L19" s="11">
        <v>35.333333333333329</v>
      </c>
      <c r="M19" s="3">
        <v>0.16666666666666666</v>
      </c>
      <c r="N19" s="4">
        <v>10</v>
      </c>
      <c r="O19" s="2">
        <v>1.4236111111111112E-3</v>
      </c>
      <c r="P19" s="9">
        <v>434.59999999999997</v>
      </c>
      <c r="Q19" s="3">
        <v>2.0499999999999998</v>
      </c>
      <c r="R19" s="4">
        <v>122.99999999999999</v>
      </c>
      <c r="S19" s="3">
        <v>179</v>
      </c>
      <c r="T19" s="1">
        <v>0.84440000000000004</v>
      </c>
      <c r="U19" s="6">
        <v>179.0128</v>
      </c>
    </row>
    <row r="20" spans="1:21" x14ac:dyDescent="0.35">
      <c r="A20">
        <v>19</v>
      </c>
      <c r="B20" s="5">
        <v>44215</v>
      </c>
      <c r="C20" s="4">
        <v>2021</v>
      </c>
      <c r="D20" s="4">
        <v>1</v>
      </c>
      <c r="E20" s="14">
        <v>44215</v>
      </c>
      <c r="F20" s="4">
        <v>19</v>
      </c>
      <c r="G20">
        <v>45</v>
      </c>
      <c r="H20">
        <v>44</v>
      </c>
      <c r="I20" s="13">
        <v>0.97</v>
      </c>
      <c r="J20">
        <v>1</v>
      </c>
      <c r="K20" s="2">
        <v>2.3148148148148147E-5</v>
      </c>
      <c r="L20" s="11">
        <v>1.4666666666666666</v>
      </c>
      <c r="M20" s="3">
        <v>3.3333333333333333E-2</v>
      </c>
      <c r="N20" s="4">
        <v>2</v>
      </c>
      <c r="O20" s="2">
        <v>1.4351851851851852E-3</v>
      </c>
      <c r="P20" s="9">
        <v>90.933333333333337</v>
      </c>
      <c r="Q20" s="3">
        <v>2.0666666666666669</v>
      </c>
      <c r="R20" s="4">
        <v>124.00000000000001</v>
      </c>
      <c r="S20" s="3">
        <v>43</v>
      </c>
      <c r="T20" s="1">
        <v>0.9778</v>
      </c>
      <c r="U20" s="6">
        <v>43.023200000000003</v>
      </c>
    </row>
    <row r="21" spans="1:21" x14ac:dyDescent="0.35">
      <c r="A21">
        <v>20</v>
      </c>
      <c r="B21" s="5">
        <v>44216</v>
      </c>
      <c r="C21" s="4">
        <v>2021</v>
      </c>
      <c r="D21" s="4">
        <v>1</v>
      </c>
      <c r="E21" s="14">
        <v>44216</v>
      </c>
      <c r="F21" s="4">
        <v>20</v>
      </c>
      <c r="G21">
        <v>218</v>
      </c>
      <c r="H21">
        <v>194</v>
      </c>
      <c r="I21" s="13">
        <v>0.88</v>
      </c>
      <c r="J21">
        <v>24</v>
      </c>
      <c r="K21" s="2">
        <v>3.0092592592592595E-4</v>
      </c>
      <c r="L21" s="11">
        <v>84.066666666666663</v>
      </c>
      <c r="M21" s="3">
        <v>0.43333333333333335</v>
      </c>
      <c r="N21" s="4">
        <v>26</v>
      </c>
      <c r="O21" s="2">
        <v>1.8865740740740742E-3</v>
      </c>
      <c r="P21" s="9">
        <v>527.0333333333333</v>
      </c>
      <c r="Q21" s="3">
        <v>2.7166666666666668</v>
      </c>
      <c r="R21" s="4">
        <v>163</v>
      </c>
      <c r="S21" s="3">
        <v>133</v>
      </c>
      <c r="T21" s="1">
        <v>0.68979999999999997</v>
      </c>
      <c r="U21" s="6">
        <v>133.8212</v>
      </c>
    </row>
    <row r="22" spans="1:21" x14ac:dyDescent="0.35">
      <c r="A22">
        <v>21</v>
      </c>
      <c r="B22" s="5">
        <v>44217</v>
      </c>
      <c r="C22" s="4">
        <v>2021</v>
      </c>
      <c r="D22" s="4">
        <v>1</v>
      </c>
      <c r="E22" s="14">
        <v>44217</v>
      </c>
      <c r="F22" s="4">
        <v>21</v>
      </c>
      <c r="G22">
        <v>187</v>
      </c>
      <c r="H22">
        <v>174</v>
      </c>
      <c r="I22" s="13">
        <v>0.93</v>
      </c>
      <c r="J22">
        <v>13</v>
      </c>
      <c r="K22" s="2">
        <v>1.7361111111111112E-4</v>
      </c>
      <c r="L22" s="11">
        <v>43.5</v>
      </c>
      <c r="M22" s="3">
        <v>0.25</v>
      </c>
      <c r="N22" s="4">
        <v>15</v>
      </c>
      <c r="O22" s="2">
        <v>1.5740740740740741E-3</v>
      </c>
      <c r="P22" s="9">
        <v>394.4</v>
      </c>
      <c r="Q22" s="3">
        <v>2.2666666666666666</v>
      </c>
      <c r="R22" s="4">
        <v>136</v>
      </c>
      <c r="S22" s="3">
        <v>141</v>
      </c>
      <c r="T22" s="1">
        <v>0.81520000000000004</v>
      </c>
      <c r="U22" s="6">
        <v>141.84479999999999</v>
      </c>
    </row>
    <row r="23" spans="1:21" x14ac:dyDescent="0.35">
      <c r="A23">
        <v>22</v>
      </c>
      <c r="B23" s="5">
        <v>44218</v>
      </c>
      <c r="C23" s="4">
        <v>2021</v>
      </c>
      <c r="D23" s="4">
        <v>1</v>
      </c>
      <c r="E23" s="14">
        <v>44218</v>
      </c>
      <c r="F23" s="4">
        <v>22</v>
      </c>
      <c r="G23">
        <v>191</v>
      </c>
      <c r="H23">
        <v>184</v>
      </c>
      <c r="I23" s="13">
        <v>0.96</v>
      </c>
      <c r="J23">
        <v>7</v>
      </c>
      <c r="K23" s="2">
        <v>1.1574074074074075E-4</v>
      </c>
      <c r="L23" s="11">
        <v>30.666666666666664</v>
      </c>
      <c r="M23" s="3">
        <v>0.16666666666666666</v>
      </c>
      <c r="N23" s="4">
        <v>10</v>
      </c>
      <c r="O23" s="2">
        <v>1.4930555555555556E-3</v>
      </c>
      <c r="P23" s="9">
        <v>395.59999999999997</v>
      </c>
      <c r="Q23" s="3">
        <v>2.15</v>
      </c>
      <c r="R23" s="4">
        <v>129</v>
      </c>
      <c r="S23" s="3">
        <v>157</v>
      </c>
      <c r="T23" s="1">
        <v>0.85640000000000005</v>
      </c>
      <c r="U23" s="6">
        <v>157.57760000000002</v>
      </c>
    </row>
    <row r="24" spans="1:21" x14ac:dyDescent="0.35">
      <c r="A24">
        <v>23</v>
      </c>
      <c r="B24" s="5">
        <v>44219</v>
      </c>
      <c r="C24" s="4">
        <v>2021</v>
      </c>
      <c r="D24" s="4">
        <v>1</v>
      </c>
      <c r="E24" s="14">
        <v>44219</v>
      </c>
      <c r="F24" s="4">
        <v>23</v>
      </c>
      <c r="G24">
        <v>188</v>
      </c>
      <c r="H24">
        <v>174</v>
      </c>
      <c r="I24" s="13">
        <v>0.92</v>
      </c>
      <c r="J24">
        <v>14</v>
      </c>
      <c r="K24" s="2">
        <v>1.7361111111111112E-4</v>
      </c>
      <c r="L24" s="11">
        <v>43.5</v>
      </c>
      <c r="M24" s="3">
        <v>0.25</v>
      </c>
      <c r="N24" s="4">
        <v>15</v>
      </c>
      <c r="O24" s="2">
        <v>1.6782407407407408E-3</v>
      </c>
      <c r="P24" s="9">
        <v>420.5</v>
      </c>
      <c r="Q24" s="3">
        <v>2.4166666666666665</v>
      </c>
      <c r="R24" s="4">
        <v>145</v>
      </c>
      <c r="S24" s="3">
        <v>133</v>
      </c>
      <c r="T24" s="1">
        <v>0.76880000000000004</v>
      </c>
      <c r="U24" s="6">
        <v>133.77119999999999</v>
      </c>
    </row>
    <row r="25" spans="1:21" x14ac:dyDescent="0.35">
      <c r="A25">
        <v>24</v>
      </c>
      <c r="B25" s="5">
        <v>44220</v>
      </c>
      <c r="C25" s="4">
        <v>2021</v>
      </c>
      <c r="D25" s="4">
        <v>1</v>
      </c>
      <c r="E25" s="14">
        <v>44220</v>
      </c>
      <c r="F25" s="4">
        <v>24</v>
      </c>
      <c r="G25">
        <v>154</v>
      </c>
      <c r="H25">
        <v>148</v>
      </c>
      <c r="I25" s="13">
        <v>0.96</v>
      </c>
      <c r="J25">
        <v>6</v>
      </c>
      <c r="K25" s="2">
        <v>1.1574074074074075E-4</v>
      </c>
      <c r="L25" s="11">
        <v>24.666666666666664</v>
      </c>
      <c r="M25" s="3">
        <v>0.16666666666666666</v>
      </c>
      <c r="N25" s="4">
        <v>10</v>
      </c>
      <c r="O25" s="2">
        <v>1.7013888888888888E-3</v>
      </c>
      <c r="P25" s="9">
        <v>362.6</v>
      </c>
      <c r="Q25" s="3">
        <v>2.4500000000000002</v>
      </c>
      <c r="R25" s="4">
        <v>147</v>
      </c>
      <c r="S25" s="3">
        <v>125</v>
      </c>
      <c r="T25" s="1">
        <v>0.85060000000000002</v>
      </c>
      <c r="U25" s="6">
        <v>125.8888</v>
      </c>
    </row>
    <row r="26" spans="1:21" x14ac:dyDescent="0.35">
      <c r="A26">
        <v>25</v>
      </c>
      <c r="B26" s="5">
        <v>44221</v>
      </c>
      <c r="C26" s="4">
        <v>2021</v>
      </c>
      <c r="D26" s="4">
        <v>1</v>
      </c>
      <c r="E26" s="14">
        <v>44221</v>
      </c>
      <c r="F26" s="4">
        <v>25</v>
      </c>
      <c r="G26">
        <v>166</v>
      </c>
      <c r="H26">
        <v>150</v>
      </c>
      <c r="I26" s="13">
        <v>0.9</v>
      </c>
      <c r="J26">
        <v>16</v>
      </c>
      <c r="K26" s="2">
        <v>2.0833333333333335E-4</v>
      </c>
      <c r="L26" s="11">
        <v>45</v>
      </c>
      <c r="M26" s="3">
        <v>0.3</v>
      </c>
      <c r="N26" s="4">
        <v>18</v>
      </c>
      <c r="O26" s="2">
        <v>1.6898148148148148E-3</v>
      </c>
      <c r="P26" s="9">
        <v>365.00000000000006</v>
      </c>
      <c r="Q26" s="3">
        <v>2.4333333333333336</v>
      </c>
      <c r="R26" s="4">
        <v>146</v>
      </c>
      <c r="S26" s="3">
        <v>115</v>
      </c>
      <c r="T26" s="1">
        <v>0.76829999999999998</v>
      </c>
      <c r="U26" s="6">
        <v>115.245</v>
      </c>
    </row>
    <row r="27" spans="1:21" x14ac:dyDescent="0.35">
      <c r="A27">
        <v>26</v>
      </c>
      <c r="B27" s="5">
        <v>44222</v>
      </c>
      <c r="C27" s="4">
        <v>2021</v>
      </c>
      <c r="D27" s="4">
        <v>1</v>
      </c>
      <c r="E27" s="14">
        <v>44222</v>
      </c>
      <c r="F27" s="4">
        <v>26</v>
      </c>
      <c r="G27">
        <v>58</v>
      </c>
      <c r="H27">
        <v>57</v>
      </c>
      <c r="I27" s="13">
        <v>0.98</v>
      </c>
      <c r="J27">
        <v>1</v>
      </c>
      <c r="K27" s="2">
        <v>4.6296296296296294E-5</v>
      </c>
      <c r="L27" s="11">
        <v>3.8</v>
      </c>
      <c r="M27" s="3">
        <v>6.6666666666666666E-2</v>
      </c>
      <c r="N27" s="4">
        <v>4</v>
      </c>
      <c r="O27" s="2">
        <v>1.6898148148148148E-3</v>
      </c>
      <c r="P27" s="9">
        <v>138.70000000000002</v>
      </c>
      <c r="Q27" s="3">
        <v>2.4333333333333336</v>
      </c>
      <c r="R27" s="4">
        <v>146</v>
      </c>
      <c r="S27" s="3">
        <v>54</v>
      </c>
      <c r="T27" s="1">
        <v>0.94830000000000003</v>
      </c>
      <c r="U27" s="6">
        <v>54.053100000000001</v>
      </c>
    </row>
    <row r="28" spans="1:21" x14ac:dyDescent="0.35">
      <c r="A28">
        <v>27</v>
      </c>
      <c r="B28" s="5">
        <v>44223</v>
      </c>
      <c r="C28" s="4">
        <v>2021</v>
      </c>
      <c r="D28" s="4">
        <v>1</v>
      </c>
      <c r="E28" s="14">
        <v>44223</v>
      </c>
      <c r="F28" s="4">
        <v>27</v>
      </c>
      <c r="G28">
        <v>160</v>
      </c>
      <c r="H28">
        <v>153</v>
      </c>
      <c r="I28" s="13">
        <v>0.95</v>
      </c>
      <c r="J28">
        <v>7</v>
      </c>
      <c r="K28" s="2">
        <v>1.1574074074074075E-4</v>
      </c>
      <c r="L28" s="11">
        <v>25.5</v>
      </c>
      <c r="M28" s="3">
        <v>0.16666666666666666</v>
      </c>
      <c r="N28" s="4">
        <v>10</v>
      </c>
      <c r="O28" s="2">
        <v>1.6550925925925926E-3</v>
      </c>
      <c r="P28" s="9">
        <v>364.65</v>
      </c>
      <c r="Q28" s="3">
        <v>2.3833333333333333</v>
      </c>
      <c r="R28" s="4">
        <v>143</v>
      </c>
      <c r="S28" s="3">
        <v>129</v>
      </c>
      <c r="T28" s="1">
        <v>0.84909999999999997</v>
      </c>
      <c r="U28" s="6">
        <v>129.91229999999999</v>
      </c>
    </row>
    <row r="29" spans="1:21" x14ac:dyDescent="0.35">
      <c r="A29">
        <v>28</v>
      </c>
      <c r="B29" s="5">
        <v>44224</v>
      </c>
      <c r="C29" s="4">
        <v>2021</v>
      </c>
      <c r="D29" s="4">
        <v>1</v>
      </c>
      <c r="E29" s="14">
        <v>44224</v>
      </c>
      <c r="F29" s="4">
        <v>28</v>
      </c>
      <c r="G29">
        <v>86</v>
      </c>
      <c r="H29">
        <v>79</v>
      </c>
      <c r="I29" s="13">
        <v>0.91</v>
      </c>
      <c r="J29">
        <v>7</v>
      </c>
      <c r="K29" s="2">
        <v>3.7037037037037035E-4</v>
      </c>
      <c r="L29" s="11">
        <v>42.133333333333333</v>
      </c>
      <c r="M29" s="3">
        <v>0.53333333333333333</v>
      </c>
      <c r="N29" s="4">
        <v>32</v>
      </c>
      <c r="O29" s="2">
        <v>1.8865740740740742E-3</v>
      </c>
      <c r="P29" s="9">
        <v>214.61666666666667</v>
      </c>
      <c r="Q29" s="3">
        <v>2.7166666666666668</v>
      </c>
      <c r="R29" s="4">
        <v>163</v>
      </c>
      <c r="S29" s="3">
        <v>48</v>
      </c>
      <c r="T29" s="1">
        <v>0.61629999999999996</v>
      </c>
      <c r="U29" s="6">
        <v>48.6877</v>
      </c>
    </row>
    <row r="30" spans="1:21" x14ac:dyDescent="0.35">
      <c r="A30">
        <v>29</v>
      </c>
      <c r="B30" s="5">
        <v>44225</v>
      </c>
      <c r="C30" s="4">
        <v>2021</v>
      </c>
      <c r="D30" s="4">
        <v>1</v>
      </c>
      <c r="E30" s="14">
        <v>44225</v>
      </c>
      <c r="F30" s="4">
        <v>29</v>
      </c>
      <c r="G30">
        <v>180</v>
      </c>
      <c r="H30">
        <v>170</v>
      </c>
      <c r="I30" s="13">
        <v>0.94</v>
      </c>
      <c r="J30">
        <v>10</v>
      </c>
      <c r="K30" s="2">
        <v>2.6620370370370372E-4</v>
      </c>
      <c r="L30" s="11">
        <v>65.166666666666671</v>
      </c>
      <c r="M30" s="3">
        <v>0.38333333333333336</v>
      </c>
      <c r="N30" s="4">
        <v>23</v>
      </c>
      <c r="O30" s="2">
        <v>1.7476851851851852E-3</v>
      </c>
      <c r="P30" s="9">
        <v>427.83333333333331</v>
      </c>
      <c r="Q30" s="3">
        <v>2.5166666666666666</v>
      </c>
      <c r="R30" s="4">
        <v>151</v>
      </c>
      <c r="S30" s="3">
        <v>131</v>
      </c>
      <c r="T30" s="1">
        <v>0.77529999999999999</v>
      </c>
      <c r="U30" s="6">
        <v>131.80099999999999</v>
      </c>
    </row>
    <row r="31" spans="1:21" x14ac:dyDescent="0.35">
      <c r="A31">
        <v>30</v>
      </c>
      <c r="B31" s="5">
        <v>44226</v>
      </c>
      <c r="C31" s="4">
        <v>2021</v>
      </c>
      <c r="D31" s="4">
        <v>1</v>
      </c>
      <c r="E31" s="14">
        <v>44226</v>
      </c>
      <c r="F31" s="4">
        <v>30</v>
      </c>
      <c r="G31">
        <v>210</v>
      </c>
      <c r="H31">
        <v>192</v>
      </c>
      <c r="I31" s="13">
        <v>0.91</v>
      </c>
      <c r="J31">
        <v>18</v>
      </c>
      <c r="K31" s="2">
        <v>3.0092592592592595E-4</v>
      </c>
      <c r="L31" s="11">
        <v>83.2</v>
      </c>
      <c r="M31" s="3">
        <v>0.43333333333333335</v>
      </c>
      <c r="N31" s="4">
        <v>26</v>
      </c>
      <c r="O31" s="2">
        <v>1.5740740740740741E-3</v>
      </c>
      <c r="P31" s="9">
        <v>435.2</v>
      </c>
      <c r="Q31" s="3">
        <v>2.2666666666666666</v>
      </c>
      <c r="R31" s="4">
        <v>136</v>
      </c>
      <c r="S31" s="3">
        <v>129</v>
      </c>
      <c r="T31" s="1">
        <v>0.67459999999999998</v>
      </c>
      <c r="U31" s="6">
        <v>129.5232</v>
      </c>
    </row>
    <row r="32" spans="1:21" x14ac:dyDescent="0.35">
      <c r="A32">
        <v>31</v>
      </c>
      <c r="B32" s="5">
        <v>44227</v>
      </c>
      <c r="C32" s="4">
        <v>2021</v>
      </c>
      <c r="D32" s="4">
        <v>1</v>
      </c>
      <c r="E32" s="14">
        <v>44227</v>
      </c>
      <c r="F32" s="4">
        <v>31</v>
      </c>
      <c r="G32">
        <v>163</v>
      </c>
      <c r="H32">
        <v>157</v>
      </c>
      <c r="I32" s="13">
        <v>0.96</v>
      </c>
      <c r="J32">
        <v>6</v>
      </c>
      <c r="K32" s="2">
        <v>1.6203703703703703E-4</v>
      </c>
      <c r="L32" s="11">
        <v>36.633333333333333</v>
      </c>
      <c r="M32" s="3">
        <v>0.23333333333333334</v>
      </c>
      <c r="N32" s="4">
        <v>14</v>
      </c>
      <c r="O32" s="2">
        <v>1.6087962962962963E-3</v>
      </c>
      <c r="P32" s="9">
        <v>363.71666666666664</v>
      </c>
      <c r="Q32" s="3">
        <v>2.3166666666666664</v>
      </c>
      <c r="R32" s="4">
        <v>139</v>
      </c>
      <c r="S32" s="3">
        <v>127</v>
      </c>
      <c r="T32" s="1">
        <v>0.81369999999999998</v>
      </c>
      <c r="U32" s="6">
        <v>127.7509</v>
      </c>
    </row>
    <row r="33" spans="1:21" x14ac:dyDescent="0.35">
      <c r="A33">
        <v>32</v>
      </c>
      <c r="B33" s="5">
        <v>44228</v>
      </c>
      <c r="C33" s="4">
        <v>2021</v>
      </c>
      <c r="D33" s="4">
        <v>2</v>
      </c>
      <c r="E33" s="14">
        <v>44228</v>
      </c>
      <c r="F33" s="4">
        <v>1</v>
      </c>
      <c r="G33">
        <v>143</v>
      </c>
      <c r="H33">
        <v>140</v>
      </c>
      <c r="I33" s="13">
        <v>0.97</v>
      </c>
      <c r="J33">
        <v>3</v>
      </c>
      <c r="K33" s="2">
        <v>1.7361111111111112E-4</v>
      </c>
      <c r="L33" s="11">
        <v>35</v>
      </c>
      <c r="M33" s="3">
        <v>0.25</v>
      </c>
      <c r="N33" s="4">
        <v>15</v>
      </c>
      <c r="O33" s="2">
        <v>1.6203703703703703E-3</v>
      </c>
      <c r="P33" s="9">
        <v>326.66666666666669</v>
      </c>
      <c r="Q33" s="3">
        <v>2.3333333333333335</v>
      </c>
      <c r="R33" s="4">
        <v>140</v>
      </c>
      <c r="S33" s="3">
        <v>115</v>
      </c>
      <c r="T33" s="1">
        <v>0.82520000000000004</v>
      </c>
      <c r="U33" s="6">
        <v>115.52800000000001</v>
      </c>
    </row>
    <row r="34" spans="1:21" x14ac:dyDescent="0.35">
      <c r="A34">
        <v>33</v>
      </c>
      <c r="B34" s="5">
        <v>44229</v>
      </c>
      <c r="C34" s="4">
        <v>2021</v>
      </c>
      <c r="D34" s="4">
        <v>2</v>
      </c>
      <c r="E34" s="14">
        <v>44229</v>
      </c>
      <c r="F34" s="4">
        <v>2</v>
      </c>
      <c r="G34">
        <v>57</v>
      </c>
      <c r="H34">
        <v>55</v>
      </c>
      <c r="I34" s="13">
        <v>0.96</v>
      </c>
      <c r="J34">
        <v>2</v>
      </c>
      <c r="K34" s="2">
        <v>6.9444444444444444E-5</v>
      </c>
      <c r="L34" s="11">
        <v>5.5</v>
      </c>
      <c r="M34" s="3">
        <v>0.1</v>
      </c>
      <c r="N34" s="4">
        <v>6</v>
      </c>
      <c r="O34" s="2">
        <v>1.4236111111111112E-3</v>
      </c>
      <c r="P34" s="9">
        <v>112.74999999999999</v>
      </c>
      <c r="Q34" s="3">
        <v>2.0499999999999998</v>
      </c>
      <c r="R34" s="4">
        <v>122.99999999999999</v>
      </c>
      <c r="S34" s="3">
        <v>50</v>
      </c>
      <c r="T34" s="1">
        <v>0.9123</v>
      </c>
      <c r="U34" s="6">
        <v>50.176499999999997</v>
      </c>
    </row>
    <row r="35" spans="1:21" x14ac:dyDescent="0.35">
      <c r="A35">
        <v>34</v>
      </c>
      <c r="B35" s="5">
        <v>44230</v>
      </c>
      <c r="C35" s="4">
        <v>2021</v>
      </c>
      <c r="D35" s="4">
        <v>2</v>
      </c>
      <c r="E35" s="14">
        <v>44230</v>
      </c>
      <c r="F35" s="4">
        <v>3</v>
      </c>
      <c r="G35">
        <v>179</v>
      </c>
      <c r="H35">
        <v>172</v>
      </c>
      <c r="I35" s="13">
        <v>0.96</v>
      </c>
      <c r="J35">
        <v>7</v>
      </c>
      <c r="K35" s="2">
        <v>1.5046296296296297E-4</v>
      </c>
      <c r="L35" s="11">
        <v>37.266666666666666</v>
      </c>
      <c r="M35" s="3">
        <v>0.21666666666666667</v>
      </c>
      <c r="N35" s="4">
        <v>13</v>
      </c>
      <c r="O35" s="2">
        <v>1.5856481481481481E-3</v>
      </c>
      <c r="P35" s="9">
        <v>392.73333333333329</v>
      </c>
      <c r="Q35" s="3">
        <v>2.2833333333333332</v>
      </c>
      <c r="R35" s="4">
        <v>137</v>
      </c>
      <c r="S35" s="3">
        <v>141</v>
      </c>
      <c r="T35" s="1">
        <v>0.82489999999999997</v>
      </c>
      <c r="U35" s="6">
        <v>141.8828</v>
      </c>
    </row>
    <row r="36" spans="1:21" x14ac:dyDescent="0.35">
      <c r="A36">
        <v>35</v>
      </c>
      <c r="B36" s="5">
        <v>44231</v>
      </c>
      <c r="C36" s="4">
        <v>2021</v>
      </c>
      <c r="D36" s="4">
        <v>2</v>
      </c>
      <c r="E36" s="14">
        <v>44231</v>
      </c>
      <c r="F36" s="4">
        <v>4</v>
      </c>
      <c r="G36">
        <v>194</v>
      </c>
      <c r="H36">
        <v>184</v>
      </c>
      <c r="I36" s="13">
        <v>0.94</v>
      </c>
      <c r="J36">
        <v>10</v>
      </c>
      <c r="K36" s="2">
        <v>2.7777777777777778E-4</v>
      </c>
      <c r="L36" s="11">
        <v>73.600000000000009</v>
      </c>
      <c r="M36" s="3">
        <v>0.4</v>
      </c>
      <c r="N36" s="4">
        <v>24</v>
      </c>
      <c r="O36" s="2">
        <v>1.6666666666666668E-3</v>
      </c>
      <c r="P36" s="9">
        <v>441.59999999999997</v>
      </c>
      <c r="Q36" s="3">
        <v>2.4</v>
      </c>
      <c r="R36" s="4">
        <v>144</v>
      </c>
      <c r="S36" s="3">
        <v>128</v>
      </c>
      <c r="T36" s="1">
        <v>0.70099999999999996</v>
      </c>
      <c r="U36" s="6">
        <v>128.98399999999998</v>
      </c>
    </row>
    <row r="37" spans="1:21" x14ac:dyDescent="0.35">
      <c r="A37">
        <v>36</v>
      </c>
      <c r="B37" s="5">
        <v>44232</v>
      </c>
      <c r="C37" s="4">
        <v>2021</v>
      </c>
      <c r="D37" s="4">
        <v>2</v>
      </c>
      <c r="E37" s="14">
        <v>44232</v>
      </c>
      <c r="F37" s="4">
        <v>5</v>
      </c>
      <c r="G37">
        <v>201</v>
      </c>
      <c r="H37">
        <v>196</v>
      </c>
      <c r="I37" s="13">
        <v>0.97</v>
      </c>
      <c r="J37">
        <v>5</v>
      </c>
      <c r="K37" s="2">
        <v>1.7361111111111112E-4</v>
      </c>
      <c r="L37" s="11">
        <v>49</v>
      </c>
      <c r="M37" s="3">
        <v>0.25</v>
      </c>
      <c r="N37" s="4">
        <v>15</v>
      </c>
      <c r="O37" s="2">
        <v>1.5740740740740741E-3</v>
      </c>
      <c r="P37" s="9">
        <v>444.26666666666665</v>
      </c>
      <c r="Q37" s="3">
        <v>2.2666666666666666</v>
      </c>
      <c r="R37" s="4">
        <v>136</v>
      </c>
      <c r="S37" s="3">
        <v>159</v>
      </c>
      <c r="T37" s="1">
        <v>0.81589999999999996</v>
      </c>
      <c r="U37" s="6">
        <v>159.91639999999998</v>
      </c>
    </row>
    <row r="38" spans="1:21" x14ac:dyDescent="0.35">
      <c r="A38">
        <v>37</v>
      </c>
      <c r="B38" s="5">
        <v>44233</v>
      </c>
      <c r="C38" s="4">
        <v>2021</v>
      </c>
      <c r="D38" s="4">
        <v>2</v>
      </c>
      <c r="E38" s="14">
        <v>44233</v>
      </c>
      <c r="F38" s="4">
        <v>6</v>
      </c>
      <c r="G38">
        <v>218</v>
      </c>
      <c r="H38">
        <v>189</v>
      </c>
      <c r="I38" s="13">
        <v>0.86</v>
      </c>
      <c r="J38">
        <v>29</v>
      </c>
      <c r="K38" s="2">
        <v>3.7037037037037035E-4</v>
      </c>
      <c r="L38" s="11">
        <v>100.8</v>
      </c>
      <c r="M38" s="3">
        <v>0.53333333333333333</v>
      </c>
      <c r="N38" s="4">
        <v>32</v>
      </c>
      <c r="O38" s="2">
        <v>1.8171296296296297E-3</v>
      </c>
      <c r="P38" s="9">
        <v>494.55</v>
      </c>
      <c r="Q38" s="3">
        <v>2.6166666666666667</v>
      </c>
      <c r="R38" s="4">
        <v>157</v>
      </c>
      <c r="S38" s="3">
        <v>108</v>
      </c>
      <c r="T38" s="1">
        <v>0.57410000000000005</v>
      </c>
      <c r="U38" s="6">
        <v>108.50490000000001</v>
      </c>
    </row>
    <row r="39" spans="1:21" x14ac:dyDescent="0.35">
      <c r="A39">
        <v>38</v>
      </c>
      <c r="B39" s="5">
        <v>44234</v>
      </c>
      <c r="C39" s="4">
        <v>2021</v>
      </c>
      <c r="D39" s="4">
        <v>2</v>
      </c>
      <c r="E39" s="14">
        <v>44234</v>
      </c>
      <c r="F39" s="4">
        <v>7</v>
      </c>
      <c r="G39">
        <v>194</v>
      </c>
      <c r="H39">
        <v>190</v>
      </c>
      <c r="I39" s="13">
        <v>0.97</v>
      </c>
      <c r="J39">
        <v>4</v>
      </c>
      <c r="K39" s="2">
        <v>1.8518518518518518E-4</v>
      </c>
      <c r="L39" s="11">
        <v>50.666666666666664</v>
      </c>
      <c r="M39" s="3">
        <v>0.26666666666666666</v>
      </c>
      <c r="N39" s="4">
        <v>16</v>
      </c>
      <c r="O39" s="2">
        <v>1.6435185185185185E-3</v>
      </c>
      <c r="P39" s="9">
        <v>449.66666666666669</v>
      </c>
      <c r="Q39" s="3">
        <v>2.3666666666666667</v>
      </c>
      <c r="R39" s="4">
        <v>142</v>
      </c>
      <c r="S39" s="3">
        <v>155</v>
      </c>
      <c r="T39" s="1">
        <v>0.81769999999999998</v>
      </c>
      <c r="U39" s="6">
        <v>155.363</v>
      </c>
    </row>
    <row r="40" spans="1:21" x14ac:dyDescent="0.35">
      <c r="A40">
        <v>39</v>
      </c>
      <c r="B40" s="5">
        <v>44235</v>
      </c>
      <c r="C40" s="4">
        <v>2021</v>
      </c>
      <c r="D40" s="4">
        <v>2</v>
      </c>
      <c r="E40" s="14">
        <v>44235</v>
      </c>
      <c r="F40" s="4">
        <v>8</v>
      </c>
      <c r="G40">
        <v>227</v>
      </c>
      <c r="H40">
        <v>219</v>
      </c>
      <c r="I40" s="13">
        <v>0.96</v>
      </c>
      <c r="J40">
        <v>8</v>
      </c>
      <c r="K40" s="2">
        <v>1.7361111111111112E-4</v>
      </c>
      <c r="L40" s="11">
        <v>54.75</v>
      </c>
      <c r="M40" s="3">
        <v>0.25</v>
      </c>
      <c r="N40" s="4">
        <v>15</v>
      </c>
      <c r="O40" s="2">
        <v>1.8981481481481482E-3</v>
      </c>
      <c r="P40" s="9">
        <v>598.6</v>
      </c>
      <c r="Q40" s="3">
        <v>2.7333333333333334</v>
      </c>
      <c r="R40" s="4">
        <v>164</v>
      </c>
      <c r="S40" s="3">
        <v>183</v>
      </c>
      <c r="T40" s="1">
        <v>0.83630000000000004</v>
      </c>
      <c r="U40" s="6">
        <v>183.1497</v>
      </c>
    </row>
    <row r="41" spans="1:21" x14ac:dyDescent="0.35">
      <c r="A41">
        <v>40</v>
      </c>
      <c r="B41" s="5">
        <v>44236</v>
      </c>
      <c r="C41" s="4">
        <v>2021</v>
      </c>
      <c r="D41" s="4">
        <v>2</v>
      </c>
      <c r="E41" s="14">
        <v>44236</v>
      </c>
      <c r="F41" s="4">
        <v>9</v>
      </c>
      <c r="G41">
        <v>52</v>
      </c>
      <c r="H41">
        <v>52</v>
      </c>
      <c r="I41" s="13">
        <v>1</v>
      </c>
      <c r="J41">
        <v>0</v>
      </c>
      <c r="K41" s="2">
        <v>1.0416666666666667E-4</v>
      </c>
      <c r="L41" s="11">
        <v>7.8</v>
      </c>
      <c r="M41" s="3">
        <v>0.15</v>
      </c>
      <c r="N41" s="4">
        <v>9</v>
      </c>
      <c r="O41" s="2">
        <v>1.5740740740740741E-3</v>
      </c>
      <c r="P41" s="9">
        <v>117.86666666666666</v>
      </c>
      <c r="Q41" s="3">
        <v>2.2666666666666666</v>
      </c>
      <c r="R41" s="4">
        <v>136</v>
      </c>
      <c r="S41" s="3">
        <v>48</v>
      </c>
      <c r="T41" s="1">
        <v>0.94230000000000003</v>
      </c>
      <c r="U41" s="6">
        <v>48.999600000000001</v>
      </c>
    </row>
    <row r="42" spans="1:21" x14ac:dyDescent="0.35">
      <c r="A42">
        <v>41</v>
      </c>
      <c r="B42" s="5">
        <v>44237</v>
      </c>
      <c r="C42" s="4">
        <v>2021</v>
      </c>
      <c r="D42" s="4">
        <v>2</v>
      </c>
      <c r="E42" s="14">
        <v>44237</v>
      </c>
      <c r="F42" s="4">
        <v>10</v>
      </c>
      <c r="G42">
        <v>385</v>
      </c>
      <c r="H42">
        <v>370</v>
      </c>
      <c r="I42" s="13">
        <v>0.96</v>
      </c>
      <c r="J42">
        <v>15</v>
      </c>
      <c r="K42" s="2">
        <v>2.3148148148148149E-4</v>
      </c>
      <c r="L42" s="11">
        <v>123.33333333333333</v>
      </c>
      <c r="M42" s="3">
        <v>0.33333333333333331</v>
      </c>
      <c r="N42" s="4">
        <v>20</v>
      </c>
      <c r="O42" s="2">
        <v>1.5162037037037036E-3</v>
      </c>
      <c r="P42" s="9">
        <v>807.83333333333326</v>
      </c>
      <c r="Q42" s="3">
        <v>2.1833333333333331</v>
      </c>
      <c r="R42" s="4">
        <v>131</v>
      </c>
      <c r="S42" s="3">
        <v>281</v>
      </c>
      <c r="T42" s="1">
        <v>0.76190000000000002</v>
      </c>
      <c r="U42" s="6">
        <v>281.90300000000002</v>
      </c>
    </row>
    <row r="43" spans="1:21" x14ac:dyDescent="0.35">
      <c r="A43">
        <v>42</v>
      </c>
      <c r="B43" s="5">
        <v>44238</v>
      </c>
      <c r="C43" s="4">
        <v>2021</v>
      </c>
      <c r="D43" s="4">
        <v>2</v>
      </c>
      <c r="E43" s="14">
        <v>44238</v>
      </c>
      <c r="F43" s="4">
        <v>11</v>
      </c>
      <c r="G43">
        <v>137</v>
      </c>
      <c r="H43">
        <v>130</v>
      </c>
      <c r="I43" s="13">
        <v>0.94</v>
      </c>
      <c r="J43">
        <v>7</v>
      </c>
      <c r="K43" s="2">
        <v>1.8518518518518518E-4</v>
      </c>
      <c r="L43" s="11">
        <v>34.666666666666664</v>
      </c>
      <c r="M43" s="3">
        <v>0.26666666666666666</v>
      </c>
      <c r="N43" s="4">
        <v>16</v>
      </c>
      <c r="O43" s="2">
        <v>1.6898148148148148E-3</v>
      </c>
      <c r="P43" s="9">
        <v>316.33333333333337</v>
      </c>
      <c r="Q43" s="3">
        <v>2.4333333333333336</v>
      </c>
      <c r="R43" s="4">
        <v>146</v>
      </c>
      <c r="S43" s="3">
        <v>98</v>
      </c>
      <c r="T43" s="1">
        <v>0.7591</v>
      </c>
      <c r="U43" s="6">
        <v>98.682999999999993</v>
      </c>
    </row>
    <row r="44" spans="1:21" x14ac:dyDescent="0.35">
      <c r="A44">
        <v>43</v>
      </c>
      <c r="B44" s="5">
        <v>44239</v>
      </c>
      <c r="C44" s="4">
        <v>2021</v>
      </c>
      <c r="D44" s="4">
        <v>2</v>
      </c>
      <c r="E44" s="14">
        <v>44239</v>
      </c>
      <c r="F44" s="4">
        <v>12</v>
      </c>
      <c r="G44">
        <v>254</v>
      </c>
      <c r="H44">
        <v>252</v>
      </c>
      <c r="I44" s="13">
        <v>0.99</v>
      </c>
      <c r="J44">
        <v>2</v>
      </c>
      <c r="K44" s="2">
        <v>1.1574074074074075E-4</v>
      </c>
      <c r="L44" s="11">
        <v>42</v>
      </c>
      <c r="M44" s="3">
        <v>0.16666666666666666</v>
      </c>
      <c r="N44" s="4">
        <v>10</v>
      </c>
      <c r="O44" s="2">
        <v>1.4814814814814814E-3</v>
      </c>
      <c r="P44" s="9">
        <v>537.6</v>
      </c>
      <c r="Q44" s="3">
        <v>2.1333333333333333</v>
      </c>
      <c r="R44" s="4">
        <v>128</v>
      </c>
      <c r="S44" s="3">
        <v>230</v>
      </c>
      <c r="T44" s="1">
        <v>0.91339999999999999</v>
      </c>
      <c r="U44" s="6">
        <v>230.17679999999999</v>
      </c>
    </row>
    <row r="45" spans="1:21" x14ac:dyDescent="0.35">
      <c r="A45">
        <v>44</v>
      </c>
      <c r="B45" s="5">
        <v>44240</v>
      </c>
      <c r="C45" s="4">
        <v>2021</v>
      </c>
      <c r="D45" s="4">
        <v>2</v>
      </c>
      <c r="E45" s="14">
        <v>44240</v>
      </c>
      <c r="F45" s="4">
        <v>13</v>
      </c>
      <c r="G45">
        <v>211</v>
      </c>
      <c r="H45">
        <v>206</v>
      </c>
      <c r="I45" s="13">
        <v>0.97</v>
      </c>
      <c r="J45">
        <v>5</v>
      </c>
      <c r="K45" s="2">
        <v>1.273148148148148E-4</v>
      </c>
      <c r="L45" s="11">
        <v>37.766666666666666</v>
      </c>
      <c r="M45" s="3">
        <v>0.18333333333333332</v>
      </c>
      <c r="N45" s="4">
        <v>11</v>
      </c>
      <c r="O45" s="2">
        <v>1.6666666666666668E-3</v>
      </c>
      <c r="P45" s="9">
        <v>494.4</v>
      </c>
      <c r="Q45" s="3">
        <v>2.4</v>
      </c>
      <c r="R45" s="4">
        <v>144</v>
      </c>
      <c r="S45" s="3">
        <v>179</v>
      </c>
      <c r="T45" s="1">
        <v>0.87139999999999995</v>
      </c>
      <c r="U45" s="6">
        <v>179.50839999999999</v>
      </c>
    </row>
    <row r="46" spans="1:21" x14ac:dyDescent="0.35">
      <c r="A46">
        <v>45</v>
      </c>
      <c r="B46" s="5">
        <v>44241</v>
      </c>
      <c r="C46" s="4">
        <v>2021</v>
      </c>
      <c r="D46" s="4">
        <v>2</v>
      </c>
      <c r="E46" s="14">
        <v>44241</v>
      </c>
      <c r="F46" s="4">
        <v>14</v>
      </c>
      <c r="G46">
        <v>282</v>
      </c>
      <c r="H46">
        <v>279</v>
      </c>
      <c r="I46" s="13">
        <v>0.98</v>
      </c>
      <c r="J46">
        <v>3</v>
      </c>
      <c r="K46" s="2">
        <v>8.1018518518518516E-5</v>
      </c>
      <c r="L46" s="11">
        <v>32.549999999999997</v>
      </c>
      <c r="M46" s="3">
        <v>0.11666666666666667</v>
      </c>
      <c r="N46" s="4">
        <v>7</v>
      </c>
      <c r="O46" s="2">
        <v>1.5972222222222223E-3</v>
      </c>
      <c r="P46" s="9">
        <v>641.69999999999993</v>
      </c>
      <c r="Q46" s="3">
        <v>2.2999999999999998</v>
      </c>
      <c r="R46" s="4">
        <v>138</v>
      </c>
      <c r="S46" s="3">
        <v>260</v>
      </c>
      <c r="T46" s="1">
        <v>0.93210000000000004</v>
      </c>
      <c r="U46" s="6">
        <v>260.05590000000001</v>
      </c>
    </row>
    <row r="47" spans="1:21" x14ac:dyDescent="0.35">
      <c r="A47">
        <v>46</v>
      </c>
      <c r="B47" s="5">
        <v>44242</v>
      </c>
      <c r="C47" s="4">
        <v>2021</v>
      </c>
      <c r="D47" s="4">
        <v>2</v>
      </c>
      <c r="E47" s="14">
        <v>44242</v>
      </c>
      <c r="F47" s="4">
        <v>15</v>
      </c>
      <c r="G47">
        <v>262</v>
      </c>
      <c r="H47">
        <v>260</v>
      </c>
      <c r="I47" s="13">
        <v>0.99</v>
      </c>
      <c r="J47">
        <v>2</v>
      </c>
      <c r="K47" s="2">
        <v>9.2592592592592588E-5</v>
      </c>
      <c r="L47" s="11">
        <v>34.666666666666664</v>
      </c>
      <c r="M47" s="3">
        <v>0.13333333333333333</v>
      </c>
      <c r="N47" s="4">
        <v>8</v>
      </c>
      <c r="O47" s="2">
        <v>1.7476851851851852E-3</v>
      </c>
      <c r="P47" s="9">
        <v>654.33333333333337</v>
      </c>
      <c r="Q47" s="3">
        <v>2.5166666666666666</v>
      </c>
      <c r="R47" s="4">
        <v>151</v>
      </c>
      <c r="S47" s="3">
        <v>236</v>
      </c>
      <c r="T47" s="1">
        <v>0.90800000000000003</v>
      </c>
      <c r="U47" s="6">
        <v>236.08</v>
      </c>
    </row>
    <row r="48" spans="1:21" x14ac:dyDescent="0.35">
      <c r="A48">
        <v>47</v>
      </c>
      <c r="B48" s="5">
        <v>44243</v>
      </c>
      <c r="C48" s="4">
        <v>2021</v>
      </c>
      <c r="D48" s="4">
        <v>2</v>
      </c>
      <c r="E48" s="14">
        <v>44243</v>
      </c>
      <c r="F48" s="4">
        <v>16</v>
      </c>
      <c r="G48">
        <v>65</v>
      </c>
      <c r="H48">
        <v>63</v>
      </c>
      <c r="I48" s="13">
        <v>0.96</v>
      </c>
      <c r="J48">
        <v>2</v>
      </c>
      <c r="K48" s="2">
        <v>1.3888888888888889E-4</v>
      </c>
      <c r="L48" s="11">
        <v>12.600000000000001</v>
      </c>
      <c r="M48" s="3">
        <v>0.2</v>
      </c>
      <c r="N48" s="4">
        <v>12</v>
      </c>
      <c r="O48" s="2">
        <v>1.6435185185185185E-3</v>
      </c>
      <c r="P48" s="9">
        <v>149.1</v>
      </c>
      <c r="Q48" s="3">
        <v>2.3666666666666667</v>
      </c>
      <c r="R48" s="4">
        <v>142</v>
      </c>
      <c r="S48" s="3">
        <v>54</v>
      </c>
      <c r="T48" s="1">
        <v>0.85940000000000005</v>
      </c>
      <c r="U48" s="6">
        <v>54.142200000000003</v>
      </c>
    </row>
    <row r="49" spans="1:21" x14ac:dyDescent="0.35">
      <c r="A49">
        <v>48</v>
      </c>
      <c r="B49" s="5">
        <v>44244</v>
      </c>
      <c r="C49" s="4">
        <v>2021</v>
      </c>
      <c r="D49" s="4">
        <v>2</v>
      </c>
      <c r="E49" s="14">
        <v>44244</v>
      </c>
      <c r="F49" s="4">
        <v>17</v>
      </c>
      <c r="G49">
        <v>325</v>
      </c>
      <c r="H49">
        <v>323</v>
      </c>
      <c r="I49" s="13">
        <v>0.99</v>
      </c>
      <c r="J49">
        <v>2</v>
      </c>
      <c r="K49" s="2">
        <v>5.7870370370370373E-5</v>
      </c>
      <c r="L49" s="11">
        <v>26.916666666666664</v>
      </c>
      <c r="M49" s="3">
        <v>8.3333333333333329E-2</v>
      </c>
      <c r="N49" s="4">
        <v>5</v>
      </c>
      <c r="O49" s="2">
        <v>1.5393518518518519E-3</v>
      </c>
      <c r="P49" s="9">
        <v>715.98333333333335</v>
      </c>
      <c r="Q49" s="3">
        <v>2.2166666666666668</v>
      </c>
      <c r="R49" s="4">
        <v>133</v>
      </c>
      <c r="S49" s="3">
        <v>312</v>
      </c>
      <c r="T49" s="1">
        <v>0.96899999999999997</v>
      </c>
      <c r="U49" s="6">
        <v>312.98699999999997</v>
      </c>
    </row>
    <row r="50" spans="1:21" x14ac:dyDescent="0.35">
      <c r="A50">
        <v>49</v>
      </c>
      <c r="B50" s="5">
        <v>44245</v>
      </c>
      <c r="C50" s="4">
        <v>2021</v>
      </c>
      <c r="D50" s="4">
        <v>2</v>
      </c>
      <c r="E50" s="14">
        <v>44245</v>
      </c>
      <c r="F50" s="4">
        <v>18</v>
      </c>
      <c r="G50">
        <v>235</v>
      </c>
      <c r="H50">
        <v>230</v>
      </c>
      <c r="I50" s="13">
        <v>0.97</v>
      </c>
      <c r="J50">
        <v>5</v>
      </c>
      <c r="K50" s="2">
        <v>5.7870370370370373E-5</v>
      </c>
      <c r="L50" s="11">
        <v>19.166666666666664</v>
      </c>
      <c r="M50" s="3">
        <v>8.3333333333333329E-2</v>
      </c>
      <c r="N50" s="4">
        <v>5</v>
      </c>
      <c r="O50" s="2">
        <v>1.6087962962962963E-3</v>
      </c>
      <c r="P50" s="9">
        <v>532.83333333333326</v>
      </c>
      <c r="Q50" s="3">
        <v>2.3166666666666664</v>
      </c>
      <c r="R50" s="4">
        <v>139</v>
      </c>
      <c r="S50" s="3">
        <v>221</v>
      </c>
      <c r="T50" s="1">
        <v>0.96140000000000003</v>
      </c>
      <c r="U50" s="6">
        <v>221.12200000000001</v>
      </c>
    </row>
    <row r="51" spans="1:21" x14ac:dyDescent="0.35">
      <c r="A51">
        <v>50</v>
      </c>
      <c r="B51" s="5">
        <v>44246</v>
      </c>
      <c r="C51" s="4">
        <v>2021</v>
      </c>
      <c r="D51" s="4">
        <v>2</v>
      </c>
      <c r="E51" s="14">
        <v>44246</v>
      </c>
      <c r="F51" s="4">
        <v>19</v>
      </c>
      <c r="G51">
        <v>215</v>
      </c>
      <c r="H51">
        <v>212</v>
      </c>
      <c r="I51" s="13">
        <v>0.98</v>
      </c>
      <c r="J51">
        <v>3</v>
      </c>
      <c r="K51" s="2">
        <v>5.7870370370370373E-5</v>
      </c>
      <c r="L51" s="11">
        <v>17.666666666666664</v>
      </c>
      <c r="M51" s="3">
        <v>8.3333333333333329E-2</v>
      </c>
      <c r="N51" s="4">
        <v>5</v>
      </c>
      <c r="O51" s="2">
        <v>1.5509259259259259E-3</v>
      </c>
      <c r="P51" s="9">
        <v>473.4666666666667</v>
      </c>
      <c r="Q51" s="3">
        <v>2.2333333333333334</v>
      </c>
      <c r="R51" s="4">
        <v>134</v>
      </c>
      <c r="S51" s="3">
        <v>203</v>
      </c>
      <c r="T51" s="1">
        <v>0.95809999999999995</v>
      </c>
      <c r="U51" s="6">
        <v>203.1172</v>
      </c>
    </row>
    <row r="52" spans="1:21" x14ac:dyDescent="0.35">
      <c r="A52">
        <v>51</v>
      </c>
      <c r="B52" s="5">
        <v>44247</v>
      </c>
      <c r="C52" s="4">
        <v>2021</v>
      </c>
      <c r="D52" s="4">
        <v>2</v>
      </c>
      <c r="E52" s="14">
        <v>44247</v>
      </c>
      <c r="F52" s="4">
        <v>20</v>
      </c>
      <c r="G52">
        <v>85</v>
      </c>
      <c r="H52">
        <v>85</v>
      </c>
      <c r="I52" s="13">
        <v>1</v>
      </c>
      <c r="J52">
        <v>0</v>
      </c>
      <c r="K52" s="2">
        <v>3.4722222222222222E-5</v>
      </c>
      <c r="L52" s="11">
        <v>4.25</v>
      </c>
      <c r="M52" s="3">
        <v>0.05</v>
      </c>
      <c r="N52" s="4">
        <v>3</v>
      </c>
      <c r="O52" s="2">
        <v>1.6898148148148148E-3</v>
      </c>
      <c r="P52" s="9">
        <v>206.83333333333334</v>
      </c>
      <c r="Q52" s="3">
        <v>2.4333333333333336</v>
      </c>
      <c r="R52" s="4">
        <v>146</v>
      </c>
      <c r="S52" s="3">
        <v>83</v>
      </c>
      <c r="T52" s="1">
        <v>0.97650000000000003</v>
      </c>
      <c r="U52" s="6">
        <v>83.002499999999998</v>
      </c>
    </row>
    <row r="53" spans="1:21" x14ac:dyDescent="0.35">
      <c r="A53">
        <v>52</v>
      </c>
      <c r="B53" s="5">
        <v>44248</v>
      </c>
      <c r="C53" s="4">
        <v>2021</v>
      </c>
      <c r="D53" s="4">
        <v>2</v>
      </c>
      <c r="E53" s="14">
        <v>44248</v>
      </c>
      <c r="F53" s="4">
        <v>21</v>
      </c>
      <c r="G53">
        <v>195</v>
      </c>
      <c r="H53">
        <v>195</v>
      </c>
      <c r="I53" s="13">
        <v>1</v>
      </c>
      <c r="J53">
        <v>0</v>
      </c>
      <c r="K53" s="2">
        <v>5.7870370370370373E-5</v>
      </c>
      <c r="L53" s="11">
        <v>16.25</v>
      </c>
      <c r="M53" s="3">
        <v>8.3333333333333329E-2</v>
      </c>
      <c r="N53" s="4">
        <v>5</v>
      </c>
      <c r="O53" s="2">
        <v>1.6666666666666668E-3</v>
      </c>
      <c r="P53" s="9">
        <v>468</v>
      </c>
      <c r="Q53" s="3">
        <v>2.4</v>
      </c>
      <c r="R53" s="4">
        <v>144</v>
      </c>
      <c r="S53" s="3">
        <v>190</v>
      </c>
      <c r="T53" s="1">
        <v>0.97440000000000004</v>
      </c>
      <c r="U53" s="6">
        <v>190.00800000000001</v>
      </c>
    </row>
    <row r="54" spans="1:21" x14ac:dyDescent="0.35">
      <c r="A54">
        <v>53</v>
      </c>
      <c r="B54" s="5">
        <v>44249</v>
      </c>
      <c r="C54" s="4">
        <v>2021</v>
      </c>
      <c r="D54" s="4">
        <v>2</v>
      </c>
      <c r="E54" s="14">
        <v>44249</v>
      </c>
      <c r="F54" s="4">
        <v>22</v>
      </c>
      <c r="G54">
        <v>188</v>
      </c>
      <c r="H54">
        <v>182</v>
      </c>
      <c r="I54" s="13">
        <v>0.96</v>
      </c>
      <c r="J54">
        <v>6</v>
      </c>
      <c r="K54" s="2">
        <v>1.7361111111111112E-4</v>
      </c>
      <c r="L54" s="11">
        <v>45.5</v>
      </c>
      <c r="M54" s="3">
        <v>0.25</v>
      </c>
      <c r="N54" s="4">
        <v>15</v>
      </c>
      <c r="O54" s="2">
        <v>1.5509259259259259E-3</v>
      </c>
      <c r="P54" s="9">
        <v>406.4666666666667</v>
      </c>
      <c r="Q54" s="3">
        <v>2.2333333333333334</v>
      </c>
      <c r="R54" s="4">
        <v>134</v>
      </c>
      <c r="S54" s="3">
        <v>152</v>
      </c>
      <c r="T54" s="1">
        <v>0.83609999999999995</v>
      </c>
      <c r="U54" s="6">
        <v>152.17019999999999</v>
      </c>
    </row>
    <row r="55" spans="1:21" x14ac:dyDescent="0.35">
      <c r="A55">
        <v>54</v>
      </c>
      <c r="B55" s="5">
        <v>44250</v>
      </c>
      <c r="C55" s="4">
        <v>2021</v>
      </c>
      <c r="D55" s="4">
        <v>2</v>
      </c>
      <c r="E55" s="14">
        <v>44250</v>
      </c>
      <c r="F55" s="4">
        <v>23</v>
      </c>
      <c r="G55">
        <v>58</v>
      </c>
      <c r="H55">
        <v>58</v>
      </c>
      <c r="I55" s="13">
        <v>1</v>
      </c>
      <c r="J55">
        <v>0</v>
      </c>
      <c r="K55" s="2">
        <v>6.9444444444444444E-5</v>
      </c>
      <c r="L55" s="11">
        <v>5.8000000000000007</v>
      </c>
      <c r="M55" s="3">
        <v>0.1</v>
      </c>
      <c r="N55" s="4">
        <v>6</v>
      </c>
      <c r="O55" s="2">
        <v>1.6435185185185185E-3</v>
      </c>
      <c r="P55" s="9">
        <v>137.26666666666668</v>
      </c>
      <c r="Q55" s="3">
        <v>2.3666666666666667</v>
      </c>
      <c r="R55" s="4">
        <v>142</v>
      </c>
      <c r="S55" s="3">
        <v>55</v>
      </c>
      <c r="T55" s="1">
        <v>0.94830000000000003</v>
      </c>
      <c r="U55" s="6">
        <v>55.001400000000004</v>
      </c>
    </row>
    <row r="56" spans="1:21" x14ac:dyDescent="0.35">
      <c r="A56">
        <v>55</v>
      </c>
      <c r="B56" s="5">
        <v>44251</v>
      </c>
      <c r="C56" s="4">
        <v>2021</v>
      </c>
      <c r="D56" s="4">
        <v>2</v>
      </c>
      <c r="E56" s="14">
        <v>44251</v>
      </c>
      <c r="F56" s="4">
        <v>24</v>
      </c>
      <c r="G56">
        <v>251</v>
      </c>
      <c r="H56">
        <v>247</v>
      </c>
      <c r="I56" s="13">
        <v>0.98</v>
      </c>
      <c r="J56">
        <v>4</v>
      </c>
      <c r="K56" s="2">
        <v>1.6203703703703703E-4</v>
      </c>
      <c r="L56" s="11">
        <v>57.633333333333333</v>
      </c>
      <c r="M56" s="3">
        <v>0.23333333333333334</v>
      </c>
      <c r="N56" s="4">
        <v>14</v>
      </c>
      <c r="O56" s="2">
        <v>1.5740740740740741E-3</v>
      </c>
      <c r="P56" s="9">
        <v>559.86666666666667</v>
      </c>
      <c r="Q56" s="3">
        <v>2.2666666666666666</v>
      </c>
      <c r="R56" s="4">
        <v>136</v>
      </c>
      <c r="S56" s="3">
        <v>206</v>
      </c>
      <c r="T56" s="1">
        <v>0.83530000000000004</v>
      </c>
      <c r="U56" s="6">
        <v>206.31910000000002</v>
      </c>
    </row>
    <row r="57" spans="1:21" x14ac:dyDescent="0.35">
      <c r="A57">
        <v>56</v>
      </c>
      <c r="B57" s="5">
        <v>44252</v>
      </c>
      <c r="C57" s="4">
        <v>2021</v>
      </c>
      <c r="D57" s="4">
        <v>2</v>
      </c>
      <c r="E57" s="14">
        <v>44252</v>
      </c>
      <c r="F57" s="4">
        <v>25</v>
      </c>
      <c r="G57">
        <v>181</v>
      </c>
      <c r="H57">
        <v>178</v>
      </c>
      <c r="I57" s="13">
        <v>0.98</v>
      </c>
      <c r="J57">
        <v>3</v>
      </c>
      <c r="K57" s="2">
        <v>1.3888888888888889E-4</v>
      </c>
      <c r="L57" s="11">
        <v>35.6</v>
      </c>
      <c r="M57" s="3">
        <v>0.2</v>
      </c>
      <c r="N57" s="4">
        <v>12</v>
      </c>
      <c r="O57" s="2">
        <v>1.6666666666666668E-3</v>
      </c>
      <c r="P57" s="9">
        <v>427.2</v>
      </c>
      <c r="Q57" s="3">
        <v>2.4</v>
      </c>
      <c r="R57" s="4">
        <v>144</v>
      </c>
      <c r="S57" s="3">
        <v>153</v>
      </c>
      <c r="T57" s="1">
        <v>0.8619</v>
      </c>
      <c r="U57" s="6">
        <v>153.41820000000001</v>
      </c>
    </row>
    <row r="58" spans="1:21" x14ac:dyDescent="0.35">
      <c r="A58">
        <v>57</v>
      </c>
      <c r="B58" s="5">
        <v>44253</v>
      </c>
      <c r="C58" s="4">
        <v>2021</v>
      </c>
      <c r="D58" s="4">
        <v>2</v>
      </c>
      <c r="E58" s="14">
        <v>44253</v>
      </c>
      <c r="F58" s="4">
        <v>26</v>
      </c>
      <c r="G58">
        <v>228</v>
      </c>
      <c r="H58">
        <v>213</v>
      </c>
      <c r="I58" s="13">
        <v>0.93</v>
      </c>
      <c r="J58">
        <v>15</v>
      </c>
      <c r="K58" s="2">
        <v>3.0092592592592595E-4</v>
      </c>
      <c r="L58" s="11">
        <v>92.3</v>
      </c>
      <c r="M58" s="3">
        <v>0.43333333333333335</v>
      </c>
      <c r="N58" s="4">
        <v>26</v>
      </c>
      <c r="O58" s="2">
        <v>1.5740740740740741E-3</v>
      </c>
      <c r="P58" s="9">
        <v>482.8</v>
      </c>
      <c r="Q58" s="3">
        <v>2.2666666666666666</v>
      </c>
      <c r="R58" s="4">
        <v>136</v>
      </c>
      <c r="S58" s="3">
        <v>135</v>
      </c>
      <c r="T58" s="1">
        <v>0.63560000000000005</v>
      </c>
      <c r="U58" s="6">
        <v>135.3828</v>
      </c>
    </row>
    <row r="59" spans="1:21" x14ac:dyDescent="0.35">
      <c r="A59">
        <v>58</v>
      </c>
      <c r="B59" s="5">
        <v>44254</v>
      </c>
      <c r="C59" s="4">
        <v>2021</v>
      </c>
      <c r="D59" s="4">
        <v>2</v>
      </c>
      <c r="E59" s="14">
        <v>44254</v>
      </c>
      <c r="F59" s="4">
        <v>27</v>
      </c>
      <c r="G59">
        <v>165</v>
      </c>
      <c r="H59">
        <v>163</v>
      </c>
      <c r="I59" s="13">
        <v>0.98</v>
      </c>
      <c r="J59">
        <v>2</v>
      </c>
      <c r="K59" s="2">
        <v>1.0416666666666667E-4</v>
      </c>
      <c r="L59" s="11">
        <v>24.45</v>
      </c>
      <c r="M59" s="3">
        <v>0.15</v>
      </c>
      <c r="N59" s="4">
        <v>9</v>
      </c>
      <c r="O59" s="2">
        <v>1.6782407407407408E-3</v>
      </c>
      <c r="P59" s="9">
        <v>393.91666666666663</v>
      </c>
      <c r="Q59" s="3">
        <v>2.4166666666666665</v>
      </c>
      <c r="R59" s="4">
        <v>145</v>
      </c>
      <c r="S59" s="3">
        <v>147</v>
      </c>
      <c r="T59" s="1">
        <v>0.90239999999999998</v>
      </c>
      <c r="U59" s="6">
        <v>147.09119999999999</v>
      </c>
    </row>
    <row r="60" spans="1:21" x14ac:dyDescent="0.35">
      <c r="A60">
        <v>59</v>
      </c>
      <c r="B60" s="5">
        <v>44255</v>
      </c>
      <c r="C60" s="4">
        <v>2021</v>
      </c>
      <c r="D60" s="4">
        <v>2</v>
      </c>
      <c r="E60" s="14">
        <v>44255</v>
      </c>
      <c r="F60" s="4">
        <v>28</v>
      </c>
      <c r="G60">
        <v>185</v>
      </c>
      <c r="H60">
        <v>179</v>
      </c>
      <c r="I60" s="13">
        <v>0.96</v>
      </c>
      <c r="J60">
        <v>6</v>
      </c>
      <c r="K60" s="2">
        <v>1.9675925925925926E-4</v>
      </c>
      <c r="L60" s="11">
        <v>50.716666666666669</v>
      </c>
      <c r="M60" s="3">
        <v>0.28333333333333333</v>
      </c>
      <c r="N60" s="4">
        <v>17</v>
      </c>
      <c r="O60" s="2">
        <v>1.5856481481481481E-3</v>
      </c>
      <c r="P60" s="9">
        <v>408.71666666666664</v>
      </c>
      <c r="Q60" s="3">
        <v>2.2833333333333332</v>
      </c>
      <c r="R60" s="4">
        <v>137</v>
      </c>
      <c r="S60" s="3">
        <v>140</v>
      </c>
      <c r="T60" s="1">
        <v>0.78569999999999995</v>
      </c>
      <c r="U60" s="6">
        <v>140.6403</v>
      </c>
    </row>
    <row r="61" spans="1:21" x14ac:dyDescent="0.35">
      <c r="A61">
        <v>60</v>
      </c>
      <c r="B61" s="5">
        <v>44256</v>
      </c>
      <c r="C61" s="4">
        <v>2021</v>
      </c>
      <c r="D61" s="4">
        <v>3</v>
      </c>
      <c r="E61" s="14">
        <v>44256</v>
      </c>
      <c r="F61" s="4">
        <v>1</v>
      </c>
      <c r="G61">
        <v>172</v>
      </c>
      <c r="H61">
        <v>164</v>
      </c>
      <c r="I61" s="13">
        <v>0.95</v>
      </c>
      <c r="J61">
        <v>8</v>
      </c>
      <c r="K61" s="2">
        <v>2.0833333333333335E-4</v>
      </c>
      <c r="L61" s="11">
        <v>49.199999999999996</v>
      </c>
      <c r="M61" s="3">
        <v>0.3</v>
      </c>
      <c r="N61" s="4">
        <v>18</v>
      </c>
      <c r="O61" s="2">
        <v>1.7013888888888888E-3</v>
      </c>
      <c r="P61" s="9">
        <v>401.8</v>
      </c>
      <c r="Q61" s="3">
        <v>2.4500000000000002</v>
      </c>
      <c r="R61" s="4">
        <v>147</v>
      </c>
      <c r="S61" s="3">
        <v>126</v>
      </c>
      <c r="T61" s="1">
        <v>0.77059999999999995</v>
      </c>
      <c r="U61" s="6">
        <v>126.3784</v>
      </c>
    </row>
    <row r="62" spans="1:21" x14ac:dyDescent="0.35">
      <c r="A62">
        <v>61</v>
      </c>
      <c r="B62" s="5">
        <v>44257</v>
      </c>
      <c r="C62" s="4">
        <v>2021</v>
      </c>
      <c r="D62" s="4">
        <v>3</v>
      </c>
      <c r="E62" s="14">
        <v>44257</v>
      </c>
      <c r="F62" s="4">
        <v>2</v>
      </c>
      <c r="G62">
        <v>57</v>
      </c>
      <c r="H62">
        <v>51</v>
      </c>
      <c r="I62" s="13">
        <v>0.89</v>
      </c>
      <c r="J62">
        <v>6</v>
      </c>
      <c r="K62" s="2">
        <v>8.1018518518518516E-5</v>
      </c>
      <c r="L62" s="11">
        <v>5.95</v>
      </c>
      <c r="M62" s="3">
        <v>0.11666666666666667</v>
      </c>
      <c r="N62" s="4">
        <v>7</v>
      </c>
      <c r="O62" s="2">
        <v>1.238425925925926E-3</v>
      </c>
      <c r="P62" s="9">
        <v>90.949999999999989</v>
      </c>
      <c r="Q62" s="3">
        <v>1.7833333333333332</v>
      </c>
      <c r="R62" s="4">
        <v>107</v>
      </c>
      <c r="S62" s="3">
        <v>46</v>
      </c>
      <c r="T62" s="1">
        <v>0.90569999999999995</v>
      </c>
      <c r="U62" s="6">
        <v>46.1907</v>
      </c>
    </row>
    <row r="63" spans="1:21" x14ac:dyDescent="0.35">
      <c r="A63">
        <v>62</v>
      </c>
      <c r="B63" s="5">
        <v>44258</v>
      </c>
      <c r="C63" s="4">
        <v>2021</v>
      </c>
      <c r="D63" s="4">
        <v>3</v>
      </c>
      <c r="E63" s="14">
        <v>44258</v>
      </c>
      <c r="F63" s="4">
        <v>3</v>
      </c>
      <c r="G63">
        <v>200</v>
      </c>
      <c r="H63">
        <v>192</v>
      </c>
      <c r="I63" s="13">
        <v>0.96</v>
      </c>
      <c r="J63">
        <v>8</v>
      </c>
      <c r="K63" s="2">
        <v>1.1574074074074075E-4</v>
      </c>
      <c r="L63" s="11">
        <v>32</v>
      </c>
      <c r="M63" s="3">
        <v>0.16666666666666666</v>
      </c>
      <c r="N63" s="4">
        <v>10</v>
      </c>
      <c r="O63" s="2">
        <v>1.5972222222222223E-3</v>
      </c>
      <c r="P63" s="9">
        <v>441.59999999999997</v>
      </c>
      <c r="Q63" s="3">
        <v>2.2999999999999998</v>
      </c>
      <c r="R63" s="4">
        <v>138</v>
      </c>
      <c r="S63" s="3">
        <v>165</v>
      </c>
      <c r="T63" s="1">
        <v>0.86429999999999996</v>
      </c>
      <c r="U63" s="6">
        <v>165.94559999999998</v>
      </c>
    </row>
    <row r="64" spans="1:21" x14ac:dyDescent="0.35">
      <c r="A64">
        <v>63</v>
      </c>
      <c r="B64" s="5">
        <v>44259</v>
      </c>
      <c r="C64" s="4">
        <v>2021</v>
      </c>
      <c r="D64" s="4">
        <v>3</v>
      </c>
      <c r="E64" s="14">
        <v>44259</v>
      </c>
      <c r="F64" s="4">
        <v>4</v>
      </c>
      <c r="G64">
        <v>202</v>
      </c>
      <c r="H64">
        <v>199</v>
      </c>
      <c r="I64" s="13">
        <v>0.98</v>
      </c>
      <c r="J64">
        <v>3</v>
      </c>
      <c r="K64" s="2">
        <v>9.2592592592592588E-5</v>
      </c>
      <c r="L64" s="11">
        <v>26.533333333333331</v>
      </c>
      <c r="M64" s="3">
        <v>0.13333333333333333</v>
      </c>
      <c r="N64" s="4">
        <v>8</v>
      </c>
      <c r="O64" s="2">
        <v>1.4467592592592592E-3</v>
      </c>
      <c r="P64" s="9">
        <v>414.58333333333337</v>
      </c>
      <c r="Q64" s="3">
        <v>2.0833333333333335</v>
      </c>
      <c r="R64" s="4">
        <v>125.00000000000001</v>
      </c>
      <c r="S64" s="3">
        <v>181</v>
      </c>
      <c r="T64" s="1">
        <v>0.91</v>
      </c>
      <c r="U64" s="6">
        <v>181.09</v>
      </c>
    </row>
    <row r="65" spans="1:21" x14ac:dyDescent="0.35">
      <c r="A65">
        <v>64</v>
      </c>
      <c r="B65" s="5">
        <v>44260</v>
      </c>
      <c r="C65" s="4">
        <v>2021</v>
      </c>
      <c r="D65" s="4">
        <v>3</v>
      </c>
      <c r="E65" s="14">
        <v>44260</v>
      </c>
      <c r="F65" s="4">
        <v>5</v>
      </c>
      <c r="G65">
        <v>217</v>
      </c>
      <c r="H65">
        <v>212</v>
      </c>
      <c r="I65" s="13">
        <v>0.97</v>
      </c>
      <c r="J65">
        <v>5</v>
      </c>
      <c r="K65" s="2">
        <v>8.1018518518518516E-5</v>
      </c>
      <c r="L65" s="11">
        <v>24.733333333333334</v>
      </c>
      <c r="M65" s="3">
        <v>0.11666666666666667</v>
      </c>
      <c r="N65" s="4">
        <v>7</v>
      </c>
      <c r="O65" s="2">
        <v>1.3310185185185185E-3</v>
      </c>
      <c r="P65" s="9">
        <v>406.33333333333331</v>
      </c>
      <c r="Q65" s="3">
        <v>1.9166666666666665</v>
      </c>
      <c r="R65" s="4">
        <v>114.99999999999999</v>
      </c>
      <c r="S65" s="3">
        <v>200</v>
      </c>
      <c r="T65" s="1">
        <v>0.94420000000000004</v>
      </c>
      <c r="U65" s="6">
        <v>200.1704</v>
      </c>
    </row>
    <row r="66" spans="1:21" x14ac:dyDescent="0.35">
      <c r="A66">
        <v>65</v>
      </c>
      <c r="B66" s="5">
        <v>44261</v>
      </c>
      <c r="C66" s="4">
        <v>2021</v>
      </c>
      <c r="D66" s="4">
        <v>3</v>
      </c>
      <c r="E66" s="14">
        <v>44261</v>
      </c>
      <c r="F66" s="4">
        <v>6</v>
      </c>
      <c r="G66">
        <v>225</v>
      </c>
      <c r="H66">
        <v>223</v>
      </c>
      <c r="I66" s="13">
        <v>0.99</v>
      </c>
      <c r="J66">
        <v>2</v>
      </c>
      <c r="K66" s="2">
        <v>1.0416666666666667E-4</v>
      </c>
      <c r="L66" s="11">
        <v>33.449999999999996</v>
      </c>
      <c r="M66" s="3">
        <v>0.15</v>
      </c>
      <c r="N66" s="4">
        <v>9</v>
      </c>
      <c r="O66" s="2">
        <v>1.4930555555555556E-3</v>
      </c>
      <c r="P66" s="9">
        <v>479.45</v>
      </c>
      <c r="Q66" s="3">
        <v>2.15</v>
      </c>
      <c r="R66" s="4">
        <v>129</v>
      </c>
      <c r="S66" s="3">
        <v>205</v>
      </c>
      <c r="T66" s="1">
        <v>0.91930000000000001</v>
      </c>
      <c r="U66" s="6">
        <v>205.00389999999999</v>
      </c>
    </row>
    <row r="67" spans="1:21" x14ac:dyDescent="0.35">
      <c r="A67">
        <v>66</v>
      </c>
      <c r="B67" s="5">
        <v>44262</v>
      </c>
      <c r="C67" s="4">
        <v>2021</v>
      </c>
      <c r="D67" s="4">
        <v>3</v>
      </c>
      <c r="E67" s="14">
        <v>44262</v>
      </c>
      <c r="F67" s="4">
        <v>7</v>
      </c>
      <c r="G67">
        <v>235</v>
      </c>
      <c r="H67">
        <v>231</v>
      </c>
      <c r="I67" s="13">
        <v>0.98</v>
      </c>
      <c r="J67">
        <v>4</v>
      </c>
      <c r="K67" s="2">
        <v>9.2592592592592588E-5</v>
      </c>
      <c r="L67" s="11">
        <v>30.8</v>
      </c>
      <c r="M67" s="3">
        <v>0.13333333333333333</v>
      </c>
      <c r="N67" s="4">
        <v>8</v>
      </c>
      <c r="O67" s="2">
        <v>1.6087962962962963E-3</v>
      </c>
      <c r="P67" s="9">
        <v>535.15</v>
      </c>
      <c r="Q67" s="3">
        <v>2.3166666666666664</v>
      </c>
      <c r="R67" s="4">
        <v>139</v>
      </c>
      <c r="S67" s="3">
        <v>221</v>
      </c>
      <c r="T67" s="1">
        <v>0.95709999999999995</v>
      </c>
      <c r="U67" s="6">
        <v>221.09009999999998</v>
      </c>
    </row>
    <row r="68" spans="1:21" x14ac:dyDescent="0.35">
      <c r="A68">
        <v>67</v>
      </c>
      <c r="B68" s="5">
        <v>44263</v>
      </c>
      <c r="C68" s="4">
        <v>2021</v>
      </c>
      <c r="D68" s="4">
        <v>3</v>
      </c>
      <c r="E68" s="14">
        <v>44263</v>
      </c>
      <c r="F68" s="4">
        <v>8</v>
      </c>
      <c r="G68">
        <v>202</v>
      </c>
      <c r="H68">
        <v>201</v>
      </c>
      <c r="I68" s="13">
        <v>0.99</v>
      </c>
      <c r="J68">
        <v>1</v>
      </c>
      <c r="K68" s="2">
        <v>9.2592592592592588E-5</v>
      </c>
      <c r="L68" s="11">
        <v>26.8</v>
      </c>
      <c r="M68" s="3">
        <v>0.13333333333333333</v>
      </c>
      <c r="N68" s="4">
        <v>8</v>
      </c>
      <c r="O68" s="2">
        <v>1.6319444444444445E-3</v>
      </c>
      <c r="P68" s="9">
        <v>472.35</v>
      </c>
      <c r="Q68" s="3">
        <v>2.35</v>
      </c>
      <c r="R68" s="4">
        <v>141</v>
      </c>
      <c r="S68" s="3">
        <v>190</v>
      </c>
      <c r="T68" s="1">
        <v>0.94550000000000001</v>
      </c>
      <c r="U68" s="6">
        <v>190.0455</v>
      </c>
    </row>
    <row r="69" spans="1:21" x14ac:dyDescent="0.35">
      <c r="A69">
        <v>68</v>
      </c>
      <c r="B69" s="5">
        <v>44264</v>
      </c>
      <c r="C69" s="4">
        <v>2021</v>
      </c>
      <c r="D69" s="4">
        <v>3</v>
      </c>
      <c r="E69" s="14">
        <v>44264</v>
      </c>
      <c r="F69" s="4">
        <v>9</v>
      </c>
      <c r="G69">
        <v>43</v>
      </c>
      <c r="H69">
        <v>39</v>
      </c>
      <c r="I69" s="13">
        <v>0.9</v>
      </c>
      <c r="J69">
        <v>4</v>
      </c>
      <c r="K69" s="2">
        <v>1.273148148148148E-4</v>
      </c>
      <c r="L69" s="11">
        <v>7.1499999999999995</v>
      </c>
      <c r="M69" s="3">
        <v>0.18333333333333332</v>
      </c>
      <c r="N69" s="4">
        <v>11</v>
      </c>
      <c r="O69" s="2">
        <v>1.5625000000000001E-3</v>
      </c>
      <c r="P69" s="9">
        <v>87.75</v>
      </c>
      <c r="Q69" s="3">
        <v>2.25</v>
      </c>
      <c r="R69" s="4">
        <v>135</v>
      </c>
      <c r="S69" s="3">
        <v>29</v>
      </c>
      <c r="T69" s="1">
        <v>0.76190000000000002</v>
      </c>
      <c r="U69" s="6">
        <v>29.714100000000002</v>
      </c>
    </row>
    <row r="70" spans="1:21" x14ac:dyDescent="0.35">
      <c r="A70">
        <v>69</v>
      </c>
      <c r="B70" s="5">
        <v>44265</v>
      </c>
      <c r="C70" s="4">
        <v>2021</v>
      </c>
      <c r="D70" s="4">
        <v>3</v>
      </c>
      <c r="E70" s="14">
        <v>44265</v>
      </c>
      <c r="F70" s="4">
        <v>10</v>
      </c>
      <c r="G70">
        <v>194</v>
      </c>
      <c r="H70">
        <v>187</v>
      </c>
      <c r="I70" s="13">
        <v>0.96</v>
      </c>
      <c r="J70">
        <v>7</v>
      </c>
      <c r="K70" s="2">
        <v>1.1574074074074075E-4</v>
      </c>
      <c r="L70" s="11">
        <v>31.166666666666664</v>
      </c>
      <c r="M70" s="3">
        <v>0.16666666666666666</v>
      </c>
      <c r="N70" s="4">
        <v>10</v>
      </c>
      <c r="O70" s="2">
        <v>1.7013888888888888E-3</v>
      </c>
      <c r="P70" s="9">
        <v>458.15000000000003</v>
      </c>
      <c r="Q70" s="3">
        <v>2.4500000000000002</v>
      </c>
      <c r="R70" s="4">
        <v>147</v>
      </c>
      <c r="S70" s="3">
        <v>163</v>
      </c>
      <c r="T70" s="1">
        <v>0.87429999999999997</v>
      </c>
      <c r="U70" s="6">
        <v>163.4941</v>
      </c>
    </row>
    <row r="71" spans="1:21" x14ac:dyDescent="0.35">
      <c r="A71">
        <v>70</v>
      </c>
      <c r="B71" s="5">
        <v>44266</v>
      </c>
      <c r="C71" s="4">
        <v>2021</v>
      </c>
      <c r="D71" s="4">
        <v>3</v>
      </c>
      <c r="E71" s="14">
        <v>44266</v>
      </c>
      <c r="F71" s="4">
        <v>11</v>
      </c>
      <c r="G71">
        <v>202</v>
      </c>
      <c r="H71">
        <v>199</v>
      </c>
      <c r="I71" s="13">
        <v>0.98</v>
      </c>
      <c r="J71">
        <v>3</v>
      </c>
      <c r="K71" s="2">
        <v>1.5046296296296297E-4</v>
      </c>
      <c r="L71" s="11">
        <v>43.116666666666667</v>
      </c>
      <c r="M71" s="3">
        <v>0.21666666666666667</v>
      </c>
      <c r="N71" s="4">
        <v>13</v>
      </c>
      <c r="O71" s="2">
        <v>1.6550925925925926E-3</v>
      </c>
      <c r="P71" s="9">
        <v>474.2833333333333</v>
      </c>
      <c r="Q71" s="3">
        <v>2.3833333333333333</v>
      </c>
      <c r="R71" s="4">
        <v>143</v>
      </c>
      <c r="S71" s="3">
        <v>171</v>
      </c>
      <c r="T71" s="1">
        <v>0.86070000000000002</v>
      </c>
      <c r="U71" s="6">
        <v>171.27930000000001</v>
      </c>
    </row>
    <row r="72" spans="1:21" x14ac:dyDescent="0.35">
      <c r="A72">
        <v>71</v>
      </c>
      <c r="B72" s="5">
        <v>44267</v>
      </c>
      <c r="C72" s="4">
        <v>2021</v>
      </c>
      <c r="D72" s="4">
        <v>3</v>
      </c>
      <c r="E72" s="14">
        <v>44267</v>
      </c>
      <c r="F72" s="4">
        <v>12</v>
      </c>
      <c r="G72">
        <v>146</v>
      </c>
      <c r="H72">
        <v>140</v>
      </c>
      <c r="I72" s="13">
        <v>0.95</v>
      </c>
      <c r="J72">
        <v>6</v>
      </c>
      <c r="K72" s="2">
        <v>1.3888888888888889E-4</v>
      </c>
      <c r="L72" s="11">
        <v>28</v>
      </c>
      <c r="M72" s="3">
        <v>0.2</v>
      </c>
      <c r="N72" s="4">
        <v>12</v>
      </c>
      <c r="O72" s="2">
        <v>1.5393518518518519E-3</v>
      </c>
      <c r="P72" s="9">
        <v>310.33333333333337</v>
      </c>
      <c r="Q72" s="3">
        <v>2.2166666666666668</v>
      </c>
      <c r="R72" s="4">
        <v>133</v>
      </c>
      <c r="S72" s="3">
        <v>116</v>
      </c>
      <c r="T72" s="1">
        <v>0.83450000000000002</v>
      </c>
      <c r="U72" s="6">
        <v>116.83</v>
      </c>
    </row>
    <row r="73" spans="1:21" x14ac:dyDescent="0.35">
      <c r="A73">
        <v>72</v>
      </c>
      <c r="B73" s="5">
        <v>44268</v>
      </c>
      <c r="C73" s="4">
        <v>2021</v>
      </c>
      <c r="D73" s="4">
        <v>3</v>
      </c>
      <c r="E73" s="14">
        <v>44268</v>
      </c>
      <c r="F73" s="4">
        <v>13</v>
      </c>
      <c r="G73">
        <v>147</v>
      </c>
      <c r="H73">
        <v>145</v>
      </c>
      <c r="I73" s="13">
        <v>0.98</v>
      </c>
      <c r="J73">
        <v>2</v>
      </c>
      <c r="K73" s="2">
        <v>1.0416666666666667E-4</v>
      </c>
      <c r="L73" s="11">
        <v>21.75</v>
      </c>
      <c r="M73" s="3">
        <v>0.15</v>
      </c>
      <c r="N73" s="4">
        <v>9</v>
      </c>
      <c r="O73" s="2">
        <v>1.5625000000000001E-3</v>
      </c>
      <c r="P73" s="9">
        <v>326.25</v>
      </c>
      <c r="Q73" s="3">
        <v>2.25</v>
      </c>
      <c r="R73" s="4">
        <v>135</v>
      </c>
      <c r="S73" s="3">
        <v>132</v>
      </c>
      <c r="T73" s="1">
        <v>0.91159999999999997</v>
      </c>
      <c r="U73" s="6">
        <v>132.18199999999999</v>
      </c>
    </row>
    <row r="74" spans="1:21" x14ac:dyDescent="0.35">
      <c r="A74">
        <v>73</v>
      </c>
      <c r="B74" s="5">
        <v>44269</v>
      </c>
      <c r="C74" s="4">
        <v>2021</v>
      </c>
      <c r="D74" s="4">
        <v>3</v>
      </c>
      <c r="E74" s="14">
        <v>44269</v>
      </c>
      <c r="F74" s="4">
        <v>14</v>
      </c>
      <c r="G74">
        <v>155</v>
      </c>
      <c r="H74">
        <v>145</v>
      </c>
      <c r="I74" s="13">
        <v>0.93</v>
      </c>
      <c r="J74">
        <v>10</v>
      </c>
      <c r="K74" s="2">
        <v>1.3888888888888889E-4</v>
      </c>
      <c r="L74" s="11">
        <v>29</v>
      </c>
      <c r="M74" s="3">
        <v>0.2</v>
      </c>
      <c r="N74" s="4">
        <v>12</v>
      </c>
      <c r="O74" s="2">
        <v>1.7708333333333332E-3</v>
      </c>
      <c r="P74" s="9">
        <v>369.75</v>
      </c>
      <c r="Q74" s="3">
        <v>2.5499999999999998</v>
      </c>
      <c r="R74" s="4">
        <v>153</v>
      </c>
      <c r="S74" s="3">
        <v>119</v>
      </c>
      <c r="T74" s="1">
        <v>0.82240000000000002</v>
      </c>
      <c r="U74" s="6">
        <v>119.248</v>
      </c>
    </row>
    <row r="75" spans="1:21" x14ac:dyDescent="0.35">
      <c r="A75">
        <v>74</v>
      </c>
      <c r="B75" s="5">
        <v>44270</v>
      </c>
      <c r="C75" s="4">
        <v>2021</v>
      </c>
      <c r="D75" s="4">
        <v>3</v>
      </c>
      <c r="E75" s="14">
        <v>44270</v>
      </c>
      <c r="F75" s="4">
        <v>15</v>
      </c>
      <c r="G75">
        <v>157</v>
      </c>
      <c r="H75">
        <v>156</v>
      </c>
      <c r="I75" s="13">
        <v>0.99</v>
      </c>
      <c r="J75">
        <v>1</v>
      </c>
      <c r="K75" s="2">
        <v>1.0416666666666667E-4</v>
      </c>
      <c r="L75" s="11">
        <v>23.4</v>
      </c>
      <c r="M75" s="3">
        <v>0.15</v>
      </c>
      <c r="N75" s="4">
        <v>9</v>
      </c>
      <c r="O75" s="2">
        <v>1.6666666666666668E-3</v>
      </c>
      <c r="P75" s="9">
        <v>374.4</v>
      </c>
      <c r="Q75" s="3">
        <v>2.4</v>
      </c>
      <c r="R75" s="4">
        <v>144</v>
      </c>
      <c r="S75" s="3">
        <v>145</v>
      </c>
      <c r="T75" s="1">
        <v>0.92949999999999999</v>
      </c>
      <c r="U75" s="6">
        <v>145.00200000000001</v>
      </c>
    </row>
    <row r="76" spans="1:21" x14ac:dyDescent="0.35">
      <c r="A76">
        <v>75</v>
      </c>
      <c r="B76" s="5">
        <v>44271</v>
      </c>
      <c r="C76" s="4">
        <v>2021</v>
      </c>
      <c r="D76" s="4">
        <v>3</v>
      </c>
      <c r="E76" s="14">
        <v>44271</v>
      </c>
      <c r="F76" s="4">
        <v>16</v>
      </c>
      <c r="G76">
        <v>38</v>
      </c>
      <c r="H76">
        <v>36</v>
      </c>
      <c r="I76" s="13">
        <v>0.94</v>
      </c>
      <c r="J76">
        <v>2</v>
      </c>
      <c r="K76" s="2">
        <v>1.5046296296296297E-4</v>
      </c>
      <c r="L76" s="11">
        <v>7.8000000000000007</v>
      </c>
      <c r="M76" s="3">
        <v>0.21666666666666667</v>
      </c>
      <c r="N76" s="4">
        <v>13</v>
      </c>
      <c r="O76" s="2">
        <v>1.5162037037037036E-3</v>
      </c>
      <c r="P76" s="9">
        <v>78.599999999999994</v>
      </c>
      <c r="Q76" s="3">
        <v>2.1833333333333331</v>
      </c>
      <c r="R76" s="4">
        <v>131</v>
      </c>
      <c r="S76" s="3">
        <v>30</v>
      </c>
      <c r="T76" s="1">
        <v>0.83779999999999999</v>
      </c>
      <c r="U76" s="6">
        <v>30.160799999999998</v>
      </c>
    </row>
    <row r="77" spans="1:21" x14ac:dyDescent="0.35">
      <c r="A77">
        <v>76</v>
      </c>
      <c r="B77" s="5">
        <v>44272</v>
      </c>
      <c r="C77" s="4">
        <v>2021</v>
      </c>
      <c r="D77" s="4">
        <v>3</v>
      </c>
      <c r="E77" s="14">
        <v>44272</v>
      </c>
      <c r="F77" s="4">
        <v>17</v>
      </c>
      <c r="G77">
        <v>166</v>
      </c>
      <c r="H77">
        <v>162</v>
      </c>
      <c r="I77" s="13">
        <v>0.97</v>
      </c>
      <c r="J77">
        <v>4</v>
      </c>
      <c r="K77" s="2">
        <v>1.0416666666666667E-4</v>
      </c>
      <c r="L77" s="11">
        <v>24.3</v>
      </c>
      <c r="M77" s="3">
        <v>0.15</v>
      </c>
      <c r="N77" s="4">
        <v>9</v>
      </c>
      <c r="O77" s="2">
        <v>1.724537037037037E-3</v>
      </c>
      <c r="P77" s="9">
        <v>402.3</v>
      </c>
      <c r="Q77" s="3">
        <v>2.4833333333333334</v>
      </c>
      <c r="R77" s="4">
        <v>149</v>
      </c>
      <c r="S77" s="3">
        <v>144</v>
      </c>
      <c r="T77" s="1">
        <v>0.89090000000000003</v>
      </c>
      <c r="U77" s="6">
        <v>144.32580000000002</v>
      </c>
    </row>
    <row r="78" spans="1:21" x14ac:dyDescent="0.35">
      <c r="A78">
        <v>77</v>
      </c>
      <c r="B78" s="5">
        <v>44273</v>
      </c>
      <c r="C78" s="4">
        <v>2021</v>
      </c>
      <c r="D78" s="4">
        <v>3</v>
      </c>
      <c r="E78" s="14">
        <v>44273</v>
      </c>
      <c r="F78" s="4">
        <v>18</v>
      </c>
      <c r="G78">
        <v>226</v>
      </c>
      <c r="H78">
        <v>216</v>
      </c>
      <c r="I78" s="13">
        <v>0.95</v>
      </c>
      <c r="J78">
        <v>10</v>
      </c>
      <c r="K78" s="2">
        <v>1.5046296296296297E-4</v>
      </c>
      <c r="L78" s="11">
        <v>46.800000000000004</v>
      </c>
      <c r="M78" s="3">
        <v>0.21666666666666667</v>
      </c>
      <c r="N78" s="4">
        <v>13</v>
      </c>
      <c r="O78" s="2">
        <v>1.5625000000000001E-3</v>
      </c>
      <c r="P78" s="9">
        <v>486</v>
      </c>
      <c r="Q78" s="3">
        <v>2.25</v>
      </c>
      <c r="R78" s="4">
        <v>135</v>
      </c>
      <c r="S78" s="3">
        <v>175</v>
      </c>
      <c r="T78" s="1">
        <v>0.8145</v>
      </c>
      <c r="U78" s="6">
        <v>175.93199999999999</v>
      </c>
    </row>
    <row r="79" spans="1:21" x14ac:dyDescent="0.35">
      <c r="A79">
        <v>78</v>
      </c>
      <c r="B79" s="5">
        <v>44274</v>
      </c>
      <c r="C79" s="4">
        <v>2021</v>
      </c>
      <c r="D79" s="4">
        <v>3</v>
      </c>
      <c r="E79" s="14">
        <v>44274</v>
      </c>
      <c r="F79" s="4">
        <v>19</v>
      </c>
      <c r="G79">
        <v>253</v>
      </c>
      <c r="H79">
        <v>247</v>
      </c>
      <c r="I79" s="13">
        <v>0.97</v>
      </c>
      <c r="J79">
        <v>6</v>
      </c>
      <c r="K79" s="2">
        <v>1.1574074074074075E-4</v>
      </c>
      <c r="L79" s="11">
        <v>41.166666666666664</v>
      </c>
      <c r="M79" s="3">
        <v>0.16666666666666666</v>
      </c>
      <c r="N79" s="4">
        <v>10</v>
      </c>
      <c r="O79" s="2">
        <v>1.3194444444444445E-3</v>
      </c>
      <c r="P79" s="9">
        <v>469.29999999999995</v>
      </c>
      <c r="Q79" s="3">
        <v>1.9</v>
      </c>
      <c r="R79" s="4">
        <v>114</v>
      </c>
      <c r="S79" s="3">
        <v>218</v>
      </c>
      <c r="T79" s="1">
        <v>0.88490000000000002</v>
      </c>
      <c r="U79" s="6">
        <v>218.5703</v>
      </c>
    </row>
    <row r="80" spans="1:21" x14ac:dyDescent="0.35">
      <c r="A80">
        <v>79</v>
      </c>
      <c r="B80" s="5">
        <v>44275</v>
      </c>
      <c r="C80" s="4">
        <v>2021</v>
      </c>
      <c r="D80" s="4">
        <v>3</v>
      </c>
      <c r="E80" s="14">
        <v>44275</v>
      </c>
      <c r="F80" s="4">
        <v>20</v>
      </c>
      <c r="G80">
        <v>134</v>
      </c>
      <c r="H80">
        <v>134</v>
      </c>
      <c r="I80" s="13">
        <v>1</v>
      </c>
      <c r="J80">
        <v>0</v>
      </c>
      <c r="K80" s="2">
        <v>3.4722222222222222E-5</v>
      </c>
      <c r="L80" s="11">
        <v>6.7</v>
      </c>
      <c r="M80" s="3">
        <v>0.05</v>
      </c>
      <c r="N80" s="4">
        <v>3</v>
      </c>
      <c r="O80" s="2">
        <v>1.5393518518518519E-3</v>
      </c>
      <c r="P80" s="9">
        <v>297.03333333333336</v>
      </c>
      <c r="Q80" s="3">
        <v>2.2166666666666668</v>
      </c>
      <c r="R80" s="4">
        <v>133</v>
      </c>
      <c r="S80" s="3">
        <v>134</v>
      </c>
      <c r="T80" s="1">
        <v>1</v>
      </c>
      <c r="U80" s="6">
        <v>134</v>
      </c>
    </row>
    <row r="81" spans="1:21" x14ac:dyDescent="0.35">
      <c r="A81">
        <v>80</v>
      </c>
      <c r="B81" s="5">
        <v>44276</v>
      </c>
      <c r="C81" s="4">
        <v>2021</v>
      </c>
      <c r="D81" s="4">
        <v>3</v>
      </c>
      <c r="E81" s="14">
        <v>44276</v>
      </c>
      <c r="F81" s="4">
        <v>21</v>
      </c>
      <c r="G81">
        <v>70</v>
      </c>
      <c r="H81">
        <v>67</v>
      </c>
      <c r="I81" s="13">
        <v>0.95</v>
      </c>
      <c r="J81">
        <v>3</v>
      </c>
      <c r="K81" s="2">
        <v>1.3888888888888889E-4</v>
      </c>
      <c r="L81" s="11">
        <v>13.4</v>
      </c>
      <c r="M81" s="3">
        <v>0.2</v>
      </c>
      <c r="N81" s="4">
        <v>12</v>
      </c>
      <c r="O81" s="2">
        <v>1.4004629629629629E-3</v>
      </c>
      <c r="P81" s="9">
        <v>135.11666666666667</v>
      </c>
      <c r="Q81" s="3">
        <v>2.0166666666666666</v>
      </c>
      <c r="R81" s="4">
        <v>121</v>
      </c>
      <c r="S81" s="3">
        <v>56</v>
      </c>
      <c r="T81" s="1">
        <v>0.83819999999999995</v>
      </c>
      <c r="U81" s="6">
        <v>56.159399999999998</v>
      </c>
    </row>
    <row r="82" spans="1:21" x14ac:dyDescent="0.35">
      <c r="A82">
        <v>81</v>
      </c>
      <c r="B82" s="5">
        <v>44277</v>
      </c>
      <c r="C82" s="4">
        <v>2021</v>
      </c>
      <c r="D82" s="4">
        <v>3</v>
      </c>
      <c r="E82" s="14">
        <v>44277</v>
      </c>
      <c r="F82" s="4">
        <v>22</v>
      </c>
      <c r="G82">
        <v>83</v>
      </c>
      <c r="H82">
        <v>82</v>
      </c>
      <c r="I82" s="13">
        <v>0.98</v>
      </c>
      <c r="J82">
        <v>1</v>
      </c>
      <c r="K82" s="2">
        <v>8.1018518518518516E-5</v>
      </c>
      <c r="L82" s="11">
        <v>9.5666666666666664</v>
      </c>
      <c r="M82" s="3">
        <v>0.11666666666666667</v>
      </c>
      <c r="N82" s="4">
        <v>7</v>
      </c>
      <c r="O82" s="2">
        <v>1.4236111111111112E-3</v>
      </c>
      <c r="P82" s="9">
        <v>168.1</v>
      </c>
      <c r="Q82" s="3">
        <v>2.0499999999999998</v>
      </c>
      <c r="R82" s="4">
        <v>122.99999999999999</v>
      </c>
      <c r="S82" s="3">
        <v>78</v>
      </c>
      <c r="T82" s="1">
        <v>0.95179999999999998</v>
      </c>
      <c r="U82" s="6">
        <v>78.047600000000003</v>
      </c>
    </row>
    <row r="83" spans="1:21" x14ac:dyDescent="0.35">
      <c r="A83">
        <v>82</v>
      </c>
      <c r="B83" s="5">
        <v>44278</v>
      </c>
      <c r="C83" s="4">
        <v>2021</v>
      </c>
      <c r="D83" s="4">
        <v>3</v>
      </c>
      <c r="E83" s="14">
        <v>44278</v>
      </c>
      <c r="F83" s="4">
        <v>23</v>
      </c>
      <c r="G83">
        <v>42</v>
      </c>
      <c r="H83">
        <v>40</v>
      </c>
      <c r="I83" s="13">
        <v>0.95</v>
      </c>
      <c r="J83">
        <v>2</v>
      </c>
      <c r="K83" s="2">
        <v>9.2592592592592588E-5</v>
      </c>
      <c r="L83" s="11">
        <v>5.333333333333333</v>
      </c>
      <c r="M83" s="3">
        <v>0.13333333333333333</v>
      </c>
      <c r="N83" s="4">
        <v>8</v>
      </c>
      <c r="O83" s="2">
        <v>1.2847222222222223E-3</v>
      </c>
      <c r="P83" s="9">
        <v>74</v>
      </c>
      <c r="Q83" s="3">
        <v>1.85</v>
      </c>
      <c r="R83" s="4">
        <v>111</v>
      </c>
      <c r="S83" s="3">
        <v>36</v>
      </c>
      <c r="T83" s="1">
        <v>0.90239999999999998</v>
      </c>
      <c r="U83" s="6">
        <v>36.095999999999997</v>
      </c>
    </row>
    <row r="84" spans="1:21" x14ac:dyDescent="0.35">
      <c r="A84">
        <v>83</v>
      </c>
      <c r="B84" s="5">
        <v>44279</v>
      </c>
      <c r="C84" s="4">
        <v>2021</v>
      </c>
      <c r="D84" s="4">
        <v>3</v>
      </c>
      <c r="E84" s="14">
        <v>44279</v>
      </c>
      <c r="F84" s="4">
        <v>24</v>
      </c>
      <c r="G84">
        <v>66</v>
      </c>
      <c r="H84">
        <v>64</v>
      </c>
      <c r="I84" s="13">
        <v>0.96</v>
      </c>
      <c r="J84">
        <v>2</v>
      </c>
      <c r="K84" s="2">
        <v>5.7870370370370373E-5</v>
      </c>
      <c r="L84" s="11">
        <v>5.333333333333333</v>
      </c>
      <c r="M84" s="3">
        <v>8.3333333333333329E-2</v>
      </c>
      <c r="N84" s="4">
        <v>5</v>
      </c>
      <c r="O84" s="2">
        <v>1.3888888888888889E-3</v>
      </c>
      <c r="P84" s="9">
        <v>128</v>
      </c>
      <c r="Q84" s="3">
        <v>2</v>
      </c>
      <c r="R84" s="4">
        <v>120</v>
      </c>
      <c r="S84" s="3">
        <v>61</v>
      </c>
      <c r="T84" s="1">
        <v>0.95450000000000002</v>
      </c>
      <c r="U84" s="6">
        <v>61.088000000000001</v>
      </c>
    </row>
    <row r="85" spans="1:21" x14ac:dyDescent="0.35">
      <c r="A85">
        <v>84</v>
      </c>
      <c r="B85" s="5">
        <v>44280</v>
      </c>
      <c r="C85" s="4">
        <v>2021</v>
      </c>
      <c r="D85" s="4">
        <v>3</v>
      </c>
      <c r="E85" s="14">
        <v>44280</v>
      </c>
      <c r="F85" s="4">
        <v>25</v>
      </c>
      <c r="G85">
        <v>153</v>
      </c>
      <c r="H85">
        <v>146</v>
      </c>
      <c r="I85" s="13">
        <v>0.95</v>
      </c>
      <c r="J85">
        <v>7</v>
      </c>
      <c r="K85" s="2">
        <v>2.3148148148148149E-4</v>
      </c>
      <c r="L85" s="11">
        <v>48.666666666666664</v>
      </c>
      <c r="M85" s="3">
        <v>0.33333333333333331</v>
      </c>
      <c r="N85" s="4">
        <v>20</v>
      </c>
      <c r="O85" s="2">
        <v>1.4814814814814814E-3</v>
      </c>
      <c r="P85" s="9">
        <v>311.46666666666664</v>
      </c>
      <c r="Q85" s="3">
        <v>2.1333333333333333</v>
      </c>
      <c r="R85" s="4">
        <v>128</v>
      </c>
      <c r="S85" s="3">
        <v>110</v>
      </c>
      <c r="T85" s="1">
        <v>0.76</v>
      </c>
      <c r="U85" s="6">
        <v>110.96000000000001</v>
      </c>
    </row>
    <row r="86" spans="1:21" x14ac:dyDescent="0.35">
      <c r="A86">
        <v>85</v>
      </c>
      <c r="B86" s="5">
        <v>44281</v>
      </c>
      <c r="C86" s="4">
        <v>2021</v>
      </c>
      <c r="D86" s="4">
        <v>3</v>
      </c>
      <c r="E86" s="14">
        <v>44281</v>
      </c>
      <c r="F86" s="4">
        <v>26</v>
      </c>
      <c r="G86">
        <v>141</v>
      </c>
      <c r="H86">
        <v>135</v>
      </c>
      <c r="I86" s="13">
        <v>0.95</v>
      </c>
      <c r="J86">
        <v>6</v>
      </c>
      <c r="K86" s="2">
        <v>2.6620370370370372E-4</v>
      </c>
      <c r="L86" s="11">
        <v>51.75</v>
      </c>
      <c r="M86" s="3">
        <v>0.38333333333333336</v>
      </c>
      <c r="N86" s="4">
        <v>23</v>
      </c>
      <c r="O86" s="2">
        <v>1.4583333333333334E-3</v>
      </c>
      <c r="P86" s="9">
        <v>283.5</v>
      </c>
      <c r="Q86" s="3">
        <v>2.1</v>
      </c>
      <c r="R86" s="4">
        <v>126</v>
      </c>
      <c r="S86" s="3">
        <v>90</v>
      </c>
      <c r="T86" s="1">
        <v>0.66910000000000003</v>
      </c>
      <c r="U86" s="6">
        <v>90.328500000000005</v>
      </c>
    </row>
    <row r="87" spans="1:21" x14ac:dyDescent="0.35">
      <c r="A87">
        <v>86</v>
      </c>
      <c r="B87" s="5">
        <v>44282</v>
      </c>
      <c r="C87" s="4">
        <v>2021</v>
      </c>
      <c r="D87" s="4">
        <v>3</v>
      </c>
      <c r="E87" s="14">
        <v>44282</v>
      </c>
      <c r="F87" s="4">
        <v>27</v>
      </c>
      <c r="G87">
        <v>146</v>
      </c>
      <c r="H87">
        <v>143</v>
      </c>
      <c r="I87" s="13">
        <v>0.97</v>
      </c>
      <c r="J87">
        <v>3</v>
      </c>
      <c r="K87" s="2">
        <v>1.9675925925925926E-4</v>
      </c>
      <c r="L87" s="11">
        <v>40.516666666666666</v>
      </c>
      <c r="M87" s="3">
        <v>0.28333333333333333</v>
      </c>
      <c r="N87" s="4">
        <v>17</v>
      </c>
      <c r="O87" s="2">
        <v>1.3541666666666667E-3</v>
      </c>
      <c r="P87" s="9">
        <v>278.84999999999997</v>
      </c>
      <c r="Q87" s="3">
        <v>1.95</v>
      </c>
      <c r="R87" s="4">
        <v>117</v>
      </c>
      <c r="S87" s="3">
        <v>111</v>
      </c>
      <c r="T87" s="1">
        <v>0.78320000000000001</v>
      </c>
      <c r="U87" s="6">
        <v>111.99760000000001</v>
      </c>
    </row>
    <row r="88" spans="1:21" x14ac:dyDescent="0.35">
      <c r="A88">
        <v>87</v>
      </c>
      <c r="B88" s="5">
        <v>44283</v>
      </c>
      <c r="C88" s="4">
        <v>2021</v>
      </c>
      <c r="D88" s="4">
        <v>3</v>
      </c>
      <c r="E88" s="14">
        <v>44283</v>
      </c>
      <c r="F88" s="4">
        <v>28</v>
      </c>
      <c r="G88">
        <v>144</v>
      </c>
      <c r="H88">
        <v>140</v>
      </c>
      <c r="I88" s="13">
        <v>0.97</v>
      </c>
      <c r="J88">
        <v>4</v>
      </c>
      <c r="K88" s="2">
        <v>1.3888888888888889E-4</v>
      </c>
      <c r="L88" s="11">
        <v>28</v>
      </c>
      <c r="M88" s="3">
        <v>0.2</v>
      </c>
      <c r="N88" s="4">
        <v>12</v>
      </c>
      <c r="O88" s="2">
        <v>1.3078703703703703E-3</v>
      </c>
      <c r="P88" s="9">
        <v>263.66666666666669</v>
      </c>
      <c r="Q88" s="3">
        <v>1.8833333333333333</v>
      </c>
      <c r="R88" s="4">
        <v>113</v>
      </c>
      <c r="S88" s="3">
        <v>117</v>
      </c>
      <c r="T88" s="1">
        <v>0.84030000000000005</v>
      </c>
      <c r="U88" s="6">
        <v>117.64200000000001</v>
      </c>
    </row>
    <row r="89" spans="1:21" x14ac:dyDescent="0.35">
      <c r="A89">
        <v>88</v>
      </c>
      <c r="B89" s="5">
        <v>44284</v>
      </c>
      <c r="C89" s="4">
        <v>2021</v>
      </c>
      <c r="D89" s="4">
        <v>3</v>
      </c>
      <c r="E89" s="14">
        <v>44284</v>
      </c>
      <c r="F89" s="4">
        <v>29</v>
      </c>
      <c r="G89">
        <v>105</v>
      </c>
      <c r="H89">
        <v>103</v>
      </c>
      <c r="I89" s="13">
        <v>0.98</v>
      </c>
      <c r="J89">
        <v>2</v>
      </c>
      <c r="K89" s="2">
        <v>1.9675925925925926E-4</v>
      </c>
      <c r="L89" s="11">
        <v>29.183333333333334</v>
      </c>
      <c r="M89" s="3">
        <v>0.28333333333333333</v>
      </c>
      <c r="N89" s="4">
        <v>17</v>
      </c>
      <c r="O89" s="2">
        <v>1.3310185185185185E-3</v>
      </c>
      <c r="P89" s="9">
        <v>197.41666666666666</v>
      </c>
      <c r="Q89" s="3">
        <v>1.9166666666666665</v>
      </c>
      <c r="R89" s="4">
        <v>114.99999999999999</v>
      </c>
      <c r="S89" s="3">
        <v>78</v>
      </c>
      <c r="T89" s="1">
        <v>0.76190000000000002</v>
      </c>
      <c r="U89" s="6">
        <v>78.475700000000003</v>
      </c>
    </row>
    <row r="90" spans="1:21" x14ac:dyDescent="0.35">
      <c r="A90">
        <v>89</v>
      </c>
      <c r="B90" s="5">
        <v>44285</v>
      </c>
      <c r="C90" s="4">
        <v>2021</v>
      </c>
      <c r="D90" s="4">
        <v>3</v>
      </c>
      <c r="E90" s="14">
        <v>44285</v>
      </c>
      <c r="F90" s="4">
        <v>30</v>
      </c>
      <c r="G90">
        <v>36</v>
      </c>
      <c r="H90">
        <v>35</v>
      </c>
      <c r="I90" s="13">
        <v>0.97</v>
      </c>
      <c r="J90">
        <v>1</v>
      </c>
      <c r="K90" s="2">
        <v>1.8518518518518518E-4</v>
      </c>
      <c r="L90" s="11">
        <v>9.3333333333333339</v>
      </c>
      <c r="M90" s="3">
        <v>0.26666666666666666</v>
      </c>
      <c r="N90" s="4">
        <v>16</v>
      </c>
      <c r="O90" s="2">
        <v>1.3194444444444445E-3</v>
      </c>
      <c r="P90" s="9">
        <v>66.5</v>
      </c>
      <c r="Q90" s="3">
        <v>1.9</v>
      </c>
      <c r="R90" s="4">
        <v>114</v>
      </c>
      <c r="S90" s="3">
        <v>26</v>
      </c>
      <c r="T90" s="1">
        <v>0.77139999999999997</v>
      </c>
      <c r="U90" s="6">
        <v>26.998999999999999</v>
      </c>
    </row>
    <row r="91" spans="1:21" x14ac:dyDescent="0.35">
      <c r="A91">
        <v>90</v>
      </c>
      <c r="B91" s="5">
        <v>44286</v>
      </c>
      <c r="C91" s="4">
        <v>2021</v>
      </c>
      <c r="D91" s="4">
        <v>3</v>
      </c>
      <c r="E91" s="14">
        <v>44286</v>
      </c>
      <c r="F91" s="4">
        <v>31</v>
      </c>
      <c r="G91">
        <v>61</v>
      </c>
      <c r="H91">
        <v>57</v>
      </c>
      <c r="I91" s="13">
        <v>0.93</v>
      </c>
      <c r="J91">
        <v>4</v>
      </c>
      <c r="K91" s="2">
        <v>4.6296296296296294E-5</v>
      </c>
      <c r="L91" s="11">
        <v>3.8</v>
      </c>
      <c r="M91" s="3">
        <v>6.6666666666666666E-2</v>
      </c>
      <c r="N91" s="4">
        <v>4</v>
      </c>
      <c r="O91" s="2">
        <v>1.3888888888888889E-3</v>
      </c>
      <c r="P91" s="9">
        <v>114</v>
      </c>
      <c r="Q91" s="3">
        <v>2</v>
      </c>
      <c r="R91" s="4">
        <v>120</v>
      </c>
      <c r="S91" s="3">
        <v>52</v>
      </c>
      <c r="T91" s="1">
        <v>0.91669999999999996</v>
      </c>
      <c r="U91" s="6">
        <v>52.251899999999999</v>
      </c>
    </row>
    <row r="92" spans="1:21" x14ac:dyDescent="0.35">
      <c r="A92">
        <v>91</v>
      </c>
      <c r="B92" s="5">
        <v>44287</v>
      </c>
      <c r="C92" s="4">
        <v>2021</v>
      </c>
      <c r="D92" s="4">
        <v>4</v>
      </c>
      <c r="E92" s="14">
        <v>44287</v>
      </c>
      <c r="F92" s="4">
        <v>1</v>
      </c>
      <c r="G92">
        <v>60</v>
      </c>
      <c r="H92">
        <v>58</v>
      </c>
      <c r="I92" s="13">
        <v>0.96</v>
      </c>
      <c r="J92">
        <v>2</v>
      </c>
      <c r="K92" s="2">
        <v>1.273148148148148E-4</v>
      </c>
      <c r="L92" s="11">
        <v>10.633333333333333</v>
      </c>
      <c r="M92" s="3">
        <v>0.18333333333333332</v>
      </c>
      <c r="N92" s="4">
        <v>11</v>
      </c>
      <c r="O92" s="2">
        <v>1.4814814814814814E-3</v>
      </c>
      <c r="P92" s="9">
        <v>123.73333333333333</v>
      </c>
      <c r="Q92" s="3">
        <v>2.1333333333333333</v>
      </c>
      <c r="R92" s="4">
        <v>128</v>
      </c>
      <c r="S92" s="3">
        <v>49</v>
      </c>
      <c r="T92" s="1">
        <v>0.85</v>
      </c>
      <c r="U92" s="6">
        <v>49.3</v>
      </c>
    </row>
    <row r="93" spans="1:21" x14ac:dyDescent="0.35">
      <c r="A93">
        <v>92</v>
      </c>
      <c r="B93" s="5">
        <v>44288</v>
      </c>
      <c r="C93" s="4">
        <v>2021</v>
      </c>
      <c r="D93" s="4">
        <v>4</v>
      </c>
      <c r="E93" s="14">
        <v>44288</v>
      </c>
      <c r="F93" s="4">
        <v>2</v>
      </c>
      <c r="G93">
        <v>18</v>
      </c>
      <c r="H93">
        <v>17</v>
      </c>
      <c r="I93" s="13">
        <v>0.94</v>
      </c>
      <c r="J93">
        <v>1</v>
      </c>
      <c r="K93" s="2">
        <v>5.7870370370370373E-5</v>
      </c>
      <c r="L93" s="11">
        <v>1.4166666666666665</v>
      </c>
      <c r="M93" s="3">
        <v>8.3333333333333329E-2</v>
      </c>
      <c r="N93" s="4">
        <v>5</v>
      </c>
      <c r="O93" s="2">
        <v>1.8402777777777777E-3</v>
      </c>
      <c r="P93" s="9">
        <v>45.05</v>
      </c>
      <c r="Q93" s="3">
        <v>2.65</v>
      </c>
      <c r="R93" s="4">
        <v>159</v>
      </c>
      <c r="S93" s="3">
        <v>17</v>
      </c>
      <c r="T93" s="1">
        <v>1</v>
      </c>
      <c r="U93" s="6">
        <v>17</v>
      </c>
    </row>
    <row r="94" spans="1:21" x14ac:dyDescent="0.35">
      <c r="A94">
        <v>93</v>
      </c>
      <c r="B94" s="5">
        <v>44289</v>
      </c>
      <c r="C94" s="4">
        <v>2021</v>
      </c>
      <c r="D94" s="4">
        <v>4</v>
      </c>
      <c r="E94" s="14">
        <v>44289</v>
      </c>
      <c r="F94" s="4">
        <v>3</v>
      </c>
      <c r="G94">
        <v>206</v>
      </c>
      <c r="H94">
        <v>202</v>
      </c>
      <c r="I94" s="13">
        <v>0.98</v>
      </c>
      <c r="J94">
        <v>4</v>
      </c>
      <c r="K94" s="2">
        <v>1.0416666666666667E-4</v>
      </c>
      <c r="L94" s="11">
        <v>30.299999999999997</v>
      </c>
      <c r="M94" s="3">
        <v>0.15</v>
      </c>
      <c r="N94" s="4">
        <v>9</v>
      </c>
      <c r="O94" s="2">
        <v>1.3194444444444445E-3</v>
      </c>
      <c r="P94" s="9">
        <v>383.79999999999995</v>
      </c>
      <c r="Q94" s="3">
        <v>1.9</v>
      </c>
      <c r="R94" s="4">
        <v>114</v>
      </c>
      <c r="S94" s="3">
        <v>180</v>
      </c>
      <c r="T94" s="1">
        <v>0.89270000000000005</v>
      </c>
      <c r="U94" s="6">
        <v>180.3254</v>
      </c>
    </row>
    <row r="95" spans="1:21" x14ac:dyDescent="0.35">
      <c r="A95">
        <v>94</v>
      </c>
      <c r="B95" s="5">
        <v>44290</v>
      </c>
      <c r="C95" s="4">
        <v>2021</v>
      </c>
      <c r="D95" s="4">
        <v>4</v>
      </c>
      <c r="E95" s="14">
        <v>44290</v>
      </c>
      <c r="F95" s="4">
        <v>4</v>
      </c>
      <c r="G95">
        <v>194</v>
      </c>
      <c r="H95">
        <v>193</v>
      </c>
      <c r="I95" s="13">
        <v>0.99</v>
      </c>
      <c r="J95">
        <v>1</v>
      </c>
      <c r="K95" s="2">
        <v>1.273148148148148E-4</v>
      </c>
      <c r="L95" s="11">
        <v>35.383333333333333</v>
      </c>
      <c r="M95" s="3">
        <v>0.18333333333333332</v>
      </c>
      <c r="N95" s="4">
        <v>11</v>
      </c>
      <c r="O95" s="2">
        <v>1.3541666666666667E-3</v>
      </c>
      <c r="P95" s="9">
        <v>376.34999999999997</v>
      </c>
      <c r="Q95" s="3">
        <v>1.95</v>
      </c>
      <c r="R95" s="4">
        <v>117</v>
      </c>
      <c r="S95" s="3">
        <v>163</v>
      </c>
      <c r="T95" s="1">
        <v>0.84970000000000001</v>
      </c>
      <c r="U95" s="6">
        <v>163.99209999999999</v>
      </c>
    </row>
    <row r="96" spans="1:21" x14ac:dyDescent="0.35">
      <c r="A96">
        <v>95</v>
      </c>
      <c r="B96" s="5">
        <v>44291</v>
      </c>
      <c r="C96" s="4">
        <v>2021</v>
      </c>
      <c r="D96" s="4">
        <v>4</v>
      </c>
      <c r="E96" s="14">
        <v>44291</v>
      </c>
      <c r="F96" s="4">
        <v>5</v>
      </c>
      <c r="G96">
        <v>206</v>
      </c>
      <c r="H96">
        <v>200</v>
      </c>
      <c r="I96" s="13">
        <v>0.97</v>
      </c>
      <c r="J96">
        <v>6</v>
      </c>
      <c r="K96" s="2">
        <v>1.1574074074074075E-4</v>
      </c>
      <c r="L96" s="11">
        <v>33.333333333333329</v>
      </c>
      <c r="M96" s="3">
        <v>0.16666666666666666</v>
      </c>
      <c r="N96" s="4">
        <v>10</v>
      </c>
      <c r="O96" s="2">
        <v>1.4814814814814814E-3</v>
      </c>
      <c r="P96" s="9">
        <v>426.66666666666669</v>
      </c>
      <c r="Q96" s="3">
        <v>2.1333333333333333</v>
      </c>
      <c r="R96" s="4">
        <v>128</v>
      </c>
      <c r="S96" s="3">
        <v>172</v>
      </c>
      <c r="T96" s="1">
        <v>0.86270000000000002</v>
      </c>
      <c r="U96" s="6">
        <v>172.54</v>
      </c>
    </row>
    <row r="97" spans="1:21" x14ac:dyDescent="0.35">
      <c r="A97">
        <v>96</v>
      </c>
      <c r="B97" s="5">
        <v>44292</v>
      </c>
      <c r="C97" s="4">
        <v>2021</v>
      </c>
      <c r="D97" s="4">
        <v>4</v>
      </c>
      <c r="E97" s="14">
        <v>44292</v>
      </c>
      <c r="F97" s="4">
        <v>6</v>
      </c>
      <c r="G97">
        <v>53</v>
      </c>
      <c r="H97">
        <v>53</v>
      </c>
      <c r="I97" s="13">
        <v>1</v>
      </c>
      <c r="J97">
        <v>0</v>
      </c>
      <c r="K97" s="2">
        <v>2.0833333333333335E-4</v>
      </c>
      <c r="L97" s="11">
        <v>15.899999999999999</v>
      </c>
      <c r="M97" s="3">
        <v>0.3</v>
      </c>
      <c r="N97" s="4">
        <v>18</v>
      </c>
      <c r="O97" s="2">
        <v>1.4814814814814814E-3</v>
      </c>
      <c r="P97" s="9">
        <v>113.06666666666666</v>
      </c>
      <c r="Q97" s="3">
        <v>2.1333333333333333</v>
      </c>
      <c r="R97" s="4">
        <v>128</v>
      </c>
      <c r="S97" s="3">
        <v>41</v>
      </c>
      <c r="T97" s="1">
        <v>0.77359999999999995</v>
      </c>
      <c r="U97" s="6">
        <v>41.000799999999998</v>
      </c>
    </row>
    <row r="98" spans="1:21" x14ac:dyDescent="0.35">
      <c r="A98">
        <v>97</v>
      </c>
      <c r="B98" s="5">
        <v>44293</v>
      </c>
      <c r="C98" s="4">
        <v>2021</v>
      </c>
      <c r="D98" s="4">
        <v>4</v>
      </c>
      <c r="E98" s="14">
        <v>44293</v>
      </c>
      <c r="F98" s="4">
        <v>7</v>
      </c>
      <c r="G98">
        <v>147</v>
      </c>
      <c r="H98">
        <v>145</v>
      </c>
      <c r="I98" s="13">
        <v>0.98</v>
      </c>
      <c r="J98">
        <v>2</v>
      </c>
      <c r="K98" s="2">
        <v>1.0416666666666667E-4</v>
      </c>
      <c r="L98" s="11">
        <v>21.75</v>
      </c>
      <c r="M98" s="3">
        <v>0.15</v>
      </c>
      <c r="N98" s="4">
        <v>9</v>
      </c>
      <c r="O98" s="2">
        <v>1.2731481481481483E-3</v>
      </c>
      <c r="P98" s="9">
        <v>265.83333333333337</v>
      </c>
      <c r="Q98" s="3">
        <v>1.8333333333333335</v>
      </c>
      <c r="R98" s="4">
        <v>110.00000000000001</v>
      </c>
      <c r="S98" s="3">
        <v>128</v>
      </c>
      <c r="T98" s="1">
        <v>0.88360000000000005</v>
      </c>
      <c r="U98" s="6">
        <v>128.12200000000001</v>
      </c>
    </row>
    <row r="99" spans="1:21" x14ac:dyDescent="0.35">
      <c r="A99">
        <v>98</v>
      </c>
      <c r="B99" s="5">
        <v>44294</v>
      </c>
      <c r="C99" s="4">
        <v>2021</v>
      </c>
      <c r="D99" s="4">
        <v>4</v>
      </c>
      <c r="E99" s="14">
        <v>44294</v>
      </c>
      <c r="F99" s="4">
        <v>8</v>
      </c>
      <c r="G99">
        <v>201</v>
      </c>
      <c r="H99">
        <v>197</v>
      </c>
      <c r="I99" s="13">
        <v>0.98</v>
      </c>
      <c r="J99">
        <v>4</v>
      </c>
      <c r="K99" s="2">
        <v>1.0416666666666667E-4</v>
      </c>
      <c r="L99" s="11">
        <v>29.549999999999997</v>
      </c>
      <c r="M99" s="3">
        <v>0.15</v>
      </c>
      <c r="N99" s="4">
        <v>9</v>
      </c>
      <c r="O99" s="2">
        <v>1.3773148148148147E-3</v>
      </c>
      <c r="P99" s="9">
        <v>390.7166666666667</v>
      </c>
      <c r="Q99" s="3">
        <v>1.9833333333333334</v>
      </c>
      <c r="R99" s="4">
        <v>119</v>
      </c>
      <c r="S99" s="3">
        <v>179</v>
      </c>
      <c r="T99" s="1">
        <v>0.90949999999999998</v>
      </c>
      <c r="U99" s="6">
        <v>179.17150000000001</v>
      </c>
    </row>
    <row r="100" spans="1:21" x14ac:dyDescent="0.35">
      <c r="A100">
        <v>99</v>
      </c>
      <c r="B100" s="5">
        <v>44295</v>
      </c>
      <c r="C100" s="4">
        <v>2021</v>
      </c>
      <c r="D100" s="4">
        <v>4</v>
      </c>
      <c r="E100" s="14">
        <v>44295</v>
      </c>
      <c r="F100" s="4">
        <v>9</v>
      </c>
      <c r="G100">
        <v>202</v>
      </c>
      <c r="H100">
        <v>198</v>
      </c>
      <c r="I100" s="13">
        <v>0.98</v>
      </c>
      <c r="J100">
        <v>4</v>
      </c>
      <c r="K100" s="2">
        <v>1.1574074074074075E-4</v>
      </c>
      <c r="L100" s="11">
        <v>33</v>
      </c>
      <c r="M100" s="3">
        <v>0.16666666666666666</v>
      </c>
      <c r="N100" s="4">
        <v>10</v>
      </c>
      <c r="O100" s="2">
        <v>1.4930555555555556E-3</v>
      </c>
      <c r="P100" s="9">
        <v>425.7</v>
      </c>
      <c r="Q100" s="3">
        <v>2.15</v>
      </c>
      <c r="R100" s="4">
        <v>129</v>
      </c>
      <c r="S100" s="3">
        <v>175</v>
      </c>
      <c r="T100" s="1">
        <v>0.88500000000000001</v>
      </c>
      <c r="U100" s="6">
        <v>175.23</v>
      </c>
    </row>
    <row r="101" spans="1:21" x14ac:dyDescent="0.35">
      <c r="A101">
        <v>100</v>
      </c>
      <c r="B101" s="5">
        <v>44296</v>
      </c>
      <c r="C101" s="4">
        <v>2021</v>
      </c>
      <c r="D101" s="4">
        <v>4</v>
      </c>
      <c r="E101" s="14">
        <v>44296</v>
      </c>
      <c r="F101" s="4">
        <v>10</v>
      </c>
      <c r="G101">
        <v>226</v>
      </c>
      <c r="H101">
        <v>219</v>
      </c>
      <c r="I101" s="13">
        <v>0.96</v>
      </c>
      <c r="J101">
        <v>7</v>
      </c>
      <c r="K101" s="2">
        <v>1.1574074074074075E-4</v>
      </c>
      <c r="L101" s="11">
        <v>36.5</v>
      </c>
      <c r="M101" s="3">
        <v>0.16666666666666666</v>
      </c>
      <c r="N101" s="4">
        <v>10</v>
      </c>
      <c r="O101" s="2">
        <v>1.5277777777777779E-3</v>
      </c>
      <c r="P101" s="9">
        <v>481.8</v>
      </c>
      <c r="Q101" s="3">
        <v>2.2000000000000002</v>
      </c>
      <c r="R101" s="4">
        <v>132</v>
      </c>
      <c r="S101" s="3">
        <v>192</v>
      </c>
      <c r="T101" s="1">
        <v>0.88</v>
      </c>
      <c r="U101" s="6">
        <v>192.72</v>
      </c>
    </row>
    <row r="102" spans="1:21" x14ac:dyDescent="0.35">
      <c r="A102">
        <v>101</v>
      </c>
      <c r="B102" s="5">
        <v>44297</v>
      </c>
      <c r="C102" s="4">
        <v>2021</v>
      </c>
      <c r="D102" s="4">
        <v>4</v>
      </c>
      <c r="E102" s="14">
        <v>44297</v>
      </c>
      <c r="F102" s="4">
        <v>11</v>
      </c>
      <c r="G102">
        <v>167</v>
      </c>
      <c r="H102">
        <v>163</v>
      </c>
      <c r="I102" s="13">
        <v>0.97</v>
      </c>
      <c r="J102">
        <v>4</v>
      </c>
      <c r="K102" s="2">
        <v>8.1018518518518516E-5</v>
      </c>
      <c r="L102" s="11">
        <v>19.016666666666666</v>
      </c>
      <c r="M102" s="3">
        <v>0.11666666666666667</v>
      </c>
      <c r="N102" s="4">
        <v>7</v>
      </c>
      <c r="O102" s="2">
        <v>1.4930555555555556E-3</v>
      </c>
      <c r="P102" s="9">
        <v>350.45</v>
      </c>
      <c r="Q102" s="3">
        <v>2.15</v>
      </c>
      <c r="R102" s="4">
        <v>129</v>
      </c>
      <c r="S102" s="3">
        <v>151</v>
      </c>
      <c r="T102" s="1">
        <v>0.92769999999999997</v>
      </c>
      <c r="U102" s="6">
        <v>151.21510000000001</v>
      </c>
    </row>
    <row r="103" spans="1:21" x14ac:dyDescent="0.35">
      <c r="A103">
        <v>102</v>
      </c>
      <c r="B103" s="5">
        <v>44298</v>
      </c>
      <c r="C103" s="4">
        <v>2021</v>
      </c>
      <c r="D103" s="4">
        <v>4</v>
      </c>
      <c r="E103" s="14">
        <v>44298</v>
      </c>
      <c r="F103" s="4">
        <v>12</v>
      </c>
      <c r="G103">
        <v>164</v>
      </c>
      <c r="H103">
        <v>164</v>
      </c>
      <c r="I103" s="13">
        <v>1</v>
      </c>
      <c r="J103">
        <v>0</v>
      </c>
      <c r="K103" s="2">
        <v>1.273148148148148E-4</v>
      </c>
      <c r="L103" s="11">
        <v>30.066666666666663</v>
      </c>
      <c r="M103" s="3">
        <v>0.18333333333333332</v>
      </c>
      <c r="N103" s="4">
        <v>11</v>
      </c>
      <c r="O103" s="2">
        <v>1.5856481481481481E-3</v>
      </c>
      <c r="P103" s="9">
        <v>374.46666666666664</v>
      </c>
      <c r="Q103" s="3">
        <v>2.2833333333333332</v>
      </c>
      <c r="R103" s="4">
        <v>137</v>
      </c>
      <c r="S103" s="3">
        <v>145</v>
      </c>
      <c r="T103" s="1">
        <v>0.89019999999999999</v>
      </c>
      <c r="U103" s="6">
        <v>145.99279999999999</v>
      </c>
    </row>
    <row r="104" spans="1:21" x14ac:dyDescent="0.35">
      <c r="A104">
        <v>103</v>
      </c>
      <c r="B104" s="5">
        <v>44299</v>
      </c>
      <c r="C104" s="4">
        <v>2021</v>
      </c>
      <c r="D104" s="4">
        <v>4</v>
      </c>
      <c r="E104" s="14">
        <v>44299</v>
      </c>
      <c r="F104" s="4">
        <v>13</v>
      </c>
      <c r="G104">
        <v>42</v>
      </c>
      <c r="H104">
        <v>41</v>
      </c>
      <c r="I104" s="13">
        <v>0.97</v>
      </c>
      <c r="J104">
        <v>1</v>
      </c>
      <c r="K104" s="2">
        <v>1.273148148148148E-4</v>
      </c>
      <c r="L104" s="11">
        <v>7.5166666666666657</v>
      </c>
      <c r="M104" s="3">
        <v>0.18333333333333332</v>
      </c>
      <c r="N104" s="4">
        <v>11</v>
      </c>
      <c r="O104" s="2">
        <v>1.4930555555555556E-3</v>
      </c>
      <c r="P104" s="9">
        <v>88.149999999999991</v>
      </c>
      <c r="Q104" s="3">
        <v>2.15</v>
      </c>
      <c r="R104" s="4">
        <v>129</v>
      </c>
      <c r="S104" s="3">
        <v>35</v>
      </c>
      <c r="T104" s="1">
        <v>0.878</v>
      </c>
      <c r="U104" s="6">
        <v>35.997999999999998</v>
      </c>
    </row>
    <row r="105" spans="1:21" x14ac:dyDescent="0.35">
      <c r="A105">
        <v>104</v>
      </c>
      <c r="B105" s="5">
        <v>44300</v>
      </c>
      <c r="C105" s="4">
        <v>2021</v>
      </c>
      <c r="D105" s="4">
        <v>4</v>
      </c>
      <c r="E105" s="14">
        <v>44300</v>
      </c>
      <c r="F105" s="4">
        <v>14</v>
      </c>
      <c r="G105">
        <v>79</v>
      </c>
      <c r="H105">
        <v>78</v>
      </c>
      <c r="I105" s="13">
        <v>0.98</v>
      </c>
      <c r="J105">
        <v>1</v>
      </c>
      <c r="K105" s="2">
        <v>8.1018518518518516E-5</v>
      </c>
      <c r="L105" s="11">
        <v>9.1</v>
      </c>
      <c r="M105" s="3">
        <v>0.11666666666666667</v>
      </c>
      <c r="N105" s="4">
        <v>7</v>
      </c>
      <c r="O105" s="2">
        <v>1.6550925925925926E-3</v>
      </c>
      <c r="P105" s="9">
        <v>185.9</v>
      </c>
      <c r="Q105" s="3">
        <v>2.3833333333333333</v>
      </c>
      <c r="R105" s="4">
        <v>143</v>
      </c>
      <c r="S105" s="3">
        <v>73</v>
      </c>
      <c r="T105" s="1">
        <v>0.94869999999999999</v>
      </c>
      <c r="U105" s="6">
        <v>73.998599999999996</v>
      </c>
    </row>
    <row r="106" spans="1:21" x14ac:dyDescent="0.35">
      <c r="A106">
        <v>105</v>
      </c>
      <c r="B106" s="5">
        <v>44301</v>
      </c>
      <c r="C106" s="4">
        <v>2021</v>
      </c>
      <c r="D106" s="4">
        <v>4</v>
      </c>
      <c r="E106" s="14">
        <v>44301</v>
      </c>
      <c r="F106" s="4">
        <v>15</v>
      </c>
      <c r="G106">
        <v>165</v>
      </c>
      <c r="H106">
        <v>162</v>
      </c>
      <c r="I106" s="13">
        <v>0.98</v>
      </c>
      <c r="J106">
        <v>3</v>
      </c>
      <c r="K106" s="2">
        <v>1.0416666666666667E-4</v>
      </c>
      <c r="L106" s="11">
        <v>24.3</v>
      </c>
      <c r="M106" s="3">
        <v>0.15</v>
      </c>
      <c r="N106" s="4">
        <v>9</v>
      </c>
      <c r="O106" s="2">
        <v>1.4930555555555556E-3</v>
      </c>
      <c r="P106" s="9">
        <v>348.3</v>
      </c>
      <c r="Q106" s="3">
        <v>2.15</v>
      </c>
      <c r="R106" s="4">
        <v>129</v>
      </c>
      <c r="S106" s="3">
        <v>145</v>
      </c>
      <c r="T106" s="1">
        <v>0.89700000000000002</v>
      </c>
      <c r="U106" s="6">
        <v>145.31399999999999</v>
      </c>
    </row>
    <row r="107" spans="1:21" x14ac:dyDescent="0.35">
      <c r="A107">
        <v>106</v>
      </c>
      <c r="B107" s="5">
        <v>44302</v>
      </c>
      <c r="C107" s="4">
        <v>2021</v>
      </c>
      <c r="D107" s="4">
        <v>4</v>
      </c>
      <c r="E107" s="14">
        <v>44302</v>
      </c>
      <c r="F107" s="4">
        <v>16</v>
      </c>
      <c r="G107">
        <v>180</v>
      </c>
      <c r="H107">
        <v>174</v>
      </c>
      <c r="I107" s="13">
        <v>0.96</v>
      </c>
      <c r="J107">
        <v>6</v>
      </c>
      <c r="K107" s="2">
        <v>1.8518518518518518E-4</v>
      </c>
      <c r="L107" s="11">
        <v>46.4</v>
      </c>
      <c r="M107" s="3">
        <v>0.26666666666666666</v>
      </c>
      <c r="N107" s="4">
        <v>16</v>
      </c>
      <c r="O107" s="2">
        <v>1.5740740740740741E-3</v>
      </c>
      <c r="P107" s="9">
        <v>394.4</v>
      </c>
      <c r="Q107" s="3">
        <v>2.2666666666666666</v>
      </c>
      <c r="R107" s="4">
        <v>136</v>
      </c>
      <c r="S107" s="3">
        <v>135</v>
      </c>
      <c r="T107" s="1">
        <v>0.77780000000000005</v>
      </c>
      <c r="U107" s="6">
        <v>135.3372</v>
      </c>
    </row>
    <row r="108" spans="1:21" x14ac:dyDescent="0.35">
      <c r="A108">
        <v>107</v>
      </c>
      <c r="B108" s="5">
        <v>44303</v>
      </c>
      <c r="C108" s="4">
        <v>2021</v>
      </c>
      <c r="D108" s="4">
        <v>4</v>
      </c>
      <c r="E108" s="14">
        <v>44303</v>
      </c>
      <c r="F108" s="4">
        <v>17</v>
      </c>
      <c r="G108">
        <v>179</v>
      </c>
      <c r="H108">
        <v>176</v>
      </c>
      <c r="I108" s="13">
        <v>0.98</v>
      </c>
      <c r="J108">
        <v>3</v>
      </c>
      <c r="K108" s="2">
        <v>1.1574074074074075E-4</v>
      </c>
      <c r="L108" s="11">
        <v>29.333333333333332</v>
      </c>
      <c r="M108" s="3">
        <v>0.16666666666666666</v>
      </c>
      <c r="N108" s="4">
        <v>10</v>
      </c>
      <c r="O108" s="2">
        <v>1.6898148148148148E-3</v>
      </c>
      <c r="P108" s="9">
        <v>428.26666666666671</v>
      </c>
      <c r="Q108" s="3">
        <v>2.4333333333333336</v>
      </c>
      <c r="R108" s="4">
        <v>146</v>
      </c>
      <c r="S108" s="3">
        <v>154</v>
      </c>
      <c r="T108" s="1">
        <v>0.87639999999999996</v>
      </c>
      <c r="U108" s="6">
        <v>154.24639999999999</v>
      </c>
    </row>
    <row r="109" spans="1:21" x14ac:dyDescent="0.35">
      <c r="A109">
        <v>108</v>
      </c>
      <c r="B109" s="5">
        <v>44304</v>
      </c>
      <c r="C109" s="4">
        <v>2021</v>
      </c>
      <c r="D109" s="4">
        <v>4</v>
      </c>
      <c r="E109" s="14">
        <v>44304</v>
      </c>
      <c r="F109" s="4">
        <v>18</v>
      </c>
      <c r="G109">
        <v>217</v>
      </c>
      <c r="H109">
        <v>215</v>
      </c>
      <c r="I109" s="13">
        <v>0.99</v>
      </c>
      <c r="J109">
        <v>2</v>
      </c>
      <c r="K109" s="2">
        <v>9.2592592592592588E-5</v>
      </c>
      <c r="L109" s="11">
        <v>28.666666666666668</v>
      </c>
      <c r="M109" s="3">
        <v>0.13333333333333333</v>
      </c>
      <c r="N109" s="4">
        <v>8</v>
      </c>
      <c r="O109" s="2">
        <v>1.4814814814814814E-3</v>
      </c>
      <c r="P109" s="9">
        <v>458.66666666666669</v>
      </c>
      <c r="Q109" s="3">
        <v>2.1333333333333333</v>
      </c>
      <c r="R109" s="4">
        <v>128</v>
      </c>
      <c r="S109" s="3">
        <v>197</v>
      </c>
      <c r="T109" s="1">
        <v>0.91710000000000003</v>
      </c>
      <c r="U109" s="6">
        <v>197.1765</v>
      </c>
    </row>
    <row r="110" spans="1:21" x14ac:dyDescent="0.35">
      <c r="A110">
        <v>109</v>
      </c>
      <c r="B110" s="5">
        <v>44305</v>
      </c>
      <c r="C110" s="4">
        <v>2021</v>
      </c>
      <c r="D110" s="4">
        <v>4</v>
      </c>
      <c r="E110" s="14">
        <v>44305</v>
      </c>
      <c r="F110" s="4">
        <v>19</v>
      </c>
      <c r="G110">
        <v>171</v>
      </c>
      <c r="H110">
        <v>167</v>
      </c>
      <c r="I110" s="13">
        <v>0.97</v>
      </c>
      <c r="J110">
        <v>4</v>
      </c>
      <c r="K110" s="2">
        <v>1.1574074074074075E-4</v>
      </c>
      <c r="L110" s="11">
        <v>27.833333333333332</v>
      </c>
      <c r="M110" s="3">
        <v>0.16666666666666666</v>
      </c>
      <c r="N110" s="4">
        <v>10</v>
      </c>
      <c r="O110" s="2">
        <v>1.5625000000000001E-3</v>
      </c>
      <c r="P110" s="9">
        <v>375.75</v>
      </c>
      <c r="Q110" s="3">
        <v>2.25</v>
      </c>
      <c r="R110" s="4">
        <v>135</v>
      </c>
      <c r="S110" s="3">
        <v>144</v>
      </c>
      <c r="T110" s="1">
        <v>0.86470000000000002</v>
      </c>
      <c r="U110" s="6">
        <v>144.4049</v>
      </c>
    </row>
    <row r="111" spans="1:21" x14ac:dyDescent="0.35">
      <c r="A111">
        <v>110</v>
      </c>
      <c r="B111" s="5">
        <v>44306</v>
      </c>
      <c r="C111" s="4">
        <v>2021</v>
      </c>
      <c r="D111" s="4">
        <v>4</v>
      </c>
      <c r="E111" s="14">
        <v>44306</v>
      </c>
      <c r="F111" s="4">
        <v>20</v>
      </c>
      <c r="G111">
        <v>37</v>
      </c>
      <c r="H111">
        <v>37</v>
      </c>
      <c r="I111" s="13">
        <v>1</v>
      </c>
      <c r="J111">
        <v>0</v>
      </c>
      <c r="K111" s="2">
        <v>1.0416666666666667E-4</v>
      </c>
      <c r="L111" s="11">
        <v>5.55</v>
      </c>
      <c r="M111" s="3">
        <v>0.15</v>
      </c>
      <c r="N111" s="4">
        <v>9</v>
      </c>
      <c r="O111" s="2">
        <v>1.3541666666666667E-3</v>
      </c>
      <c r="P111" s="9">
        <v>72.149999999999991</v>
      </c>
      <c r="Q111" s="3">
        <v>1.95</v>
      </c>
      <c r="R111" s="4">
        <v>117</v>
      </c>
      <c r="S111" s="3">
        <v>32</v>
      </c>
      <c r="T111" s="1">
        <v>0.8649</v>
      </c>
      <c r="U111" s="6">
        <v>32.001300000000001</v>
      </c>
    </row>
    <row r="112" spans="1:21" x14ac:dyDescent="0.35">
      <c r="A112">
        <v>111</v>
      </c>
      <c r="B112" s="5">
        <v>44307</v>
      </c>
      <c r="C112" s="4">
        <v>2021</v>
      </c>
      <c r="D112" s="4">
        <v>4</v>
      </c>
      <c r="E112" s="14">
        <v>44307</v>
      </c>
      <c r="F112" s="4">
        <v>21</v>
      </c>
      <c r="G112">
        <v>215</v>
      </c>
      <c r="H112">
        <v>206</v>
      </c>
      <c r="I112" s="13">
        <v>0.95</v>
      </c>
      <c r="J112">
        <v>9</v>
      </c>
      <c r="K112" s="2">
        <v>2.0833333333333335E-4</v>
      </c>
      <c r="L112" s="11">
        <v>61.8</v>
      </c>
      <c r="M112" s="3">
        <v>0.3</v>
      </c>
      <c r="N112" s="4">
        <v>18</v>
      </c>
      <c r="O112" s="2">
        <v>1.4930555555555556E-3</v>
      </c>
      <c r="P112" s="9">
        <v>442.9</v>
      </c>
      <c r="Q112" s="3">
        <v>2.15</v>
      </c>
      <c r="R112" s="4">
        <v>129</v>
      </c>
      <c r="S112" s="3">
        <v>166</v>
      </c>
      <c r="T112" s="1">
        <v>0.8095</v>
      </c>
      <c r="U112" s="6">
        <v>166.75700000000001</v>
      </c>
    </row>
    <row r="113" spans="1:21" x14ac:dyDescent="0.35">
      <c r="A113">
        <v>112</v>
      </c>
      <c r="B113" s="5">
        <v>44308</v>
      </c>
      <c r="C113" s="4">
        <v>2021</v>
      </c>
      <c r="D113" s="4">
        <v>4</v>
      </c>
      <c r="E113" s="14">
        <v>44308</v>
      </c>
      <c r="F113" s="4">
        <v>22</v>
      </c>
      <c r="G113">
        <v>218</v>
      </c>
      <c r="H113">
        <v>212</v>
      </c>
      <c r="I113" s="13">
        <v>0.97</v>
      </c>
      <c r="J113">
        <v>6</v>
      </c>
      <c r="K113" s="2">
        <v>1.8518518518518518E-4</v>
      </c>
      <c r="L113" s="11">
        <v>56.533333333333331</v>
      </c>
      <c r="M113" s="3">
        <v>0.26666666666666666</v>
      </c>
      <c r="N113" s="4">
        <v>16</v>
      </c>
      <c r="O113" s="2">
        <v>1.5856481481481481E-3</v>
      </c>
      <c r="P113" s="9">
        <v>484.06666666666666</v>
      </c>
      <c r="Q113" s="3">
        <v>2.2833333333333332</v>
      </c>
      <c r="R113" s="4">
        <v>137</v>
      </c>
      <c r="S113" s="3">
        <v>178</v>
      </c>
      <c r="T113" s="1">
        <v>0.84260000000000002</v>
      </c>
      <c r="U113" s="6">
        <v>178.63120000000001</v>
      </c>
    </row>
    <row r="114" spans="1:21" x14ac:dyDescent="0.35">
      <c r="A114">
        <v>113</v>
      </c>
      <c r="B114" s="5">
        <v>44309</v>
      </c>
      <c r="C114" s="4">
        <v>2021</v>
      </c>
      <c r="D114" s="4">
        <v>4</v>
      </c>
      <c r="E114" s="14">
        <v>44309</v>
      </c>
      <c r="F114" s="4">
        <v>23</v>
      </c>
      <c r="G114">
        <v>205</v>
      </c>
      <c r="H114">
        <v>202</v>
      </c>
      <c r="I114" s="13">
        <v>0.98</v>
      </c>
      <c r="J114">
        <v>3</v>
      </c>
      <c r="K114" s="2">
        <v>1.273148148148148E-4</v>
      </c>
      <c r="L114" s="11">
        <v>37.033333333333331</v>
      </c>
      <c r="M114" s="3">
        <v>0.18333333333333332</v>
      </c>
      <c r="N114" s="4">
        <v>11</v>
      </c>
      <c r="O114" s="2">
        <v>1.6782407407407408E-3</v>
      </c>
      <c r="P114" s="9">
        <v>488.16666666666663</v>
      </c>
      <c r="Q114" s="3">
        <v>2.4166666666666665</v>
      </c>
      <c r="R114" s="4">
        <v>145</v>
      </c>
      <c r="S114" s="3">
        <v>183</v>
      </c>
      <c r="T114" s="1">
        <v>0.90690000000000004</v>
      </c>
      <c r="U114" s="6">
        <v>183.19380000000001</v>
      </c>
    </row>
    <row r="115" spans="1:21" x14ac:dyDescent="0.35">
      <c r="A115">
        <v>114</v>
      </c>
      <c r="B115" s="5">
        <v>44310</v>
      </c>
      <c r="C115" s="4">
        <v>2021</v>
      </c>
      <c r="D115" s="4">
        <v>4</v>
      </c>
      <c r="E115" s="14">
        <v>44310</v>
      </c>
      <c r="F115" s="4">
        <v>24</v>
      </c>
      <c r="G115">
        <v>195</v>
      </c>
      <c r="H115">
        <v>190</v>
      </c>
      <c r="I115" s="13">
        <v>0.97</v>
      </c>
      <c r="J115">
        <v>5</v>
      </c>
      <c r="K115" s="2">
        <v>1.3888888888888889E-4</v>
      </c>
      <c r="L115" s="11">
        <v>38</v>
      </c>
      <c r="M115" s="3">
        <v>0.2</v>
      </c>
      <c r="N115" s="4">
        <v>12</v>
      </c>
      <c r="O115" s="2">
        <v>1.6435185185185185E-3</v>
      </c>
      <c r="P115" s="9">
        <v>449.66666666666669</v>
      </c>
      <c r="Q115" s="3">
        <v>2.3666666666666667</v>
      </c>
      <c r="R115" s="4">
        <v>142</v>
      </c>
      <c r="S115" s="3">
        <v>169</v>
      </c>
      <c r="T115" s="1">
        <v>0.8901</v>
      </c>
      <c r="U115" s="6">
        <v>169.119</v>
      </c>
    </row>
    <row r="116" spans="1:21" x14ac:dyDescent="0.35">
      <c r="A116">
        <v>115</v>
      </c>
      <c r="B116" s="5">
        <v>44311</v>
      </c>
      <c r="C116" s="4">
        <v>2021</v>
      </c>
      <c r="D116" s="4">
        <v>4</v>
      </c>
      <c r="E116" s="14">
        <v>44311</v>
      </c>
      <c r="F116" s="4">
        <v>25</v>
      </c>
      <c r="G116">
        <v>181</v>
      </c>
      <c r="H116">
        <v>176</v>
      </c>
      <c r="I116" s="13">
        <v>0.97</v>
      </c>
      <c r="J116">
        <v>5</v>
      </c>
      <c r="K116" s="2">
        <v>1.5046296296296297E-4</v>
      </c>
      <c r="L116" s="11">
        <v>38.133333333333333</v>
      </c>
      <c r="M116" s="3">
        <v>0.21666666666666667</v>
      </c>
      <c r="N116" s="4">
        <v>13</v>
      </c>
      <c r="O116" s="2">
        <v>1.5393518518518519E-3</v>
      </c>
      <c r="P116" s="9">
        <v>390.13333333333333</v>
      </c>
      <c r="Q116" s="3">
        <v>2.2166666666666668</v>
      </c>
      <c r="R116" s="4">
        <v>133</v>
      </c>
      <c r="S116" s="3">
        <v>144</v>
      </c>
      <c r="T116" s="1">
        <v>0.82220000000000004</v>
      </c>
      <c r="U116" s="6">
        <v>144.7072</v>
      </c>
    </row>
    <row r="117" spans="1:21" x14ac:dyDescent="0.35">
      <c r="A117">
        <v>116</v>
      </c>
      <c r="B117" s="5">
        <v>44312</v>
      </c>
      <c r="C117" s="4">
        <v>2021</v>
      </c>
      <c r="D117" s="4">
        <v>4</v>
      </c>
      <c r="E117" s="14">
        <v>44312</v>
      </c>
      <c r="F117" s="4">
        <v>26</v>
      </c>
      <c r="G117">
        <v>212</v>
      </c>
      <c r="H117">
        <v>206</v>
      </c>
      <c r="I117" s="13">
        <v>0.97</v>
      </c>
      <c r="J117">
        <v>6</v>
      </c>
      <c r="K117" s="2">
        <v>1.273148148148148E-4</v>
      </c>
      <c r="L117" s="11">
        <v>37.766666666666666</v>
      </c>
      <c r="M117" s="3">
        <v>0.18333333333333332</v>
      </c>
      <c r="N117" s="4">
        <v>11</v>
      </c>
      <c r="O117" s="2">
        <v>1.6203703703703703E-3</v>
      </c>
      <c r="P117" s="9">
        <v>480.66666666666669</v>
      </c>
      <c r="Q117" s="3">
        <v>2.3333333333333335</v>
      </c>
      <c r="R117" s="4">
        <v>140</v>
      </c>
      <c r="S117" s="3">
        <v>184</v>
      </c>
      <c r="T117" s="1">
        <v>0.89419999999999999</v>
      </c>
      <c r="U117" s="6">
        <v>184.20519999999999</v>
      </c>
    </row>
    <row r="118" spans="1:21" x14ac:dyDescent="0.35">
      <c r="A118">
        <v>117</v>
      </c>
      <c r="B118" s="5">
        <v>44313</v>
      </c>
      <c r="C118" s="4">
        <v>2021</v>
      </c>
      <c r="D118" s="4">
        <v>4</v>
      </c>
      <c r="E118" s="14">
        <v>44313</v>
      </c>
      <c r="F118" s="4">
        <v>27</v>
      </c>
      <c r="G118">
        <v>33</v>
      </c>
      <c r="H118">
        <v>32</v>
      </c>
      <c r="I118" s="13">
        <v>0.96</v>
      </c>
      <c r="J118">
        <v>1</v>
      </c>
      <c r="K118" s="2">
        <v>9.2592592592592588E-5</v>
      </c>
      <c r="L118" s="11">
        <v>4.2666666666666666</v>
      </c>
      <c r="M118" s="3">
        <v>0.13333333333333333</v>
      </c>
      <c r="N118" s="4">
        <v>8</v>
      </c>
      <c r="O118" s="2">
        <v>1.712962962962963E-3</v>
      </c>
      <c r="P118" s="9">
        <v>78.933333333333337</v>
      </c>
      <c r="Q118" s="3">
        <v>2.4666666666666668</v>
      </c>
      <c r="R118" s="4">
        <v>148</v>
      </c>
      <c r="S118" s="3">
        <v>29</v>
      </c>
      <c r="T118" s="1">
        <v>0.90910000000000002</v>
      </c>
      <c r="U118" s="6">
        <v>29.091200000000001</v>
      </c>
    </row>
    <row r="119" spans="1:21" x14ac:dyDescent="0.35">
      <c r="A119">
        <v>118</v>
      </c>
      <c r="B119" s="5">
        <v>44314</v>
      </c>
      <c r="C119" s="4">
        <v>2021</v>
      </c>
      <c r="D119" s="4">
        <v>4</v>
      </c>
      <c r="E119" s="14">
        <v>44314</v>
      </c>
      <c r="F119" s="4">
        <v>28</v>
      </c>
      <c r="G119">
        <v>298</v>
      </c>
      <c r="H119">
        <v>287</v>
      </c>
      <c r="I119" s="13">
        <v>0.96</v>
      </c>
      <c r="J119">
        <v>11</v>
      </c>
      <c r="K119" s="2">
        <v>1.5046296296296297E-4</v>
      </c>
      <c r="L119" s="11">
        <v>62.183333333333337</v>
      </c>
      <c r="M119" s="3">
        <v>0.21666666666666667</v>
      </c>
      <c r="N119" s="4">
        <v>13</v>
      </c>
      <c r="O119" s="2">
        <v>1.0995370370370371E-3</v>
      </c>
      <c r="P119" s="9">
        <v>454.41666666666669</v>
      </c>
      <c r="Q119" s="3">
        <v>1.5833333333333335</v>
      </c>
      <c r="R119" s="4">
        <v>95.000000000000014</v>
      </c>
      <c r="S119" s="3">
        <v>239</v>
      </c>
      <c r="T119" s="1">
        <v>0.83330000000000004</v>
      </c>
      <c r="U119" s="6">
        <v>239.15710000000001</v>
      </c>
    </row>
    <row r="120" spans="1:21" x14ac:dyDescent="0.35">
      <c r="A120">
        <v>119</v>
      </c>
      <c r="B120" s="5">
        <v>44315</v>
      </c>
      <c r="C120" s="4">
        <v>2021</v>
      </c>
      <c r="D120" s="4">
        <v>4</v>
      </c>
      <c r="E120" s="14">
        <v>44315</v>
      </c>
      <c r="F120" s="4">
        <v>29</v>
      </c>
      <c r="G120">
        <v>158</v>
      </c>
      <c r="H120">
        <v>156</v>
      </c>
      <c r="I120" s="13">
        <v>0.98</v>
      </c>
      <c r="J120">
        <v>2</v>
      </c>
      <c r="K120" s="2">
        <v>1.273148148148148E-4</v>
      </c>
      <c r="L120" s="11">
        <v>28.599999999999998</v>
      </c>
      <c r="M120" s="3">
        <v>0.18333333333333332</v>
      </c>
      <c r="N120" s="4">
        <v>11</v>
      </c>
      <c r="O120" s="2">
        <v>1.6550925925925926E-3</v>
      </c>
      <c r="P120" s="9">
        <v>371.8</v>
      </c>
      <c r="Q120" s="3">
        <v>2.3833333333333333</v>
      </c>
      <c r="R120" s="4">
        <v>143</v>
      </c>
      <c r="S120" s="3">
        <v>140</v>
      </c>
      <c r="T120" s="1">
        <v>0.89810000000000001</v>
      </c>
      <c r="U120" s="6">
        <v>140.1036</v>
      </c>
    </row>
    <row r="121" spans="1:21" x14ac:dyDescent="0.35">
      <c r="A121">
        <v>120</v>
      </c>
      <c r="B121" s="5">
        <v>44316</v>
      </c>
      <c r="C121" s="4">
        <v>2021</v>
      </c>
      <c r="D121" s="4">
        <v>4</v>
      </c>
      <c r="E121" s="14">
        <v>44316</v>
      </c>
      <c r="F121" s="4">
        <v>30</v>
      </c>
      <c r="G121">
        <v>156</v>
      </c>
      <c r="H121">
        <v>154</v>
      </c>
      <c r="I121" s="13">
        <v>0.98</v>
      </c>
      <c r="J121">
        <v>2</v>
      </c>
      <c r="K121" s="2">
        <v>1.3888888888888889E-4</v>
      </c>
      <c r="L121" s="11">
        <v>30.8</v>
      </c>
      <c r="M121" s="3">
        <v>0.2</v>
      </c>
      <c r="N121" s="4">
        <v>12</v>
      </c>
      <c r="O121" s="2">
        <v>1.5393518518518519E-3</v>
      </c>
      <c r="P121" s="9">
        <v>341.36666666666667</v>
      </c>
      <c r="Q121" s="3">
        <v>2.2166666666666668</v>
      </c>
      <c r="R121" s="4">
        <v>133</v>
      </c>
      <c r="S121" s="3">
        <v>132</v>
      </c>
      <c r="T121" s="1">
        <v>0.85809999999999997</v>
      </c>
      <c r="U121" s="6">
        <v>132.1474</v>
      </c>
    </row>
    <row r="122" spans="1:21" x14ac:dyDescent="0.35">
      <c r="A122">
        <v>121</v>
      </c>
      <c r="B122" s="5">
        <v>44317</v>
      </c>
      <c r="C122" s="4">
        <v>2021</v>
      </c>
      <c r="D122" s="4">
        <v>5</v>
      </c>
      <c r="E122" s="14">
        <v>44317</v>
      </c>
      <c r="F122" s="4">
        <v>1</v>
      </c>
      <c r="G122">
        <v>163</v>
      </c>
      <c r="H122">
        <v>163</v>
      </c>
      <c r="I122" s="13">
        <v>1</v>
      </c>
      <c r="J122">
        <v>0</v>
      </c>
      <c r="K122" s="2">
        <v>1.1574074074074075E-4</v>
      </c>
      <c r="L122" s="11">
        <v>27.166666666666664</v>
      </c>
      <c r="M122" s="3">
        <v>0.16666666666666666</v>
      </c>
      <c r="N122" s="4">
        <v>10</v>
      </c>
      <c r="O122" s="2">
        <v>1.4120370370370369E-3</v>
      </c>
      <c r="P122" s="9">
        <v>331.43333333333334</v>
      </c>
      <c r="Q122" s="3">
        <v>2.0333333333333332</v>
      </c>
      <c r="R122" s="4">
        <v>122</v>
      </c>
      <c r="S122" s="3">
        <v>151</v>
      </c>
      <c r="T122" s="1">
        <v>0.9264</v>
      </c>
      <c r="U122" s="6">
        <v>151.00319999999999</v>
      </c>
    </row>
    <row r="123" spans="1:21" x14ac:dyDescent="0.35">
      <c r="A123">
        <v>122</v>
      </c>
      <c r="B123" s="5">
        <v>44318</v>
      </c>
      <c r="C123" s="4">
        <v>2021</v>
      </c>
      <c r="D123" s="4">
        <v>5</v>
      </c>
      <c r="E123" s="14">
        <v>44318</v>
      </c>
      <c r="F123" s="4">
        <v>2</v>
      </c>
      <c r="G123">
        <v>98</v>
      </c>
      <c r="H123">
        <v>98</v>
      </c>
      <c r="I123" s="13">
        <v>1</v>
      </c>
      <c r="J123">
        <v>0</v>
      </c>
      <c r="K123" s="2">
        <v>8.1018518518518516E-5</v>
      </c>
      <c r="L123" s="11">
        <v>11.433333333333334</v>
      </c>
      <c r="M123" s="3">
        <v>0.11666666666666667</v>
      </c>
      <c r="N123" s="4">
        <v>7</v>
      </c>
      <c r="O123" s="2">
        <v>1.5046296296296296E-3</v>
      </c>
      <c r="P123" s="9">
        <v>212.33333333333331</v>
      </c>
      <c r="Q123" s="3">
        <v>2.1666666666666665</v>
      </c>
      <c r="R123" s="4">
        <v>130</v>
      </c>
      <c r="S123" s="3">
        <v>92</v>
      </c>
      <c r="T123" s="1">
        <v>0.93879999999999997</v>
      </c>
      <c r="U123" s="6">
        <v>92.002399999999994</v>
      </c>
    </row>
    <row r="124" spans="1:21" x14ac:dyDescent="0.35">
      <c r="A124">
        <v>123</v>
      </c>
      <c r="B124" s="5">
        <v>44319</v>
      </c>
      <c r="C124" s="4">
        <v>2021</v>
      </c>
      <c r="D124" s="4">
        <v>5</v>
      </c>
      <c r="E124" s="14">
        <v>44319</v>
      </c>
      <c r="F124" s="4">
        <v>3</v>
      </c>
      <c r="G124">
        <v>255</v>
      </c>
      <c r="H124">
        <v>249</v>
      </c>
      <c r="I124" s="13">
        <v>0.97</v>
      </c>
      <c r="J124">
        <v>6</v>
      </c>
      <c r="K124" s="2">
        <v>1.7361111111111112E-4</v>
      </c>
      <c r="L124" s="11">
        <v>62.25</v>
      </c>
      <c r="M124" s="3">
        <v>0.25</v>
      </c>
      <c r="N124" s="4">
        <v>15</v>
      </c>
      <c r="O124" s="2">
        <v>1.6087962962962963E-3</v>
      </c>
      <c r="P124" s="9">
        <v>576.84999999999991</v>
      </c>
      <c r="Q124" s="3">
        <v>2.3166666666666664</v>
      </c>
      <c r="R124" s="4">
        <v>139</v>
      </c>
      <c r="S124" s="3">
        <v>205</v>
      </c>
      <c r="T124" s="1">
        <v>0.82679999999999998</v>
      </c>
      <c r="U124" s="6">
        <v>205.8732</v>
      </c>
    </row>
    <row r="125" spans="1:21" x14ac:dyDescent="0.35">
      <c r="A125">
        <v>124</v>
      </c>
      <c r="B125" s="5">
        <v>44320</v>
      </c>
      <c r="C125" s="4">
        <v>2021</v>
      </c>
      <c r="D125" s="4">
        <v>5</v>
      </c>
      <c r="E125" s="14">
        <v>44320</v>
      </c>
      <c r="F125" s="4">
        <v>4</v>
      </c>
      <c r="G125">
        <v>50</v>
      </c>
      <c r="H125">
        <v>49</v>
      </c>
      <c r="I125" s="13">
        <v>0.98</v>
      </c>
      <c r="J125">
        <v>1</v>
      </c>
      <c r="K125" s="2">
        <v>9.2592592592592588E-5</v>
      </c>
      <c r="L125" s="11">
        <v>6.5333333333333332</v>
      </c>
      <c r="M125" s="3">
        <v>0.13333333333333333</v>
      </c>
      <c r="N125" s="4">
        <v>8</v>
      </c>
      <c r="O125" s="2">
        <v>1.4120370370370369E-3</v>
      </c>
      <c r="P125" s="9">
        <v>99.633333333333326</v>
      </c>
      <c r="Q125" s="3">
        <v>2.0333333333333332</v>
      </c>
      <c r="R125" s="4">
        <v>122</v>
      </c>
      <c r="S125" s="3">
        <v>45</v>
      </c>
      <c r="T125" s="1">
        <v>0.92</v>
      </c>
      <c r="U125" s="6">
        <v>45.080000000000005</v>
      </c>
    </row>
    <row r="126" spans="1:21" x14ac:dyDescent="0.35">
      <c r="A126">
        <v>125</v>
      </c>
      <c r="B126" s="5">
        <v>44321</v>
      </c>
      <c r="C126" s="4">
        <v>2021</v>
      </c>
      <c r="D126" s="4">
        <v>5</v>
      </c>
      <c r="E126" s="14">
        <v>44321</v>
      </c>
      <c r="F126" s="4">
        <v>5</v>
      </c>
      <c r="G126">
        <v>290</v>
      </c>
      <c r="H126">
        <v>289</v>
      </c>
      <c r="I126" s="13">
        <v>0.99</v>
      </c>
      <c r="J126">
        <v>1</v>
      </c>
      <c r="K126" s="2">
        <v>1.3888888888888889E-4</v>
      </c>
      <c r="L126" s="11">
        <v>57.800000000000004</v>
      </c>
      <c r="M126" s="3">
        <v>0.2</v>
      </c>
      <c r="N126" s="4">
        <v>12</v>
      </c>
      <c r="O126" s="2">
        <v>1.4004629629629629E-3</v>
      </c>
      <c r="P126" s="9">
        <v>582.81666666666661</v>
      </c>
      <c r="Q126" s="3">
        <v>2.0166666666666666</v>
      </c>
      <c r="R126" s="4">
        <v>121</v>
      </c>
      <c r="S126" s="3">
        <v>257</v>
      </c>
      <c r="T126" s="1">
        <v>0.89270000000000005</v>
      </c>
      <c r="U126" s="6">
        <v>257.99029999999999</v>
      </c>
    </row>
    <row r="127" spans="1:21" x14ac:dyDescent="0.35">
      <c r="A127">
        <v>126</v>
      </c>
      <c r="B127" s="5">
        <v>44322</v>
      </c>
      <c r="C127" s="4">
        <v>2021</v>
      </c>
      <c r="D127" s="4">
        <v>5</v>
      </c>
      <c r="E127" s="14">
        <v>44322</v>
      </c>
      <c r="F127" s="4">
        <v>6</v>
      </c>
      <c r="G127">
        <v>296</v>
      </c>
      <c r="H127">
        <v>281</v>
      </c>
      <c r="I127" s="13">
        <v>0.94</v>
      </c>
      <c r="J127">
        <v>15</v>
      </c>
      <c r="K127" s="2">
        <v>2.5462962962962961E-4</v>
      </c>
      <c r="L127" s="11">
        <v>103.03333333333333</v>
      </c>
      <c r="M127" s="3">
        <v>0.36666666666666664</v>
      </c>
      <c r="N127" s="4">
        <v>22</v>
      </c>
      <c r="O127" s="2">
        <v>1.4814814814814814E-3</v>
      </c>
      <c r="P127" s="9">
        <v>599.4666666666667</v>
      </c>
      <c r="Q127" s="3">
        <v>2.1333333333333333</v>
      </c>
      <c r="R127" s="4">
        <v>128</v>
      </c>
      <c r="S127" s="3">
        <v>206</v>
      </c>
      <c r="T127" s="1">
        <v>0.73540000000000005</v>
      </c>
      <c r="U127" s="6">
        <v>206.6474</v>
      </c>
    </row>
    <row r="128" spans="1:21" x14ac:dyDescent="0.35">
      <c r="A128">
        <v>127</v>
      </c>
      <c r="B128" s="5">
        <v>44323</v>
      </c>
      <c r="C128" s="4">
        <v>2021</v>
      </c>
      <c r="D128" s="4">
        <v>5</v>
      </c>
      <c r="E128" s="14">
        <v>44323</v>
      </c>
      <c r="F128" s="4">
        <v>7</v>
      </c>
      <c r="G128">
        <v>260</v>
      </c>
      <c r="H128">
        <v>257</v>
      </c>
      <c r="I128" s="13">
        <v>0.98</v>
      </c>
      <c r="J128">
        <v>3</v>
      </c>
      <c r="K128" s="2">
        <v>1.9675925925925926E-4</v>
      </c>
      <c r="L128" s="11">
        <v>72.816666666666663</v>
      </c>
      <c r="M128" s="3">
        <v>0.28333333333333333</v>
      </c>
      <c r="N128" s="4">
        <v>17</v>
      </c>
      <c r="O128" s="2">
        <v>1.5393518518518519E-3</v>
      </c>
      <c r="P128" s="9">
        <v>569.68333333333339</v>
      </c>
      <c r="Q128" s="3">
        <v>2.2166666666666668</v>
      </c>
      <c r="R128" s="4">
        <v>133</v>
      </c>
      <c r="S128" s="3">
        <v>224</v>
      </c>
      <c r="T128" s="1">
        <v>0.87160000000000004</v>
      </c>
      <c r="U128" s="6">
        <v>224.00120000000001</v>
      </c>
    </row>
    <row r="129" spans="1:21" x14ac:dyDescent="0.35">
      <c r="A129">
        <v>128</v>
      </c>
      <c r="B129" s="5">
        <v>44324</v>
      </c>
      <c r="C129" s="4">
        <v>2021</v>
      </c>
      <c r="D129" s="4">
        <v>5</v>
      </c>
      <c r="E129" s="14">
        <v>44324</v>
      </c>
      <c r="F129" s="4">
        <v>8</v>
      </c>
      <c r="G129">
        <v>201</v>
      </c>
      <c r="H129">
        <v>193</v>
      </c>
      <c r="I129" s="13">
        <v>0.96</v>
      </c>
      <c r="J129">
        <v>8</v>
      </c>
      <c r="K129" s="2">
        <v>2.199074074074074E-4</v>
      </c>
      <c r="L129" s="11">
        <v>61.116666666666667</v>
      </c>
      <c r="M129" s="3">
        <v>0.31666666666666665</v>
      </c>
      <c r="N129" s="4">
        <v>19</v>
      </c>
      <c r="O129" s="2">
        <v>1.6550925925925926E-3</v>
      </c>
      <c r="P129" s="9">
        <v>459.98333333333335</v>
      </c>
      <c r="Q129" s="3">
        <v>2.3833333333333333</v>
      </c>
      <c r="R129" s="4">
        <v>143</v>
      </c>
      <c r="S129" s="3">
        <v>148</v>
      </c>
      <c r="T129" s="1">
        <v>0.76770000000000005</v>
      </c>
      <c r="U129" s="6">
        <v>148.1661</v>
      </c>
    </row>
    <row r="130" spans="1:21" x14ac:dyDescent="0.35">
      <c r="A130">
        <v>129</v>
      </c>
      <c r="B130" s="5">
        <v>44325</v>
      </c>
      <c r="C130" s="4">
        <v>2021</v>
      </c>
      <c r="D130" s="4">
        <v>5</v>
      </c>
      <c r="E130" s="14">
        <v>44325</v>
      </c>
      <c r="F130" s="4">
        <v>9</v>
      </c>
      <c r="G130">
        <v>132</v>
      </c>
      <c r="H130">
        <v>131</v>
      </c>
      <c r="I130" s="13">
        <v>0.99</v>
      </c>
      <c r="J130">
        <v>1</v>
      </c>
      <c r="K130" s="2">
        <v>1.9675925925925926E-4</v>
      </c>
      <c r="L130" s="11">
        <v>37.116666666666667</v>
      </c>
      <c r="M130" s="3">
        <v>0.28333333333333333</v>
      </c>
      <c r="N130" s="4">
        <v>17</v>
      </c>
      <c r="O130" s="2">
        <v>1.5393518518518519E-3</v>
      </c>
      <c r="P130" s="9">
        <v>290.38333333333333</v>
      </c>
      <c r="Q130" s="3">
        <v>2.2166666666666668</v>
      </c>
      <c r="R130" s="4">
        <v>133</v>
      </c>
      <c r="S130" s="3">
        <v>100</v>
      </c>
      <c r="T130" s="1">
        <v>0.76519999999999999</v>
      </c>
      <c r="U130" s="6">
        <v>100.24119999999999</v>
      </c>
    </row>
    <row r="131" spans="1:21" x14ac:dyDescent="0.35">
      <c r="A131">
        <v>130</v>
      </c>
      <c r="B131" s="5">
        <v>44326</v>
      </c>
      <c r="C131" s="4">
        <v>2021</v>
      </c>
      <c r="D131" s="4">
        <v>5</v>
      </c>
      <c r="E131" s="14">
        <v>44326</v>
      </c>
      <c r="F131" s="4">
        <v>10</v>
      </c>
      <c r="G131">
        <v>167</v>
      </c>
      <c r="H131">
        <v>165</v>
      </c>
      <c r="I131" s="13">
        <v>0.98</v>
      </c>
      <c r="J131">
        <v>2</v>
      </c>
      <c r="K131" s="2">
        <v>1.0416666666666667E-4</v>
      </c>
      <c r="L131" s="11">
        <v>24.75</v>
      </c>
      <c r="M131" s="3">
        <v>0.15</v>
      </c>
      <c r="N131" s="4">
        <v>9</v>
      </c>
      <c r="O131" s="2">
        <v>1.4583333333333334E-3</v>
      </c>
      <c r="P131" s="9">
        <v>346.5</v>
      </c>
      <c r="Q131" s="3">
        <v>2.1</v>
      </c>
      <c r="R131" s="4">
        <v>126</v>
      </c>
      <c r="S131" s="3">
        <v>151</v>
      </c>
      <c r="T131" s="1">
        <v>0.92120000000000002</v>
      </c>
      <c r="U131" s="6">
        <v>151.99799999999999</v>
      </c>
    </row>
    <row r="132" spans="1:21" x14ac:dyDescent="0.35">
      <c r="A132">
        <v>131</v>
      </c>
      <c r="B132" s="5">
        <v>44327</v>
      </c>
      <c r="C132" s="4">
        <v>2021</v>
      </c>
      <c r="D132" s="4">
        <v>5</v>
      </c>
      <c r="E132" s="14">
        <v>44327</v>
      </c>
      <c r="F132" s="4">
        <v>11</v>
      </c>
      <c r="G132">
        <v>85</v>
      </c>
      <c r="H132">
        <v>79</v>
      </c>
      <c r="I132" s="13">
        <v>0.92</v>
      </c>
      <c r="J132">
        <v>6</v>
      </c>
      <c r="K132" s="2">
        <v>2.0833333333333335E-4</v>
      </c>
      <c r="L132" s="11">
        <v>23.7</v>
      </c>
      <c r="M132" s="3">
        <v>0.3</v>
      </c>
      <c r="N132" s="4">
        <v>18</v>
      </c>
      <c r="O132" s="2">
        <v>1.6782407407407408E-3</v>
      </c>
      <c r="P132" s="9">
        <v>190.91666666666666</v>
      </c>
      <c r="Q132" s="3">
        <v>2.4166666666666665</v>
      </c>
      <c r="R132" s="4">
        <v>145</v>
      </c>
      <c r="S132" s="3">
        <v>61</v>
      </c>
      <c r="T132" s="1">
        <v>0.77380000000000004</v>
      </c>
      <c r="U132" s="6">
        <v>61.130200000000002</v>
      </c>
    </row>
    <row r="133" spans="1:21" x14ac:dyDescent="0.35">
      <c r="A133">
        <v>132</v>
      </c>
      <c r="B133" s="5">
        <v>44328</v>
      </c>
      <c r="C133" s="4">
        <v>2021</v>
      </c>
      <c r="D133" s="4">
        <v>5</v>
      </c>
      <c r="E133" s="14">
        <v>44328</v>
      </c>
      <c r="F133" s="4">
        <v>12</v>
      </c>
      <c r="G133">
        <v>244</v>
      </c>
      <c r="H133">
        <v>236</v>
      </c>
      <c r="I133" s="13">
        <v>0.96</v>
      </c>
      <c r="J133">
        <v>8</v>
      </c>
      <c r="K133" s="2">
        <v>2.4305555555555555E-4</v>
      </c>
      <c r="L133" s="11">
        <v>82.6</v>
      </c>
      <c r="M133" s="3">
        <v>0.35</v>
      </c>
      <c r="N133" s="4">
        <v>21</v>
      </c>
      <c r="O133" s="2">
        <v>1.724537037037037E-3</v>
      </c>
      <c r="P133" s="9">
        <v>586.06666666666672</v>
      </c>
      <c r="Q133" s="3">
        <v>2.4833333333333334</v>
      </c>
      <c r="R133" s="4">
        <v>149</v>
      </c>
      <c r="S133" s="3">
        <v>178</v>
      </c>
      <c r="T133" s="1">
        <v>0.75619999999999998</v>
      </c>
      <c r="U133" s="6">
        <v>178.4632</v>
      </c>
    </row>
    <row r="134" spans="1:21" x14ac:dyDescent="0.35">
      <c r="A134">
        <v>133</v>
      </c>
      <c r="B134" s="5">
        <v>44329</v>
      </c>
      <c r="C134" s="4">
        <v>2021</v>
      </c>
      <c r="D134" s="4">
        <v>5</v>
      </c>
      <c r="E134" s="14">
        <v>44329</v>
      </c>
      <c r="F134" s="4">
        <v>13</v>
      </c>
      <c r="G134">
        <v>186</v>
      </c>
      <c r="H134">
        <v>182</v>
      </c>
      <c r="I134" s="13">
        <v>0.97</v>
      </c>
      <c r="J134">
        <v>4</v>
      </c>
      <c r="K134" s="2">
        <v>1.6203703703703703E-4</v>
      </c>
      <c r="L134" s="11">
        <v>42.466666666666669</v>
      </c>
      <c r="M134" s="3">
        <v>0.23333333333333334</v>
      </c>
      <c r="N134" s="4">
        <v>14</v>
      </c>
      <c r="O134" s="2">
        <v>1.5393518518518519E-3</v>
      </c>
      <c r="P134" s="9">
        <v>403.43333333333334</v>
      </c>
      <c r="Q134" s="3">
        <v>2.2166666666666668</v>
      </c>
      <c r="R134" s="4">
        <v>133</v>
      </c>
      <c r="S134" s="3">
        <v>143</v>
      </c>
      <c r="T134" s="1">
        <v>0.7903</v>
      </c>
      <c r="U134" s="6">
        <v>143.83459999999999</v>
      </c>
    </row>
    <row r="135" spans="1:21" x14ac:dyDescent="0.35">
      <c r="A135">
        <v>134</v>
      </c>
      <c r="B135" s="5">
        <v>44330</v>
      </c>
      <c r="C135" s="4">
        <v>2021</v>
      </c>
      <c r="D135" s="4">
        <v>5</v>
      </c>
      <c r="E135" s="14">
        <v>44330</v>
      </c>
      <c r="F135" s="4">
        <v>14</v>
      </c>
      <c r="G135">
        <v>278</v>
      </c>
      <c r="H135">
        <v>264</v>
      </c>
      <c r="I135" s="13">
        <v>0.94</v>
      </c>
      <c r="J135">
        <v>14</v>
      </c>
      <c r="K135" s="2">
        <v>2.199074074074074E-4</v>
      </c>
      <c r="L135" s="11">
        <v>83.6</v>
      </c>
      <c r="M135" s="3">
        <v>0.31666666666666665</v>
      </c>
      <c r="N135" s="4">
        <v>19</v>
      </c>
      <c r="O135" s="2">
        <v>1.6203703703703703E-3</v>
      </c>
      <c r="P135" s="9">
        <v>616</v>
      </c>
      <c r="Q135" s="3">
        <v>2.3333333333333335</v>
      </c>
      <c r="R135" s="4">
        <v>140</v>
      </c>
      <c r="S135" s="3">
        <v>202</v>
      </c>
      <c r="T135" s="1">
        <v>0.76839999999999997</v>
      </c>
      <c r="U135" s="6">
        <v>202.85759999999999</v>
      </c>
    </row>
    <row r="136" spans="1:21" x14ac:dyDescent="0.35">
      <c r="A136">
        <v>135</v>
      </c>
      <c r="B136" s="5">
        <v>44331</v>
      </c>
      <c r="C136" s="4">
        <v>2021</v>
      </c>
      <c r="D136" s="4">
        <v>5</v>
      </c>
      <c r="E136" s="14">
        <v>44331</v>
      </c>
      <c r="F136" s="4">
        <v>15</v>
      </c>
      <c r="G136">
        <v>272</v>
      </c>
      <c r="H136">
        <v>268</v>
      </c>
      <c r="I136" s="13">
        <v>0.98</v>
      </c>
      <c r="J136">
        <v>4</v>
      </c>
      <c r="K136" s="2">
        <v>1.7361111111111112E-4</v>
      </c>
      <c r="L136" s="11">
        <v>67</v>
      </c>
      <c r="M136" s="3">
        <v>0.25</v>
      </c>
      <c r="N136" s="4">
        <v>15</v>
      </c>
      <c r="O136" s="2">
        <v>1.736111111111111E-3</v>
      </c>
      <c r="P136" s="9">
        <v>670</v>
      </c>
      <c r="Q136" s="3">
        <v>2.5</v>
      </c>
      <c r="R136" s="4">
        <v>150</v>
      </c>
      <c r="S136" s="3">
        <v>214</v>
      </c>
      <c r="T136" s="1">
        <v>0.8</v>
      </c>
      <c r="U136" s="6">
        <v>214.4</v>
      </c>
    </row>
    <row r="137" spans="1:21" x14ac:dyDescent="0.35">
      <c r="A137">
        <v>136</v>
      </c>
      <c r="B137" s="5">
        <v>44332</v>
      </c>
      <c r="C137" s="4">
        <v>2021</v>
      </c>
      <c r="D137" s="4">
        <v>5</v>
      </c>
      <c r="E137" s="14">
        <v>44332</v>
      </c>
      <c r="F137" s="4">
        <v>16</v>
      </c>
      <c r="G137">
        <v>218</v>
      </c>
      <c r="H137">
        <v>206</v>
      </c>
      <c r="I137" s="13">
        <v>0.94</v>
      </c>
      <c r="J137">
        <v>12</v>
      </c>
      <c r="K137" s="2">
        <v>2.8935185185185184E-4</v>
      </c>
      <c r="L137" s="11">
        <v>85.833333333333343</v>
      </c>
      <c r="M137" s="3">
        <v>0.41666666666666669</v>
      </c>
      <c r="N137" s="4">
        <v>25</v>
      </c>
      <c r="O137" s="2">
        <v>1.6319444444444445E-3</v>
      </c>
      <c r="P137" s="9">
        <v>484.1</v>
      </c>
      <c r="Q137" s="3">
        <v>2.35</v>
      </c>
      <c r="R137" s="4">
        <v>141</v>
      </c>
      <c r="S137" s="3">
        <v>138</v>
      </c>
      <c r="T137" s="1">
        <v>0.67279999999999995</v>
      </c>
      <c r="U137" s="6">
        <v>138.5968</v>
      </c>
    </row>
    <row r="138" spans="1:21" x14ac:dyDescent="0.35">
      <c r="A138">
        <v>137</v>
      </c>
      <c r="B138" s="5">
        <v>44333</v>
      </c>
      <c r="C138" s="4">
        <v>2021</v>
      </c>
      <c r="D138" s="4">
        <v>5</v>
      </c>
      <c r="E138" s="14">
        <v>44333</v>
      </c>
      <c r="F138" s="4">
        <v>17</v>
      </c>
      <c r="G138">
        <v>152</v>
      </c>
      <c r="H138">
        <v>148</v>
      </c>
      <c r="I138" s="13">
        <v>0.97</v>
      </c>
      <c r="J138">
        <v>4</v>
      </c>
      <c r="K138" s="2">
        <v>1.6203703703703703E-4</v>
      </c>
      <c r="L138" s="11">
        <v>34.533333333333331</v>
      </c>
      <c r="M138" s="3">
        <v>0.23333333333333334</v>
      </c>
      <c r="N138" s="4">
        <v>14</v>
      </c>
      <c r="O138" s="2">
        <v>1.5972222222222223E-3</v>
      </c>
      <c r="P138" s="9">
        <v>340.4</v>
      </c>
      <c r="Q138" s="3">
        <v>2.2999999999999998</v>
      </c>
      <c r="R138" s="4">
        <v>138</v>
      </c>
      <c r="S138" s="3">
        <v>123</v>
      </c>
      <c r="T138" s="1">
        <v>0.83330000000000004</v>
      </c>
      <c r="U138" s="6">
        <v>123.3284</v>
      </c>
    </row>
    <row r="139" spans="1:21" x14ac:dyDescent="0.35">
      <c r="A139">
        <v>138</v>
      </c>
      <c r="B139" s="5">
        <v>44334</v>
      </c>
      <c r="C139" s="4">
        <v>2021</v>
      </c>
      <c r="D139" s="4">
        <v>5</v>
      </c>
      <c r="E139" s="14">
        <v>44334</v>
      </c>
      <c r="F139" s="4">
        <v>18</v>
      </c>
      <c r="G139">
        <v>48</v>
      </c>
      <c r="H139">
        <v>43</v>
      </c>
      <c r="I139" s="13">
        <v>0.89</v>
      </c>
      <c r="J139">
        <v>5</v>
      </c>
      <c r="K139" s="2">
        <v>2.5462962962962961E-4</v>
      </c>
      <c r="L139" s="11">
        <v>15.766666666666666</v>
      </c>
      <c r="M139" s="3">
        <v>0.36666666666666664</v>
      </c>
      <c r="N139" s="4">
        <v>22</v>
      </c>
      <c r="O139" s="2">
        <v>1.4004629629629629E-3</v>
      </c>
      <c r="P139" s="9">
        <v>86.716666666666669</v>
      </c>
      <c r="Q139" s="3">
        <v>2.0166666666666666</v>
      </c>
      <c r="R139" s="4">
        <v>121</v>
      </c>
      <c r="S139" s="3">
        <v>29</v>
      </c>
      <c r="T139" s="1">
        <v>0.69569999999999999</v>
      </c>
      <c r="U139" s="6">
        <v>29.915099999999999</v>
      </c>
    </row>
    <row r="140" spans="1:21" x14ac:dyDescent="0.35">
      <c r="A140">
        <v>139</v>
      </c>
      <c r="B140" s="5">
        <v>44335</v>
      </c>
      <c r="C140" s="4">
        <v>2021</v>
      </c>
      <c r="D140" s="4">
        <v>5</v>
      </c>
      <c r="E140" s="14">
        <v>44335</v>
      </c>
      <c r="F140" s="4">
        <v>19</v>
      </c>
      <c r="G140">
        <v>186</v>
      </c>
      <c r="H140">
        <v>181</v>
      </c>
      <c r="I140" s="13">
        <v>0.97</v>
      </c>
      <c r="J140">
        <v>5</v>
      </c>
      <c r="K140" s="2">
        <v>1.6203703703703703E-4</v>
      </c>
      <c r="L140" s="11">
        <v>42.233333333333334</v>
      </c>
      <c r="M140" s="3">
        <v>0.23333333333333334</v>
      </c>
      <c r="N140" s="4">
        <v>14</v>
      </c>
      <c r="O140" s="2">
        <v>1.6203703703703703E-3</v>
      </c>
      <c r="P140" s="9">
        <v>422.33333333333337</v>
      </c>
      <c r="Q140" s="3">
        <v>2.3333333333333335</v>
      </c>
      <c r="R140" s="4">
        <v>140</v>
      </c>
      <c r="S140" s="3">
        <v>153</v>
      </c>
      <c r="T140" s="1">
        <v>0.84950000000000003</v>
      </c>
      <c r="U140" s="6">
        <v>153.7595</v>
      </c>
    </row>
    <row r="141" spans="1:21" x14ac:dyDescent="0.35">
      <c r="A141">
        <v>140</v>
      </c>
      <c r="B141" s="5">
        <v>44336</v>
      </c>
      <c r="C141" s="4">
        <v>2021</v>
      </c>
      <c r="D141" s="4">
        <v>5</v>
      </c>
      <c r="E141" s="14">
        <v>44336</v>
      </c>
      <c r="F141" s="4">
        <v>20</v>
      </c>
      <c r="G141">
        <v>182</v>
      </c>
      <c r="H141">
        <v>180</v>
      </c>
      <c r="I141" s="13">
        <v>0.98</v>
      </c>
      <c r="J141">
        <v>2</v>
      </c>
      <c r="K141" s="2">
        <v>9.2592592592592588E-5</v>
      </c>
      <c r="L141" s="11">
        <v>24</v>
      </c>
      <c r="M141" s="3">
        <v>0.13333333333333333</v>
      </c>
      <c r="N141" s="4">
        <v>8</v>
      </c>
      <c r="O141" s="2">
        <v>1.5046296296296296E-3</v>
      </c>
      <c r="P141" s="9">
        <v>390</v>
      </c>
      <c r="Q141" s="3">
        <v>2.1666666666666665</v>
      </c>
      <c r="R141" s="4">
        <v>130</v>
      </c>
      <c r="S141" s="3">
        <v>168</v>
      </c>
      <c r="T141" s="1">
        <v>0.93369999999999997</v>
      </c>
      <c r="U141" s="6">
        <v>168.066</v>
      </c>
    </row>
    <row r="142" spans="1:21" x14ac:dyDescent="0.35">
      <c r="A142">
        <v>141</v>
      </c>
      <c r="B142" s="5">
        <v>44337</v>
      </c>
      <c r="C142" s="4">
        <v>2021</v>
      </c>
      <c r="D142" s="4">
        <v>5</v>
      </c>
      <c r="E142" s="14">
        <v>44337</v>
      </c>
      <c r="F142" s="4">
        <v>21</v>
      </c>
      <c r="G142">
        <v>192</v>
      </c>
      <c r="H142">
        <v>188</v>
      </c>
      <c r="I142" s="13">
        <v>0.97</v>
      </c>
      <c r="J142">
        <v>4</v>
      </c>
      <c r="K142" s="2">
        <v>2.3148148148148149E-4</v>
      </c>
      <c r="L142" s="11">
        <v>62.666666666666664</v>
      </c>
      <c r="M142" s="3">
        <v>0.33333333333333331</v>
      </c>
      <c r="N142" s="4">
        <v>20</v>
      </c>
      <c r="O142" s="2">
        <v>1.3657407407407407E-3</v>
      </c>
      <c r="P142" s="9">
        <v>369.73333333333335</v>
      </c>
      <c r="Q142" s="3">
        <v>1.9666666666666668</v>
      </c>
      <c r="R142" s="4">
        <v>118</v>
      </c>
      <c r="S142" s="3">
        <v>143</v>
      </c>
      <c r="T142" s="1">
        <v>0.76190000000000002</v>
      </c>
      <c r="U142" s="6">
        <v>143.2372</v>
      </c>
    </row>
    <row r="143" spans="1:21" x14ac:dyDescent="0.35">
      <c r="A143">
        <v>142</v>
      </c>
      <c r="B143" s="5">
        <v>44338</v>
      </c>
      <c r="C143" s="4">
        <v>2021</v>
      </c>
      <c r="D143" s="4">
        <v>5</v>
      </c>
      <c r="E143" s="14">
        <v>44338</v>
      </c>
      <c r="F143" s="4">
        <v>22</v>
      </c>
      <c r="G143">
        <v>155</v>
      </c>
      <c r="H143">
        <v>148</v>
      </c>
      <c r="I143" s="13">
        <v>0.95</v>
      </c>
      <c r="J143">
        <v>7</v>
      </c>
      <c r="K143" s="2">
        <v>1.6203703703703703E-4</v>
      </c>
      <c r="L143" s="11">
        <v>34.533333333333331</v>
      </c>
      <c r="M143" s="3">
        <v>0.23333333333333334</v>
      </c>
      <c r="N143" s="4">
        <v>14</v>
      </c>
      <c r="O143" s="2">
        <v>1.6666666666666668E-3</v>
      </c>
      <c r="P143" s="9">
        <v>355.2</v>
      </c>
      <c r="Q143" s="3">
        <v>2.4</v>
      </c>
      <c r="R143" s="4">
        <v>144</v>
      </c>
      <c r="S143" s="3">
        <v>126</v>
      </c>
      <c r="T143" s="1">
        <v>0.85329999999999995</v>
      </c>
      <c r="U143" s="6">
        <v>126.2884</v>
      </c>
    </row>
    <row r="144" spans="1:21" x14ac:dyDescent="0.35">
      <c r="A144">
        <v>143</v>
      </c>
      <c r="B144" s="5">
        <v>44339</v>
      </c>
      <c r="C144" s="4">
        <v>2021</v>
      </c>
      <c r="D144" s="4">
        <v>5</v>
      </c>
      <c r="E144" s="14">
        <v>44339</v>
      </c>
      <c r="F144" s="4">
        <v>23</v>
      </c>
      <c r="G144">
        <v>144</v>
      </c>
      <c r="H144">
        <v>142</v>
      </c>
      <c r="I144" s="13">
        <v>0.98</v>
      </c>
      <c r="J144">
        <v>2</v>
      </c>
      <c r="K144" s="2">
        <v>1.273148148148148E-4</v>
      </c>
      <c r="L144" s="11">
        <v>26.033333333333331</v>
      </c>
      <c r="M144" s="3">
        <v>0.18333333333333332</v>
      </c>
      <c r="N144" s="4">
        <v>11</v>
      </c>
      <c r="O144" s="2">
        <v>1.6087962962962963E-3</v>
      </c>
      <c r="P144" s="9">
        <v>328.96666666666664</v>
      </c>
      <c r="Q144" s="3">
        <v>2.3166666666666664</v>
      </c>
      <c r="R144" s="4">
        <v>139</v>
      </c>
      <c r="S144" s="3">
        <v>128</v>
      </c>
      <c r="T144" s="1">
        <v>0.90210000000000001</v>
      </c>
      <c r="U144" s="6">
        <v>128.09819999999999</v>
      </c>
    </row>
    <row r="145" spans="1:21" x14ac:dyDescent="0.35">
      <c r="A145">
        <v>144</v>
      </c>
      <c r="B145" s="5">
        <v>44340</v>
      </c>
      <c r="C145" s="4">
        <v>2021</v>
      </c>
      <c r="D145" s="4">
        <v>5</v>
      </c>
      <c r="E145" s="14">
        <v>44340</v>
      </c>
      <c r="F145" s="4">
        <v>24</v>
      </c>
      <c r="G145">
        <v>164</v>
      </c>
      <c r="H145">
        <v>162</v>
      </c>
      <c r="I145" s="13">
        <v>0.98</v>
      </c>
      <c r="J145">
        <v>2</v>
      </c>
      <c r="K145" s="2">
        <v>1.3888888888888889E-4</v>
      </c>
      <c r="L145" s="11">
        <v>32.4</v>
      </c>
      <c r="M145" s="3">
        <v>0.2</v>
      </c>
      <c r="N145" s="4">
        <v>12</v>
      </c>
      <c r="O145" s="2">
        <v>1.7939814814814815E-3</v>
      </c>
      <c r="P145" s="9">
        <v>418.5</v>
      </c>
      <c r="Q145" s="3">
        <v>2.5833333333333335</v>
      </c>
      <c r="R145" s="4">
        <v>155</v>
      </c>
      <c r="S145" s="3">
        <v>138</v>
      </c>
      <c r="T145" s="1">
        <v>0.85370000000000001</v>
      </c>
      <c r="U145" s="6">
        <v>138.29939999999999</v>
      </c>
    </row>
    <row r="146" spans="1:21" x14ac:dyDescent="0.35">
      <c r="A146">
        <v>145</v>
      </c>
      <c r="B146" s="5">
        <v>44341</v>
      </c>
      <c r="C146" s="4">
        <v>2021</v>
      </c>
      <c r="D146" s="4">
        <v>5</v>
      </c>
      <c r="E146" s="14">
        <v>44341</v>
      </c>
      <c r="F146" s="4">
        <v>25</v>
      </c>
      <c r="G146">
        <v>27</v>
      </c>
      <c r="H146">
        <v>26</v>
      </c>
      <c r="I146" s="13">
        <v>0.96</v>
      </c>
      <c r="J146">
        <v>1</v>
      </c>
      <c r="K146" s="2">
        <v>1.273148148148148E-4</v>
      </c>
      <c r="L146" s="11">
        <v>4.7666666666666666</v>
      </c>
      <c r="M146" s="3">
        <v>0.18333333333333332</v>
      </c>
      <c r="N146" s="4">
        <v>11</v>
      </c>
      <c r="O146" s="2">
        <v>1.4351851851851852E-3</v>
      </c>
      <c r="P146" s="9">
        <v>53.733333333333341</v>
      </c>
      <c r="Q146" s="3">
        <v>2.0666666666666669</v>
      </c>
      <c r="R146" s="4">
        <v>124.00000000000001</v>
      </c>
      <c r="S146" s="3">
        <v>21</v>
      </c>
      <c r="T146" s="1">
        <v>0.81479999999999997</v>
      </c>
      <c r="U146" s="6">
        <v>21.184799999999999</v>
      </c>
    </row>
    <row r="147" spans="1:21" x14ac:dyDescent="0.35">
      <c r="A147">
        <v>146</v>
      </c>
      <c r="B147" s="5">
        <v>44342</v>
      </c>
      <c r="C147" s="4">
        <v>2021</v>
      </c>
      <c r="D147" s="4">
        <v>5</v>
      </c>
      <c r="E147" s="14">
        <v>44342</v>
      </c>
      <c r="F147" s="4">
        <v>26</v>
      </c>
      <c r="G147">
        <v>177</v>
      </c>
      <c r="H147">
        <v>175</v>
      </c>
      <c r="I147" s="13">
        <v>0.98</v>
      </c>
      <c r="J147">
        <v>2</v>
      </c>
      <c r="K147" s="2">
        <v>1.273148148148148E-4</v>
      </c>
      <c r="L147" s="11">
        <v>32.083333333333329</v>
      </c>
      <c r="M147" s="3">
        <v>0.18333333333333332</v>
      </c>
      <c r="N147" s="4">
        <v>11</v>
      </c>
      <c r="O147" s="2">
        <v>1.6087962962962963E-3</v>
      </c>
      <c r="P147" s="9">
        <v>405.41666666666663</v>
      </c>
      <c r="Q147" s="3">
        <v>2.3166666666666664</v>
      </c>
      <c r="R147" s="4">
        <v>139</v>
      </c>
      <c r="S147" s="3">
        <v>159</v>
      </c>
      <c r="T147" s="1">
        <v>0.90859999999999996</v>
      </c>
      <c r="U147" s="6">
        <v>159.005</v>
      </c>
    </row>
    <row r="148" spans="1:21" x14ac:dyDescent="0.35">
      <c r="A148">
        <v>147</v>
      </c>
      <c r="B148" s="5">
        <v>44343</v>
      </c>
      <c r="C148" s="4">
        <v>2021</v>
      </c>
      <c r="D148" s="4">
        <v>5</v>
      </c>
      <c r="E148" s="14">
        <v>44343</v>
      </c>
      <c r="F148" s="4">
        <v>27</v>
      </c>
      <c r="G148">
        <v>134</v>
      </c>
      <c r="H148">
        <v>131</v>
      </c>
      <c r="I148" s="13">
        <v>0.97</v>
      </c>
      <c r="J148">
        <v>3</v>
      </c>
      <c r="K148" s="2">
        <v>1.6203703703703703E-4</v>
      </c>
      <c r="L148" s="11">
        <v>30.566666666666666</v>
      </c>
      <c r="M148" s="3">
        <v>0.23333333333333334</v>
      </c>
      <c r="N148" s="4">
        <v>14</v>
      </c>
      <c r="O148" s="2">
        <v>1.6550925925925926E-3</v>
      </c>
      <c r="P148" s="9">
        <v>312.21666666666664</v>
      </c>
      <c r="Q148" s="3">
        <v>2.3833333333333333</v>
      </c>
      <c r="R148" s="4">
        <v>143</v>
      </c>
      <c r="S148" s="3">
        <v>106</v>
      </c>
      <c r="T148" s="1">
        <v>0.81340000000000001</v>
      </c>
      <c r="U148" s="6">
        <v>106.55540000000001</v>
      </c>
    </row>
    <row r="149" spans="1:21" x14ac:dyDescent="0.35">
      <c r="A149">
        <v>148</v>
      </c>
      <c r="B149" s="5">
        <v>44344</v>
      </c>
      <c r="C149" s="4">
        <v>2021</v>
      </c>
      <c r="D149" s="4">
        <v>5</v>
      </c>
      <c r="E149" s="14">
        <v>44344</v>
      </c>
      <c r="F149" s="4">
        <v>28</v>
      </c>
      <c r="G149">
        <v>125</v>
      </c>
      <c r="H149">
        <v>120</v>
      </c>
      <c r="I149" s="13">
        <v>0.96</v>
      </c>
      <c r="J149">
        <v>5</v>
      </c>
      <c r="K149" s="2">
        <v>1.6203703703703703E-4</v>
      </c>
      <c r="L149" s="11">
        <v>28</v>
      </c>
      <c r="M149" s="3">
        <v>0.23333333333333334</v>
      </c>
      <c r="N149" s="4">
        <v>14</v>
      </c>
      <c r="O149" s="2">
        <v>1.6203703703703703E-3</v>
      </c>
      <c r="P149" s="9">
        <v>280</v>
      </c>
      <c r="Q149" s="3">
        <v>2.3333333333333335</v>
      </c>
      <c r="R149" s="4">
        <v>140</v>
      </c>
      <c r="S149" s="3">
        <v>101</v>
      </c>
      <c r="T149" s="1">
        <v>0.84550000000000003</v>
      </c>
      <c r="U149" s="6">
        <v>101.46000000000001</v>
      </c>
    </row>
    <row r="150" spans="1:21" x14ac:dyDescent="0.35">
      <c r="A150">
        <v>149</v>
      </c>
      <c r="B150" s="5">
        <v>44345</v>
      </c>
      <c r="C150" s="4">
        <v>2021</v>
      </c>
      <c r="D150" s="4">
        <v>5</v>
      </c>
      <c r="E150" s="14">
        <v>44345</v>
      </c>
      <c r="F150" s="4">
        <v>29</v>
      </c>
      <c r="G150">
        <v>167</v>
      </c>
      <c r="H150">
        <v>163</v>
      </c>
      <c r="I150" s="13">
        <v>0.97</v>
      </c>
      <c r="J150">
        <v>4</v>
      </c>
      <c r="K150" s="2">
        <v>1.8518518518518518E-4</v>
      </c>
      <c r="L150" s="11">
        <v>43.466666666666669</v>
      </c>
      <c r="M150" s="3">
        <v>0.26666666666666666</v>
      </c>
      <c r="N150" s="4">
        <v>16</v>
      </c>
      <c r="O150" s="2">
        <v>1.6666666666666668E-3</v>
      </c>
      <c r="P150" s="9">
        <v>391.2</v>
      </c>
      <c r="Q150" s="3">
        <v>2.4</v>
      </c>
      <c r="R150" s="4">
        <v>144</v>
      </c>
      <c r="S150" s="3">
        <v>132</v>
      </c>
      <c r="T150" s="1">
        <v>0.81210000000000004</v>
      </c>
      <c r="U150" s="6">
        <v>132.3723</v>
      </c>
    </row>
    <row r="151" spans="1:21" x14ac:dyDescent="0.35">
      <c r="A151">
        <v>150</v>
      </c>
      <c r="B151" s="5">
        <v>44346</v>
      </c>
      <c r="C151" s="4">
        <v>2021</v>
      </c>
      <c r="D151" s="4">
        <v>5</v>
      </c>
      <c r="E151" s="14">
        <v>44346</v>
      </c>
      <c r="F151" s="4">
        <v>30</v>
      </c>
      <c r="G151">
        <v>169</v>
      </c>
      <c r="H151">
        <v>167</v>
      </c>
      <c r="I151" s="13">
        <v>0.98</v>
      </c>
      <c r="J151">
        <v>2</v>
      </c>
      <c r="K151" s="2">
        <v>1.0416666666666667E-4</v>
      </c>
      <c r="L151" s="11">
        <v>25.05</v>
      </c>
      <c r="M151" s="3">
        <v>0.15</v>
      </c>
      <c r="N151" s="4">
        <v>9</v>
      </c>
      <c r="O151" s="2">
        <v>1.5509259259259259E-3</v>
      </c>
      <c r="P151" s="9">
        <v>372.9666666666667</v>
      </c>
      <c r="Q151" s="3">
        <v>2.2333333333333334</v>
      </c>
      <c r="R151" s="4">
        <v>134</v>
      </c>
      <c r="S151" s="3">
        <v>150</v>
      </c>
      <c r="T151" s="1">
        <v>0.89939999999999998</v>
      </c>
      <c r="U151" s="6">
        <v>150.19979999999998</v>
      </c>
    </row>
    <row r="152" spans="1:21" x14ac:dyDescent="0.35">
      <c r="A152">
        <v>151</v>
      </c>
      <c r="B152" s="5">
        <v>44347</v>
      </c>
      <c r="C152" s="4">
        <v>2021</v>
      </c>
      <c r="D152" s="4">
        <v>5</v>
      </c>
      <c r="E152" s="14">
        <v>44347</v>
      </c>
      <c r="F152" s="4">
        <v>31</v>
      </c>
      <c r="G152">
        <v>162</v>
      </c>
      <c r="H152">
        <v>160</v>
      </c>
      <c r="I152" s="13">
        <v>0.98</v>
      </c>
      <c r="J152">
        <v>2</v>
      </c>
      <c r="K152" s="2">
        <v>1.8518518518518518E-4</v>
      </c>
      <c r="L152" s="11">
        <v>42.666666666666664</v>
      </c>
      <c r="M152" s="3">
        <v>0.26666666666666666</v>
      </c>
      <c r="N152" s="4">
        <v>16</v>
      </c>
      <c r="O152" s="2">
        <v>1.5625000000000001E-3</v>
      </c>
      <c r="P152" s="9">
        <v>360</v>
      </c>
      <c r="Q152" s="3">
        <v>2.25</v>
      </c>
      <c r="R152" s="4">
        <v>135</v>
      </c>
      <c r="S152" s="3">
        <v>133</v>
      </c>
      <c r="T152" s="1">
        <v>0.83130000000000004</v>
      </c>
      <c r="U152" s="6">
        <v>133.00800000000001</v>
      </c>
    </row>
    <row r="153" spans="1:21" x14ac:dyDescent="0.35">
      <c r="A153">
        <v>152</v>
      </c>
      <c r="B153" s="5">
        <v>44348</v>
      </c>
      <c r="C153" s="4">
        <v>2021</v>
      </c>
      <c r="D153" s="4">
        <v>6</v>
      </c>
      <c r="E153" s="14">
        <v>44348</v>
      </c>
      <c r="F153" s="4">
        <v>1</v>
      </c>
      <c r="G153">
        <v>25</v>
      </c>
      <c r="H153">
        <v>25</v>
      </c>
      <c r="I153" s="13">
        <v>1</v>
      </c>
      <c r="J153">
        <v>0</v>
      </c>
      <c r="K153" s="2">
        <v>1.8518518518518518E-4</v>
      </c>
      <c r="L153" s="11">
        <v>6.666666666666667</v>
      </c>
      <c r="M153" s="3">
        <v>0.26666666666666666</v>
      </c>
      <c r="N153" s="4">
        <v>16</v>
      </c>
      <c r="O153" s="2">
        <v>1.7939814814814815E-3</v>
      </c>
      <c r="P153" s="9">
        <v>64.583333333333343</v>
      </c>
      <c r="Q153" s="3">
        <v>2.5833333333333335</v>
      </c>
      <c r="R153" s="4">
        <v>155</v>
      </c>
      <c r="S153" s="3">
        <v>19</v>
      </c>
      <c r="T153" s="1">
        <v>0.76</v>
      </c>
      <c r="U153" s="6">
        <v>19</v>
      </c>
    </row>
    <row r="154" spans="1:21" x14ac:dyDescent="0.35">
      <c r="A154">
        <v>153</v>
      </c>
      <c r="B154" s="5">
        <v>44349</v>
      </c>
      <c r="C154" s="4">
        <v>2021</v>
      </c>
      <c r="D154" s="4">
        <v>6</v>
      </c>
      <c r="E154" s="14">
        <v>44349</v>
      </c>
      <c r="F154" s="4">
        <v>2</v>
      </c>
      <c r="G154">
        <v>157</v>
      </c>
      <c r="H154">
        <v>146</v>
      </c>
      <c r="I154" s="13">
        <v>0.92</v>
      </c>
      <c r="J154">
        <v>11</v>
      </c>
      <c r="K154" s="2">
        <v>1.9675925925925926E-4</v>
      </c>
      <c r="L154" s="11">
        <v>41.366666666666667</v>
      </c>
      <c r="M154" s="3">
        <v>0.28333333333333333</v>
      </c>
      <c r="N154" s="4">
        <v>17</v>
      </c>
      <c r="O154" s="2">
        <v>1.5856481481481481E-3</v>
      </c>
      <c r="P154" s="9">
        <v>333.36666666666667</v>
      </c>
      <c r="Q154" s="3">
        <v>2.2833333333333332</v>
      </c>
      <c r="R154" s="4">
        <v>137</v>
      </c>
      <c r="S154" s="3">
        <v>116</v>
      </c>
      <c r="T154" s="1">
        <v>0.7974</v>
      </c>
      <c r="U154" s="6">
        <v>116.4204</v>
      </c>
    </row>
    <row r="155" spans="1:21" x14ac:dyDescent="0.35">
      <c r="A155">
        <v>154</v>
      </c>
      <c r="B155" s="5">
        <v>44350</v>
      </c>
      <c r="C155" s="4">
        <v>2021</v>
      </c>
      <c r="D155" s="4">
        <v>6</v>
      </c>
      <c r="E155" s="14">
        <v>44350</v>
      </c>
      <c r="F155" s="4">
        <v>3</v>
      </c>
      <c r="G155">
        <v>166</v>
      </c>
      <c r="H155">
        <v>154</v>
      </c>
      <c r="I155" s="13">
        <v>0.92</v>
      </c>
      <c r="J155">
        <v>12</v>
      </c>
      <c r="K155" s="2">
        <v>2.8935185185185184E-4</v>
      </c>
      <c r="L155" s="11">
        <v>64.166666666666671</v>
      </c>
      <c r="M155" s="3">
        <v>0.41666666666666669</v>
      </c>
      <c r="N155" s="4">
        <v>25</v>
      </c>
      <c r="O155" s="2">
        <v>1.5972222222222223E-3</v>
      </c>
      <c r="P155" s="9">
        <v>354.2</v>
      </c>
      <c r="Q155" s="3">
        <v>2.2999999999999998</v>
      </c>
      <c r="R155" s="4">
        <v>138</v>
      </c>
      <c r="S155" s="3">
        <v>102</v>
      </c>
      <c r="T155" s="1">
        <v>0.66259999999999997</v>
      </c>
      <c r="U155" s="6">
        <v>102.04039999999999</v>
      </c>
    </row>
    <row r="156" spans="1:21" x14ac:dyDescent="0.35">
      <c r="A156">
        <v>155</v>
      </c>
      <c r="B156" s="5">
        <v>44351</v>
      </c>
      <c r="C156" s="4">
        <v>2021</v>
      </c>
      <c r="D156" s="4">
        <v>6</v>
      </c>
      <c r="E156" s="14">
        <v>44351</v>
      </c>
      <c r="F156" s="4">
        <v>4</v>
      </c>
      <c r="G156">
        <v>58</v>
      </c>
      <c r="H156">
        <v>55</v>
      </c>
      <c r="I156" s="13">
        <v>0.94</v>
      </c>
      <c r="J156">
        <v>3</v>
      </c>
      <c r="K156" s="2">
        <v>1.8518518518518518E-4</v>
      </c>
      <c r="L156" s="11">
        <v>14.666666666666666</v>
      </c>
      <c r="M156" s="3">
        <v>0.26666666666666666</v>
      </c>
      <c r="N156" s="4">
        <v>16</v>
      </c>
      <c r="O156" s="2">
        <v>1.5162037037037036E-3</v>
      </c>
      <c r="P156" s="9">
        <v>120.08333333333333</v>
      </c>
      <c r="Q156" s="3">
        <v>2.1833333333333331</v>
      </c>
      <c r="R156" s="4">
        <v>131</v>
      </c>
      <c r="S156" s="3">
        <v>40</v>
      </c>
      <c r="T156" s="1">
        <v>0.74139999999999995</v>
      </c>
      <c r="U156" s="6">
        <v>40.776999999999994</v>
      </c>
    </row>
    <row r="157" spans="1:21" x14ac:dyDescent="0.35">
      <c r="A157">
        <v>156</v>
      </c>
      <c r="B157" s="5">
        <v>44352</v>
      </c>
      <c r="C157" s="4">
        <v>2021</v>
      </c>
      <c r="D157" s="4">
        <v>6</v>
      </c>
      <c r="E157" s="14">
        <v>44352</v>
      </c>
      <c r="F157" s="4">
        <v>5</v>
      </c>
      <c r="G157">
        <v>75</v>
      </c>
      <c r="H157">
        <v>74</v>
      </c>
      <c r="I157" s="13">
        <v>0.98</v>
      </c>
      <c r="J157">
        <v>1</v>
      </c>
      <c r="K157" s="2">
        <v>1.7361111111111112E-4</v>
      </c>
      <c r="L157" s="11">
        <v>18.5</v>
      </c>
      <c r="M157" s="3">
        <v>0.25</v>
      </c>
      <c r="N157" s="4">
        <v>15</v>
      </c>
      <c r="O157" s="2">
        <v>1.5393518518518519E-3</v>
      </c>
      <c r="P157" s="9">
        <v>164.03333333333333</v>
      </c>
      <c r="Q157" s="3">
        <v>2.2166666666666668</v>
      </c>
      <c r="R157" s="4">
        <v>133</v>
      </c>
      <c r="S157" s="3">
        <v>62</v>
      </c>
      <c r="T157" s="1">
        <v>0.84</v>
      </c>
      <c r="U157" s="6">
        <v>62.16</v>
      </c>
    </row>
    <row r="158" spans="1:21" x14ac:dyDescent="0.35">
      <c r="A158">
        <v>157</v>
      </c>
      <c r="B158" s="5">
        <v>44353</v>
      </c>
      <c r="C158" s="4">
        <v>2021</v>
      </c>
      <c r="D158" s="4">
        <v>6</v>
      </c>
      <c r="E158" s="14">
        <v>44353</v>
      </c>
      <c r="F158" s="4">
        <v>6</v>
      </c>
      <c r="G158">
        <v>28</v>
      </c>
      <c r="H158">
        <v>28</v>
      </c>
      <c r="I158" s="13">
        <v>1</v>
      </c>
      <c r="J158">
        <v>0</v>
      </c>
      <c r="K158" s="2">
        <v>8.1018518518518516E-5</v>
      </c>
      <c r="L158" s="11">
        <v>3.2666666666666666</v>
      </c>
      <c r="M158" s="3">
        <v>0.11666666666666667</v>
      </c>
      <c r="N158" s="4">
        <v>7</v>
      </c>
      <c r="O158" s="2">
        <v>1.712962962962963E-3</v>
      </c>
      <c r="P158" s="9">
        <v>69.066666666666663</v>
      </c>
      <c r="Q158" s="3">
        <v>2.4666666666666668</v>
      </c>
      <c r="R158" s="4">
        <v>148</v>
      </c>
      <c r="S158" s="3">
        <v>27</v>
      </c>
      <c r="T158" s="1">
        <v>0.96430000000000005</v>
      </c>
      <c r="U158" s="6">
        <v>27.000400000000003</v>
      </c>
    </row>
    <row r="159" spans="1:21" x14ac:dyDescent="0.35">
      <c r="A159">
        <v>158</v>
      </c>
      <c r="B159" s="5">
        <v>44354</v>
      </c>
      <c r="C159" s="4">
        <v>2021</v>
      </c>
      <c r="D159" s="4">
        <v>6</v>
      </c>
      <c r="E159" s="14">
        <v>44354</v>
      </c>
      <c r="F159" s="4">
        <v>7</v>
      </c>
      <c r="G159">
        <v>108</v>
      </c>
      <c r="H159">
        <v>107</v>
      </c>
      <c r="I159" s="13">
        <v>0.99</v>
      </c>
      <c r="J159">
        <v>1</v>
      </c>
      <c r="K159" s="2">
        <v>1.0416666666666667E-4</v>
      </c>
      <c r="L159" s="11">
        <v>16.05</v>
      </c>
      <c r="M159" s="3">
        <v>0.15</v>
      </c>
      <c r="N159" s="4">
        <v>9</v>
      </c>
      <c r="O159" s="2">
        <v>1.5162037037037036E-3</v>
      </c>
      <c r="P159" s="9">
        <v>233.61666666666665</v>
      </c>
      <c r="Q159" s="3">
        <v>2.1833333333333331</v>
      </c>
      <c r="R159" s="4">
        <v>131</v>
      </c>
      <c r="S159" s="3">
        <v>101</v>
      </c>
      <c r="T159" s="1">
        <v>0.94440000000000002</v>
      </c>
      <c r="U159" s="6">
        <v>101.0508</v>
      </c>
    </row>
    <row r="160" spans="1:21" x14ac:dyDescent="0.35">
      <c r="A160">
        <v>159</v>
      </c>
      <c r="B160" s="5">
        <v>44355</v>
      </c>
      <c r="C160" s="4">
        <v>2021</v>
      </c>
      <c r="D160" s="4">
        <v>6</v>
      </c>
      <c r="E160" s="14">
        <v>44355</v>
      </c>
      <c r="F160" s="4">
        <v>8</v>
      </c>
      <c r="G160">
        <v>21</v>
      </c>
      <c r="H160">
        <v>21</v>
      </c>
      <c r="I160" s="13">
        <v>1</v>
      </c>
      <c r="J160">
        <v>0</v>
      </c>
      <c r="K160" s="2">
        <v>8.1018518518518516E-5</v>
      </c>
      <c r="L160" s="11">
        <v>2.4500000000000002</v>
      </c>
      <c r="M160" s="3">
        <v>0.11666666666666667</v>
      </c>
      <c r="N160" s="4">
        <v>7</v>
      </c>
      <c r="O160" s="2">
        <v>2.0601851851851853E-3</v>
      </c>
      <c r="P160" s="9">
        <v>62.300000000000004</v>
      </c>
      <c r="Q160" s="3">
        <v>2.9666666666666668</v>
      </c>
      <c r="R160" s="4">
        <v>178</v>
      </c>
      <c r="S160" s="3">
        <v>20</v>
      </c>
      <c r="T160" s="1">
        <v>0.95240000000000002</v>
      </c>
      <c r="U160" s="6">
        <v>20.000399999999999</v>
      </c>
    </row>
    <row r="161" spans="1:21" x14ac:dyDescent="0.35">
      <c r="A161">
        <v>160</v>
      </c>
      <c r="B161" s="5">
        <v>44356</v>
      </c>
      <c r="C161" s="4">
        <v>2021</v>
      </c>
      <c r="D161" s="4">
        <v>6</v>
      </c>
      <c r="E161" s="14">
        <v>44356</v>
      </c>
      <c r="F161" s="4">
        <v>9</v>
      </c>
      <c r="G161">
        <v>189</v>
      </c>
      <c r="H161">
        <v>182</v>
      </c>
      <c r="I161" s="13">
        <v>0.96</v>
      </c>
      <c r="J161">
        <v>7</v>
      </c>
      <c r="K161" s="2">
        <v>2.4305555555555555E-4</v>
      </c>
      <c r="L161" s="11">
        <v>63.699999999999996</v>
      </c>
      <c r="M161" s="3">
        <v>0.35</v>
      </c>
      <c r="N161" s="4">
        <v>21</v>
      </c>
      <c r="O161" s="2">
        <v>1.5046296296296296E-3</v>
      </c>
      <c r="P161" s="9">
        <v>394.33333333333331</v>
      </c>
      <c r="Q161" s="3">
        <v>2.1666666666666665</v>
      </c>
      <c r="R161" s="4">
        <v>130</v>
      </c>
      <c r="S161" s="3">
        <v>138</v>
      </c>
      <c r="T161" s="1">
        <v>0.76339999999999997</v>
      </c>
      <c r="U161" s="6">
        <v>138.93879999999999</v>
      </c>
    </row>
    <row r="162" spans="1:21" x14ac:dyDescent="0.35">
      <c r="A162">
        <v>161</v>
      </c>
      <c r="B162" s="5">
        <v>44357</v>
      </c>
      <c r="C162" s="4">
        <v>2021</v>
      </c>
      <c r="D162" s="4">
        <v>6</v>
      </c>
      <c r="E162" s="14">
        <v>44357</v>
      </c>
      <c r="F162" s="4">
        <v>10</v>
      </c>
      <c r="G162">
        <v>161</v>
      </c>
      <c r="H162">
        <v>155</v>
      </c>
      <c r="I162" s="13">
        <v>0.96</v>
      </c>
      <c r="J162">
        <v>6</v>
      </c>
      <c r="K162" s="2">
        <v>2.199074074074074E-4</v>
      </c>
      <c r="L162" s="11">
        <v>49.083333333333329</v>
      </c>
      <c r="M162" s="3">
        <v>0.31666666666666665</v>
      </c>
      <c r="N162" s="4">
        <v>19</v>
      </c>
      <c r="O162" s="2">
        <v>1.7013888888888888E-3</v>
      </c>
      <c r="P162" s="9">
        <v>379.75</v>
      </c>
      <c r="Q162" s="3">
        <v>2.4500000000000002</v>
      </c>
      <c r="R162" s="4">
        <v>147</v>
      </c>
      <c r="S162" s="3">
        <v>111</v>
      </c>
      <c r="T162" s="1">
        <v>0.71879999999999999</v>
      </c>
      <c r="U162" s="6">
        <v>111.414</v>
      </c>
    </row>
    <row r="163" spans="1:21" x14ac:dyDescent="0.35">
      <c r="A163">
        <v>162</v>
      </c>
      <c r="B163" s="5">
        <v>44358</v>
      </c>
      <c r="C163" s="4">
        <v>2021</v>
      </c>
      <c r="D163" s="4">
        <v>6</v>
      </c>
      <c r="E163" s="14">
        <v>44358</v>
      </c>
      <c r="F163" s="4">
        <v>11</v>
      </c>
      <c r="G163">
        <v>155</v>
      </c>
      <c r="H163">
        <v>151</v>
      </c>
      <c r="I163" s="13">
        <v>0.97</v>
      </c>
      <c r="J163">
        <v>4</v>
      </c>
      <c r="K163" s="2">
        <v>1.9675925925925926E-4</v>
      </c>
      <c r="L163" s="11">
        <v>42.783333333333331</v>
      </c>
      <c r="M163" s="3">
        <v>0.28333333333333333</v>
      </c>
      <c r="N163" s="4">
        <v>17</v>
      </c>
      <c r="O163" s="2">
        <v>1.6203703703703703E-3</v>
      </c>
      <c r="P163" s="9">
        <v>352.33333333333337</v>
      </c>
      <c r="Q163" s="3">
        <v>2.3333333333333335</v>
      </c>
      <c r="R163" s="4">
        <v>140</v>
      </c>
      <c r="S163" s="3">
        <v>121</v>
      </c>
      <c r="T163" s="1">
        <v>0.80520000000000003</v>
      </c>
      <c r="U163" s="6">
        <v>121.5852</v>
      </c>
    </row>
    <row r="164" spans="1:21" x14ac:dyDescent="0.35">
      <c r="A164">
        <v>163</v>
      </c>
      <c r="B164" s="5">
        <v>44359</v>
      </c>
      <c r="C164" s="4">
        <v>2021</v>
      </c>
      <c r="D164" s="4">
        <v>6</v>
      </c>
      <c r="E164" s="14">
        <v>44359</v>
      </c>
      <c r="F164" s="4">
        <v>12</v>
      </c>
      <c r="G164">
        <v>161</v>
      </c>
      <c r="H164">
        <v>150</v>
      </c>
      <c r="I164" s="13">
        <v>0.93</v>
      </c>
      <c r="J164">
        <v>11</v>
      </c>
      <c r="K164" s="2">
        <v>1.9675925925925926E-4</v>
      </c>
      <c r="L164" s="11">
        <v>42.5</v>
      </c>
      <c r="M164" s="3">
        <v>0.28333333333333333</v>
      </c>
      <c r="N164" s="4">
        <v>17</v>
      </c>
      <c r="O164" s="2">
        <v>1.6435185185185185E-3</v>
      </c>
      <c r="P164" s="9">
        <v>355</v>
      </c>
      <c r="Q164" s="3">
        <v>2.3666666666666667</v>
      </c>
      <c r="R164" s="4">
        <v>142</v>
      </c>
      <c r="S164" s="3">
        <v>112</v>
      </c>
      <c r="T164" s="1">
        <v>0.75319999999999998</v>
      </c>
      <c r="U164" s="6">
        <v>112.98</v>
      </c>
    </row>
    <row r="165" spans="1:21" x14ac:dyDescent="0.35">
      <c r="A165">
        <v>164</v>
      </c>
      <c r="B165" s="5">
        <v>44360</v>
      </c>
      <c r="C165" s="4">
        <v>2021</v>
      </c>
      <c r="D165" s="4">
        <v>6</v>
      </c>
      <c r="E165" s="14">
        <v>44360</v>
      </c>
      <c r="F165" s="4">
        <v>13</v>
      </c>
      <c r="G165">
        <v>132</v>
      </c>
      <c r="H165">
        <v>129</v>
      </c>
      <c r="I165" s="13">
        <v>0.97</v>
      </c>
      <c r="J165">
        <v>3</v>
      </c>
      <c r="K165" s="2">
        <v>3.1250000000000001E-4</v>
      </c>
      <c r="L165" s="11">
        <v>58.050000000000004</v>
      </c>
      <c r="M165" s="3">
        <v>0.45</v>
      </c>
      <c r="N165" s="4">
        <v>27</v>
      </c>
      <c r="O165" s="2">
        <v>1.6435185185185185E-3</v>
      </c>
      <c r="P165" s="9">
        <v>305.3</v>
      </c>
      <c r="Q165" s="3">
        <v>2.3666666666666667</v>
      </c>
      <c r="R165" s="4">
        <v>142</v>
      </c>
      <c r="S165" s="3">
        <v>84</v>
      </c>
      <c r="T165" s="1">
        <v>0.65149999999999997</v>
      </c>
      <c r="U165" s="6">
        <v>84.043499999999995</v>
      </c>
    </row>
    <row r="166" spans="1:21" x14ac:dyDescent="0.35">
      <c r="A166">
        <v>165</v>
      </c>
      <c r="B166" s="5">
        <v>44361</v>
      </c>
      <c r="C166" s="4">
        <v>2021</v>
      </c>
      <c r="D166" s="4">
        <v>6</v>
      </c>
      <c r="E166" s="14">
        <v>44361</v>
      </c>
      <c r="F166" s="4">
        <v>14</v>
      </c>
      <c r="G166">
        <v>122</v>
      </c>
      <c r="H166">
        <v>119</v>
      </c>
      <c r="I166" s="13">
        <v>0.97</v>
      </c>
      <c r="J166">
        <v>3</v>
      </c>
      <c r="K166" s="2">
        <v>1.8518518518518518E-4</v>
      </c>
      <c r="L166" s="11">
        <v>31.733333333333334</v>
      </c>
      <c r="M166" s="3">
        <v>0.26666666666666666</v>
      </c>
      <c r="N166" s="4">
        <v>16</v>
      </c>
      <c r="O166" s="2">
        <v>1.6666666666666668E-3</v>
      </c>
      <c r="P166" s="9">
        <v>285.59999999999997</v>
      </c>
      <c r="Q166" s="3">
        <v>2.4</v>
      </c>
      <c r="R166" s="4">
        <v>144</v>
      </c>
      <c r="S166" s="3">
        <v>95</v>
      </c>
      <c r="T166" s="1">
        <v>0.8</v>
      </c>
      <c r="U166" s="6">
        <v>95.2</v>
      </c>
    </row>
    <row r="167" spans="1:21" x14ac:dyDescent="0.35">
      <c r="A167">
        <v>166</v>
      </c>
      <c r="B167" s="5">
        <v>44362</v>
      </c>
      <c r="C167" s="4">
        <v>2021</v>
      </c>
      <c r="D167" s="4">
        <v>6</v>
      </c>
      <c r="E167" s="14">
        <v>44362</v>
      </c>
      <c r="F167" s="4">
        <v>15</v>
      </c>
      <c r="G167">
        <v>17</v>
      </c>
      <c r="H167">
        <v>17</v>
      </c>
      <c r="I167" s="13">
        <v>1</v>
      </c>
      <c r="J167">
        <v>0</v>
      </c>
      <c r="K167" s="2">
        <v>2.4305555555555555E-4</v>
      </c>
      <c r="L167" s="11">
        <v>5.9499999999999993</v>
      </c>
      <c r="M167" s="3">
        <v>0.35</v>
      </c>
      <c r="N167" s="4">
        <v>21</v>
      </c>
      <c r="O167" s="2">
        <v>1.8518518518518519E-3</v>
      </c>
      <c r="P167" s="9">
        <v>45.333333333333329</v>
      </c>
      <c r="Q167" s="3">
        <v>2.6666666666666665</v>
      </c>
      <c r="R167" s="4">
        <v>160</v>
      </c>
      <c r="S167" s="3">
        <v>12</v>
      </c>
      <c r="T167" s="1">
        <v>0.76470000000000005</v>
      </c>
      <c r="U167" s="6">
        <v>12.9999</v>
      </c>
    </row>
    <row r="168" spans="1:21" x14ac:dyDescent="0.35">
      <c r="A168">
        <v>167</v>
      </c>
      <c r="B168" s="5">
        <v>44363</v>
      </c>
      <c r="C168" s="4">
        <v>2021</v>
      </c>
      <c r="D168" s="4">
        <v>6</v>
      </c>
      <c r="E168" s="14">
        <v>44363</v>
      </c>
      <c r="F168" s="4">
        <v>16</v>
      </c>
      <c r="G168">
        <v>45</v>
      </c>
      <c r="H168">
        <v>45</v>
      </c>
      <c r="I168" s="13">
        <v>1</v>
      </c>
      <c r="J168">
        <v>0</v>
      </c>
      <c r="K168" s="2">
        <v>6.9444444444444444E-5</v>
      </c>
      <c r="L168" s="11">
        <v>4.5</v>
      </c>
      <c r="M168" s="3">
        <v>0.1</v>
      </c>
      <c r="N168" s="4">
        <v>6</v>
      </c>
      <c r="O168" s="2">
        <v>1.4583333333333334E-3</v>
      </c>
      <c r="P168" s="9">
        <v>94.5</v>
      </c>
      <c r="Q168" s="3">
        <v>2.1</v>
      </c>
      <c r="R168" s="4">
        <v>126</v>
      </c>
      <c r="S168" s="3">
        <v>43</v>
      </c>
      <c r="T168" s="1">
        <v>0.9556</v>
      </c>
      <c r="U168" s="6">
        <v>43.002000000000002</v>
      </c>
    </row>
    <row r="169" spans="1:21" x14ac:dyDescent="0.35">
      <c r="A169">
        <v>168</v>
      </c>
      <c r="B169" s="5">
        <v>44364</v>
      </c>
      <c r="C169" s="4">
        <v>2021</v>
      </c>
      <c r="D169" s="4">
        <v>6</v>
      </c>
      <c r="E169" s="14">
        <v>44364</v>
      </c>
      <c r="F169" s="4">
        <v>17</v>
      </c>
      <c r="G169">
        <v>177</v>
      </c>
      <c r="H169">
        <v>172</v>
      </c>
      <c r="I169" s="13">
        <v>0.97</v>
      </c>
      <c r="J169">
        <v>5</v>
      </c>
      <c r="K169" s="2">
        <v>2.3148148148148149E-4</v>
      </c>
      <c r="L169" s="11">
        <v>57.333333333333329</v>
      </c>
      <c r="M169" s="3">
        <v>0.33333333333333331</v>
      </c>
      <c r="N169" s="4">
        <v>20</v>
      </c>
      <c r="O169" s="2">
        <v>1.6550925925925926E-3</v>
      </c>
      <c r="P169" s="9">
        <v>409.93333333333334</v>
      </c>
      <c r="Q169" s="3">
        <v>2.3833333333333333</v>
      </c>
      <c r="R169" s="4">
        <v>143</v>
      </c>
      <c r="S169" s="3">
        <v>130</v>
      </c>
      <c r="T169" s="1">
        <v>0.76</v>
      </c>
      <c r="U169" s="6">
        <v>130.72</v>
      </c>
    </row>
    <row r="170" spans="1:21" x14ac:dyDescent="0.35">
      <c r="A170">
        <v>169</v>
      </c>
      <c r="B170" s="5">
        <v>44365</v>
      </c>
      <c r="C170" s="4">
        <v>2021</v>
      </c>
      <c r="D170" s="4">
        <v>6</v>
      </c>
      <c r="E170" s="14">
        <v>44365</v>
      </c>
      <c r="F170" s="4">
        <v>18</v>
      </c>
      <c r="G170">
        <v>133</v>
      </c>
      <c r="H170">
        <v>132</v>
      </c>
      <c r="I170" s="13">
        <v>0.99</v>
      </c>
      <c r="J170">
        <v>1</v>
      </c>
      <c r="K170" s="2">
        <v>1.1574074074074075E-4</v>
      </c>
      <c r="L170" s="11">
        <v>22</v>
      </c>
      <c r="M170" s="3">
        <v>0.16666666666666666</v>
      </c>
      <c r="N170" s="4">
        <v>10</v>
      </c>
      <c r="O170" s="2">
        <v>1.6782407407407408E-3</v>
      </c>
      <c r="P170" s="9">
        <v>319</v>
      </c>
      <c r="Q170" s="3">
        <v>2.4166666666666665</v>
      </c>
      <c r="R170" s="4">
        <v>145</v>
      </c>
      <c r="S170" s="3">
        <v>123</v>
      </c>
      <c r="T170" s="1">
        <v>0.93230000000000002</v>
      </c>
      <c r="U170" s="6">
        <v>123.06360000000001</v>
      </c>
    </row>
    <row r="171" spans="1:21" x14ac:dyDescent="0.35">
      <c r="A171">
        <v>170</v>
      </c>
      <c r="B171" s="5">
        <v>44366</v>
      </c>
      <c r="C171" s="4">
        <v>2021</v>
      </c>
      <c r="D171" s="4">
        <v>6</v>
      </c>
      <c r="E171" s="14">
        <v>44366</v>
      </c>
      <c r="F171" s="4">
        <v>19</v>
      </c>
      <c r="G171">
        <v>177</v>
      </c>
      <c r="H171">
        <v>167</v>
      </c>
      <c r="I171" s="13">
        <v>0.94</v>
      </c>
      <c r="J171">
        <v>10</v>
      </c>
      <c r="K171" s="2">
        <v>1.7361111111111112E-4</v>
      </c>
      <c r="L171" s="11">
        <v>41.75</v>
      </c>
      <c r="M171" s="3">
        <v>0.25</v>
      </c>
      <c r="N171" s="4">
        <v>15</v>
      </c>
      <c r="O171" s="2">
        <v>1.6435185185185185E-3</v>
      </c>
      <c r="P171" s="9">
        <v>395.23333333333335</v>
      </c>
      <c r="Q171" s="3">
        <v>2.3666666666666667</v>
      </c>
      <c r="R171" s="4">
        <v>142</v>
      </c>
      <c r="S171" s="3">
        <v>139</v>
      </c>
      <c r="T171" s="1">
        <v>0.83240000000000003</v>
      </c>
      <c r="U171" s="6">
        <v>139.01080000000002</v>
      </c>
    </row>
    <row r="172" spans="1:21" x14ac:dyDescent="0.35">
      <c r="A172">
        <v>171</v>
      </c>
      <c r="B172" s="5">
        <v>44367</v>
      </c>
      <c r="C172" s="4">
        <v>2021</v>
      </c>
      <c r="D172" s="4">
        <v>6</v>
      </c>
      <c r="E172" s="14">
        <v>44367</v>
      </c>
      <c r="F172" s="4">
        <v>20</v>
      </c>
      <c r="G172">
        <v>127</v>
      </c>
      <c r="H172">
        <v>124</v>
      </c>
      <c r="I172" s="13">
        <v>0.97</v>
      </c>
      <c r="J172">
        <v>3</v>
      </c>
      <c r="K172" s="2">
        <v>1.8518518518518518E-4</v>
      </c>
      <c r="L172" s="11">
        <v>33.066666666666663</v>
      </c>
      <c r="M172" s="3">
        <v>0.26666666666666666</v>
      </c>
      <c r="N172" s="4">
        <v>16</v>
      </c>
      <c r="O172" s="2">
        <v>1.6435185185185185E-3</v>
      </c>
      <c r="P172" s="9">
        <v>293.4666666666667</v>
      </c>
      <c r="Q172" s="3">
        <v>2.3666666666666667</v>
      </c>
      <c r="R172" s="4">
        <v>142</v>
      </c>
      <c r="S172" s="3">
        <v>101</v>
      </c>
      <c r="T172" s="1">
        <v>0.81889999999999996</v>
      </c>
      <c r="U172" s="6">
        <v>101.5436</v>
      </c>
    </row>
    <row r="173" spans="1:21" x14ac:dyDescent="0.35">
      <c r="A173">
        <v>172</v>
      </c>
      <c r="B173" s="5">
        <v>44368</v>
      </c>
      <c r="C173" s="4">
        <v>2021</v>
      </c>
      <c r="D173" s="4">
        <v>6</v>
      </c>
      <c r="E173" s="14">
        <v>44368</v>
      </c>
      <c r="F173" s="4">
        <v>21</v>
      </c>
      <c r="G173">
        <v>148</v>
      </c>
      <c r="H173">
        <v>147</v>
      </c>
      <c r="I173" s="13">
        <v>0.99</v>
      </c>
      <c r="J173">
        <v>1</v>
      </c>
      <c r="K173" s="2">
        <v>1.8518518518518518E-4</v>
      </c>
      <c r="L173" s="11">
        <v>39.200000000000003</v>
      </c>
      <c r="M173" s="3">
        <v>0.26666666666666666</v>
      </c>
      <c r="N173" s="4">
        <v>16</v>
      </c>
      <c r="O173" s="2">
        <v>1.5162037037037036E-3</v>
      </c>
      <c r="P173" s="9">
        <v>320.95</v>
      </c>
      <c r="Q173" s="3">
        <v>2.1833333333333331</v>
      </c>
      <c r="R173" s="4">
        <v>131</v>
      </c>
      <c r="S173" s="3">
        <v>122</v>
      </c>
      <c r="T173" s="1">
        <v>0.83109999999999995</v>
      </c>
      <c r="U173" s="6">
        <v>122.17169999999999</v>
      </c>
    </row>
    <row r="174" spans="1:21" x14ac:dyDescent="0.35">
      <c r="A174">
        <v>173</v>
      </c>
      <c r="B174" s="5">
        <v>44369</v>
      </c>
      <c r="C174" s="4">
        <v>2021</v>
      </c>
      <c r="D174" s="4">
        <v>6</v>
      </c>
      <c r="E174" s="14">
        <v>44369</v>
      </c>
      <c r="F174" s="4">
        <v>22</v>
      </c>
      <c r="G174">
        <v>23</v>
      </c>
      <c r="H174">
        <v>23</v>
      </c>
      <c r="I174" s="13">
        <v>1</v>
      </c>
      <c r="J174">
        <v>0</v>
      </c>
      <c r="K174" s="2">
        <v>3.7037037037037035E-4</v>
      </c>
      <c r="L174" s="11">
        <v>12.266666666666666</v>
      </c>
      <c r="M174" s="3">
        <v>0.53333333333333333</v>
      </c>
      <c r="N174" s="4">
        <v>32</v>
      </c>
      <c r="O174" s="2">
        <v>1.4120370370370369E-3</v>
      </c>
      <c r="P174" s="9">
        <v>46.766666666666666</v>
      </c>
      <c r="Q174" s="3">
        <v>2.0333333333333332</v>
      </c>
      <c r="R174" s="4">
        <v>122</v>
      </c>
      <c r="S174" s="3">
        <v>15</v>
      </c>
      <c r="T174" s="1">
        <v>0.6522</v>
      </c>
      <c r="U174" s="6">
        <v>15.0006</v>
      </c>
    </row>
    <row r="175" spans="1:21" x14ac:dyDescent="0.35">
      <c r="A175">
        <v>174</v>
      </c>
      <c r="B175" s="5">
        <v>44370</v>
      </c>
      <c r="C175" s="4">
        <v>2021</v>
      </c>
      <c r="D175" s="4">
        <v>6</v>
      </c>
      <c r="E175" s="14">
        <v>44370</v>
      </c>
      <c r="F175" s="4">
        <v>23</v>
      </c>
      <c r="G175">
        <v>141</v>
      </c>
      <c r="H175">
        <v>134</v>
      </c>
      <c r="I175" s="13">
        <v>0.95</v>
      </c>
      <c r="J175">
        <v>7</v>
      </c>
      <c r="K175" s="2">
        <v>2.7777777777777778E-4</v>
      </c>
      <c r="L175" s="11">
        <v>53.6</v>
      </c>
      <c r="M175" s="3">
        <v>0.4</v>
      </c>
      <c r="N175" s="4">
        <v>24</v>
      </c>
      <c r="O175" s="2">
        <v>1.8287037037037037E-3</v>
      </c>
      <c r="P175" s="9">
        <v>352.86666666666667</v>
      </c>
      <c r="Q175" s="3">
        <v>2.6333333333333333</v>
      </c>
      <c r="R175" s="4">
        <v>158</v>
      </c>
      <c r="S175" s="3">
        <v>96</v>
      </c>
      <c r="T175" s="1">
        <v>0.72140000000000004</v>
      </c>
      <c r="U175" s="6">
        <v>96.667600000000007</v>
      </c>
    </row>
    <row r="176" spans="1:21" x14ac:dyDescent="0.35">
      <c r="A176">
        <v>175</v>
      </c>
      <c r="B176" s="5">
        <v>44371</v>
      </c>
      <c r="C176" s="4">
        <v>2021</v>
      </c>
      <c r="D176" s="4">
        <v>6</v>
      </c>
      <c r="E176" s="14">
        <v>44371</v>
      </c>
      <c r="F176" s="4">
        <v>24</v>
      </c>
      <c r="G176">
        <v>124</v>
      </c>
      <c r="H176">
        <v>120</v>
      </c>
      <c r="I176" s="13">
        <v>0.96</v>
      </c>
      <c r="J176">
        <v>4</v>
      </c>
      <c r="K176" s="2">
        <v>2.3148148148148149E-4</v>
      </c>
      <c r="L176" s="11">
        <v>40</v>
      </c>
      <c r="M176" s="3">
        <v>0.33333333333333331</v>
      </c>
      <c r="N176" s="4">
        <v>20</v>
      </c>
      <c r="O176" s="2">
        <v>1.7708333333333332E-3</v>
      </c>
      <c r="P176" s="9">
        <v>306</v>
      </c>
      <c r="Q176" s="3">
        <v>2.5499999999999998</v>
      </c>
      <c r="R176" s="4">
        <v>153</v>
      </c>
      <c r="S176" s="3">
        <v>98</v>
      </c>
      <c r="T176" s="1">
        <v>0.8226</v>
      </c>
      <c r="U176" s="6">
        <v>98.712000000000003</v>
      </c>
    </row>
    <row r="177" spans="1:21" x14ac:dyDescent="0.35">
      <c r="A177">
        <v>176</v>
      </c>
      <c r="B177" s="5">
        <v>44372</v>
      </c>
      <c r="C177" s="4">
        <v>2021</v>
      </c>
      <c r="D177" s="4">
        <v>6</v>
      </c>
      <c r="E177" s="14">
        <v>44372</v>
      </c>
      <c r="F177" s="4">
        <v>25</v>
      </c>
      <c r="G177">
        <v>165</v>
      </c>
      <c r="H177">
        <v>156</v>
      </c>
      <c r="I177" s="13">
        <v>0.94</v>
      </c>
      <c r="J177">
        <v>9</v>
      </c>
      <c r="K177" s="2">
        <v>2.8935185185185184E-4</v>
      </c>
      <c r="L177" s="11">
        <v>65</v>
      </c>
      <c r="M177" s="3">
        <v>0.41666666666666669</v>
      </c>
      <c r="N177" s="4">
        <v>25</v>
      </c>
      <c r="O177" s="2">
        <v>1.6319444444444445E-3</v>
      </c>
      <c r="P177" s="9">
        <v>366.6</v>
      </c>
      <c r="Q177" s="3">
        <v>2.35</v>
      </c>
      <c r="R177" s="4">
        <v>141</v>
      </c>
      <c r="S177" s="3">
        <v>110</v>
      </c>
      <c r="T177" s="1">
        <v>0.70550000000000002</v>
      </c>
      <c r="U177" s="6">
        <v>110.05800000000001</v>
      </c>
    </row>
    <row r="178" spans="1:21" x14ac:dyDescent="0.35">
      <c r="A178">
        <v>177</v>
      </c>
      <c r="B178" s="5">
        <v>44373</v>
      </c>
      <c r="C178" s="4">
        <v>2021</v>
      </c>
      <c r="D178" s="4">
        <v>6</v>
      </c>
      <c r="E178" s="14">
        <v>44373</v>
      </c>
      <c r="F178" s="4">
        <v>26</v>
      </c>
      <c r="G178">
        <v>168</v>
      </c>
      <c r="H178">
        <v>166</v>
      </c>
      <c r="I178" s="13">
        <v>0.98</v>
      </c>
      <c r="J178">
        <v>2</v>
      </c>
      <c r="K178" s="2">
        <v>2.4305555555555555E-4</v>
      </c>
      <c r="L178" s="11">
        <v>58.099999999999994</v>
      </c>
      <c r="M178" s="3">
        <v>0.35</v>
      </c>
      <c r="N178" s="4">
        <v>21</v>
      </c>
      <c r="O178" s="2">
        <v>1.7708333333333332E-3</v>
      </c>
      <c r="P178" s="9">
        <v>423.29999999999995</v>
      </c>
      <c r="Q178" s="3">
        <v>2.5499999999999998</v>
      </c>
      <c r="R178" s="4">
        <v>153</v>
      </c>
      <c r="S178" s="3">
        <v>132</v>
      </c>
      <c r="T178" s="1">
        <v>0.80120000000000002</v>
      </c>
      <c r="U178" s="6">
        <v>132.9992</v>
      </c>
    </row>
    <row r="179" spans="1:21" x14ac:dyDescent="0.35">
      <c r="A179">
        <v>178</v>
      </c>
      <c r="B179" s="5">
        <v>44374</v>
      </c>
      <c r="C179" s="4">
        <v>2021</v>
      </c>
      <c r="D179" s="4">
        <v>6</v>
      </c>
      <c r="E179" s="14">
        <v>44374</v>
      </c>
      <c r="F179" s="4">
        <v>27</v>
      </c>
      <c r="G179">
        <v>198</v>
      </c>
      <c r="H179">
        <v>188</v>
      </c>
      <c r="I179" s="13">
        <v>0.94</v>
      </c>
      <c r="J179">
        <v>10</v>
      </c>
      <c r="K179" s="2">
        <v>2.5462962962962961E-4</v>
      </c>
      <c r="L179" s="11">
        <v>68.933333333333323</v>
      </c>
      <c r="M179" s="3">
        <v>0.36666666666666664</v>
      </c>
      <c r="N179" s="4">
        <v>22</v>
      </c>
      <c r="O179" s="2">
        <v>1.7592592592592592E-3</v>
      </c>
      <c r="P179" s="9">
        <v>476.26666666666665</v>
      </c>
      <c r="Q179" s="3">
        <v>2.5333333333333332</v>
      </c>
      <c r="R179" s="4">
        <v>152</v>
      </c>
      <c r="S179" s="3">
        <v>133</v>
      </c>
      <c r="T179" s="1">
        <v>0.70920000000000005</v>
      </c>
      <c r="U179" s="6">
        <v>133.3296</v>
      </c>
    </row>
    <row r="180" spans="1:21" x14ac:dyDescent="0.35">
      <c r="A180">
        <v>179</v>
      </c>
      <c r="B180" s="5">
        <v>44375</v>
      </c>
      <c r="C180" s="4">
        <v>2021</v>
      </c>
      <c r="D180" s="4">
        <v>6</v>
      </c>
      <c r="E180" s="14">
        <v>44375</v>
      </c>
      <c r="F180" s="4">
        <v>28</v>
      </c>
      <c r="G180">
        <v>139</v>
      </c>
      <c r="H180">
        <v>133</v>
      </c>
      <c r="I180" s="13">
        <v>0.95</v>
      </c>
      <c r="J180">
        <v>6</v>
      </c>
      <c r="K180" s="2">
        <v>1.9675925925925926E-4</v>
      </c>
      <c r="L180" s="11">
        <v>37.68333333333333</v>
      </c>
      <c r="M180" s="3">
        <v>0.28333333333333333</v>
      </c>
      <c r="N180" s="4">
        <v>17</v>
      </c>
      <c r="O180" s="2">
        <v>1.8518518518518519E-3</v>
      </c>
      <c r="P180" s="9">
        <v>354.66666666666663</v>
      </c>
      <c r="Q180" s="3">
        <v>2.6666666666666665</v>
      </c>
      <c r="R180" s="4">
        <v>160</v>
      </c>
      <c r="S180" s="3">
        <v>106</v>
      </c>
      <c r="T180" s="1">
        <v>0.80149999999999999</v>
      </c>
      <c r="U180" s="6">
        <v>106.59949999999999</v>
      </c>
    </row>
    <row r="181" spans="1:21" x14ac:dyDescent="0.35">
      <c r="A181">
        <v>180</v>
      </c>
      <c r="B181" s="5">
        <v>44376</v>
      </c>
      <c r="C181" s="4">
        <v>2021</v>
      </c>
      <c r="D181" s="4">
        <v>6</v>
      </c>
      <c r="E181" s="14">
        <v>44376</v>
      </c>
      <c r="F181" s="4">
        <v>29</v>
      </c>
      <c r="G181">
        <v>46</v>
      </c>
      <c r="H181">
        <v>45</v>
      </c>
      <c r="I181" s="13">
        <v>0.97</v>
      </c>
      <c r="J181">
        <v>1</v>
      </c>
      <c r="K181" s="2">
        <v>1.1574074074074075E-4</v>
      </c>
      <c r="L181" s="11">
        <v>7.5</v>
      </c>
      <c r="M181" s="3">
        <v>0.16666666666666666</v>
      </c>
      <c r="N181" s="4">
        <v>10</v>
      </c>
      <c r="O181" s="2">
        <v>1.5509259259259259E-3</v>
      </c>
      <c r="P181" s="9">
        <v>100.5</v>
      </c>
      <c r="Q181" s="3">
        <v>2.2333333333333334</v>
      </c>
      <c r="R181" s="4">
        <v>134</v>
      </c>
      <c r="S181" s="3">
        <v>40</v>
      </c>
      <c r="T181" s="1">
        <v>0.88890000000000002</v>
      </c>
      <c r="U181" s="6">
        <v>40.000500000000002</v>
      </c>
    </row>
    <row r="182" spans="1:21" x14ac:dyDescent="0.35">
      <c r="A182">
        <v>181</v>
      </c>
      <c r="B182" s="5">
        <v>44377</v>
      </c>
      <c r="C182" s="4">
        <v>2021</v>
      </c>
      <c r="D182" s="4">
        <v>6</v>
      </c>
      <c r="E182" s="14">
        <v>44377</v>
      </c>
      <c r="F182" s="4">
        <v>30</v>
      </c>
      <c r="G182">
        <v>184</v>
      </c>
      <c r="H182">
        <v>174</v>
      </c>
      <c r="I182" s="13">
        <v>0.94</v>
      </c>
      <c r="J182">
        <v>10</v>
      </c>
      <c r="K182" s="2">
        <v>2.6620370370370372E-4</v>
      </c>
      <c r="L182" s="11">
        <v>66.7</v>
      </c>
      <c r="M182" s="3">
        <v>0.38333333333333336</v>
      </c>
      <c r="N182" s="4">
        <v>23</v>
      </c>
      <c r="O182" s="2">
        <v>1.8171296296296297E-3</v>
      </c>
      <c r="P182" s="9">
        <v>455.3</v>
      </c>
      <c r="Q182" s="3">
        <v>2.6166666666666667</v>
      </c>
      <c r="R182" s="4">
        <v>157</v>
      </c>
      <c r="S182" s="3">
        <v>133</v>
      </c>
      <c r="T182" s="1">
        <v>0.76539999999999997</v>
      </c>
      <c r="U182" s="6">
        <v>133.17959999999999</v>
      </c>
    </row>
    <row r="183" spans="1:21" x14ac:dyDescent="0.35">
      <c r="A183">
        <v>182</v>
      </c>
      <c r="B183" s="5">
        <v>44378</v>
      </c>
      <c r="C183" s="4">
        <v>2021</v>
      </c>
      <c r="D183" s="4">
        <v>7</v>
      </c>
      <c r="E183" s="14">
        <v>44378</v>
      </c>
      <c r="F183" s="4">
        <v>1</v>
      </c>
      <c r="G183">
        <v>207</v>
      </c>
      <c r="H183">
        <v>190</v>
      </c>
      <c r="I183" s="13">
        <v>0.91</v>
      </c>
      <c r="J183">
        <v>17</v>
      </c>
      <c r="K183" s="2">
        <v>2.4305555555555555E-4</v>
      </c>
      <c r="L183" s="11">
        <v>66.5</v>
      </c>
      <c r="M183" s="3">
        <v>0.35</v>
      </c>
      <c r="N183" s="4">
        <v>21</v>
      </c>
      <c r="O183" s="2">
        <v>1.6550925925925926E-3</v>
      </c>
      <c r="P183" s="9">
        <v>452.83333333333331</v>
      </c>
      <c r="Q183" s="3">
        <v>2.3833333333333333</v>
      </c>
      <c r="R183" s="4">
        <v>143</v>
      </c>
      <c r="S183" s="3">
        <v>135</v>
      </c>
      <c r="T183" s="1">
        <v>0.71360000000000001</v>
      </c>
      <c r="U183" s="6">
        <v>135.584</v>
      </c>
    </row>
    <row r="184" spans="1:21" x14ac:dyDescent="0.35">
      <c r="A184">
        <v>183</v>
      </c>
      <c r="B184" s="5">
        <v>44379</v>
      </c>
      <c r="C184" s="4">
        <v>2021</v>
      </c>
      <c r="D184" s="4">
        <v>7</v>
      </c>
      <c r="E184" s="14">
        <v>44379</v>
      </c>
      <c r="F184" s="4">
        <v>2</v>
      </c>
      <c r="G184">
        <v>191</v>
      </c>
      <c r="H184">
        <v>180</v>
      </c>
      <c r="I184" s="13">
        <v>0.94</v>
      </c>
      <c r="J184">
        <v>11</v>
      </c>
      <c r="K184" s="2">
        <v>2.4305555555555555E-4</v>
      </c>
      <c r="L184" s="11">
        <v>62.999999999999993</v>
      </c>
      <c r="M184" s="3">
        <v>0.35</v>
      </c>
      <c r="N184" s="4">
        <v>21</v>
      </c>
      <c r="O184" s="2">
        <v>1.7592592592592592E-3</v>
      </c>
      <c r="P184" s="9">
        <v>456</v>
      </c>
      <c r="Q184" s="3">
        <v>2.5333333333333332</v>
      </c>
      <c r="R184" s="4">
        <v>152</v>
      </c>
      <c r="S184" s="3">
        <v>137</v>
      </c>
      <c r="T184" s="1">
        <v>0.76500000000000001</v>
      </c>
      <c r="U184" s="6">
        <v>137.69999999999999</v>
      </c>
    </row>
    <row r="185" spans="1:21" x14ac:dyDescent="0.35">
      <c r="A185">
        <v>184</v>
      </c>
      <c r="B185" s="5">
        <v>44380</v>
      </c>
      <c r="C185" s="4">
        <v>2021</v>
      </c>
      <c r="D185" s="4">
        <v>7</v>
      </c>
      <c r="E185" s="14">
        <v>44380</v>
      </c>
      <c r="F185" s="4">
        <v>3</v>
      </c>
      <c r="G185">
        <v>213</v>
      </c>
      <c r="H185">
        <v>204</v>
      </c>
      <c r="I185" s="13">
        <v>0.95</v>
      </c>
      <c r="J185">
        <v>9</v>
      </c>
      <c r="K185" s="2">
        <v>2.7777777777777778E-4</v>
      </c>
      <c r="L185" s="11">
        <v>81.600000000000009</v>
      </c>
      <c r="M185" s="3">
        <v>0.4</v>
      </c>
      <c r="N185" s="4">
        <v>24</v>
      </c>
      <c r="O185" s="2">
        <v>1.6898148148148148E-3</v>
      </c>
      <c r="P185" s="9">
        <v>496.40000000000003</v>
      </c>
      <c r="Q185" s="3">
        <v>2.4333333333333336</v>
      </c>
      <c r="R185" s="4">
        <v>146</v>
      </c>
      <c r="S185" s="3">
        <v>142</v>
      </c>
      <c r="T185" s="1">
        <v>0.69669999999999999</v>
      </c>
      <c r="U185" s="6">
        <v>142.1268</v>
      </c>
    </row>
    <row r="186" spans="1:21" x14ac:dyDescent="0.35">
      <c r="A186">
        <v>185</v>
      </c>
      <c r="B186" s="5">
        <v>44381</v>
      </c>
      <c r="C186" s="4">
        <v>2021</v>
      </c>
      <c r="D186" s="4">
        <v>7</v>
      </c>
      <c r="E186" s="14">
        <v>44381</v>
      </c>
      <c r="F186" s="4">
        <v>4</v>
      </c>
      <c r="G186">
        <v>483</v>
      </c>
      <c r="H186">
        <v>451</v>
      </c>
      <c r="I186" s="13">
        <v>0.93</v>
      </c>
      <c r="J186">
        <v>32</v>
      </c>
      <c r="K186" s="2">
        <v>1.8518518518518518E-4</v>
      </c>
      <c r="L186" s="11">
        <v>120.26666666666667</v>
      </c>
      <c r="M186" s="3">
        <v>0.26666666666666666</v>
      </c>
      <c r="N186" s="4">
        <v>16</v>
      </c>
      <c r="O186" s="2">
        <v>6.5972222222222224E-4</v>
      </c>
      <c r="P186" s="9">
        <v>428.45</v>
      </c>
      <c r="Q186" s="3">
        <v>0.95</v>
      </c>
      <c r="R186" s="4">
        <v>57</v>
      </c>
      <c r="S186" s="3">
        <v>357</v>
      </c>
      <c r="T186" s="1">
        <v>0.79200000000000004</v>
      </c>
      <c r="U186" s="6">
        <v>357.19200000000001</v>
      </c>
    </row>
    <row r="187" spans="1:21" x14ac:dyDescent="0.35">
      <c r="A187">
        <v>186</v>
      </c>
      <c r="B187" s="5">
        <v>44382</v>
      </c>
      <c r="C187" s="4">
        <v>2021</v>
      </c>
      <c r="D187" s="4">
        <v>7</v>
      </c>
      <c r="E187" s="14">
        <v>44382</v>
      </c>
      <c r="F187" s="4">
        <v>5</v>
      </c>
      <c r="G187">
        <v>547</v>
      </c>
      <c r="H187">
        <v>526</v>
      </c>
      <c r="I187" s="13">
        <v>0.96</v>
      </c>
      <c r="J187">
        <v>21</v>
      </c>
      <c r="K187" s="2">
        <v>2.199074074074074E-4</v>
      </c>
      <c r="L187" s="11">
        <v>166.56666666666666</v>
      </c>
      <c r="M187" s="3">
        <v>0.31666666666666665</v>
      </c>
      <c r="N187" s="4">
        <v>19</v>
      </c>
      <c r="O187" s="2">
        <v>9.3749999999999997E-4</v>
      </c>
      <c r="P187" s="9">
        <v>710.1</v>
      </c>
      <c r="Q187" s="3">
        <v>1.35</v>
      </c>
      <c r="R187" s="4">
        <v>81</v>
      </c>
      <c r="S187" s="3">
        <v>429</v>
      </c>
      <c r="T187" s="1">
        <v>0.81579999999999997</v>
      </c>
      <c r="U187" s="6">
        <v>429.11079999999998</v>
      </c>
    </row>
    <row r="188" spans="1:21" x14ac:dyDescent="0.35">
      <c r="A188">
        <v>187</v>
      </c>
      <c r="B188" s="5">
        <v>44383</v>
      </c>
      <c r="C188" s="4">
        <v>2021</v>
      </c>
      <c r="D188" s="4">
        <v>7</v>
      </c>
      <c r="E188" s="14">
        <v>44383</v>
      </c>
      <c r="F188" s="4">
        <v>6</v>
      </c>
      <c r="G188">
        <v>54</v>
      </c>
      <c r="H188">
        <v>53</v>
      </c>
      <c r="I188" s="13">
        <v>0.98</v>
      </c>
      <c r="J188">
        <v>1</v>
      </c>
      <c r="K188" s="2">
        <v>2.8935185185185184E-4</v>
      </c>
      <c r="L188" s="11">
        <v>22.083333333333336</v>
      </c>
      <c r="M188" s="3">
        <v>0.41666666666666669</v>
      </c>
      <c r="N188" s="4">
        <v>25</v>
      </c>
      <c r="O188" s="2">
        <v>1.8055555555555555E-3</v>
      </c>
      <c r="P188" s="9">
        <v>137.80000000000001</v>
      </c>
      <c r="Q188" s="3">
        <v>2.6</v>
      </c>
      <c r="R188" s="4">
        <v>156</v>
      </c>
      <c r="S188" s="3">
        <v>37</v>
      </c>
      <c r="T188" s="1">
        <v>0.70369999999999999</v>
      </c>
      <c r="U188" s="6">
        <v>37.296100000000003</v>
      </c>
    </row>
    <row r="189" spans="1:21" x14ac:dyDescent="0.35">
      <c r="A189">
        <v>188</v>
      </c>
      <c r="B189" s="5">
        <v>44384</v>
      </c>
      <c r="C189" s="4">
        <v>2021</v>
      </c>
      <c r="D189" s="4">
        <v>7</v>
      </c>
      <c r="E189" s="14">
        <v>44384</v>
      </c>
      <c r="F189" s="4">
        <v>7</v>
      </c>
      <c r="G189">
        <v>275</v>
      </c>
      <c r="H189">
        <v>261</v>
      </c>
      <c r="I189" s="13">
        <v>0.94</v>
      </c>
      <c r="J189">
        <v>14</v>
      </c>
      <c r="K189" s="2">
        <v>2.5462962962962961E-4</v>
      </c>
      <c r="L189" s="11">
        <v>95.699999999999989</v>
      </c>
      <c r="M189" s="3">
        <v>0.36666666666666664</v>
      </c>
      <c r="N189" s="4">
        <v>22</v>
      </c>
      <c r="O189" s="2">
        <v>1.5393518518518519E-3</v>
      </c>
      <c r="P189" s="9">
        <v>578.55000000000007</v>
      </c>
      <c r="Q189" s="3">
        <v>2.2166666666666668</v>
      </c>
      <c r="R189" s="4">
        <v>133</v>
      </c>
      <c r="S189" s="3">
        <v>194</v>
      </c>
      <c r="T189" s="1">
        <v>0.74439999999999995</v>
      </c>
      <c r="U189" s="6">
        <v>194.2884</v>
      </c>
    </row>
    <row r="190" spans="1:21" x14ac:dyDescent="0.35">
      <c r="A190">
        <v>189</v>
      </c>
      <c r="B190" s="5">
        <v>44385</v>
      </c>
      <c r="C190" s="4">
        <v>2021</v>
      </c>
      <c r="D190" s="4">
        <v>7</v>
      </c>
      <c r="E190" s="14">
        <v>44385</v>
      </c>
      <c r="F190" s="4">
        <v>8</v>
      </c>
      <c r="G190">
        <v>205</v>
      </c>
      <c r="H190">
        <v>195</v>
      </c>
      <c r="I190" s="13">
        <v>0.95</v>
      </c>
      <c r="J190">
        <v>10</v>
      </c>
      <c r="K190" s="2">
        <v>2.7777777777777778E-4</v>
      </c>
      <c r="L190" s="11">
        <v>78</v>
      </c>
      <c r="M190" s="3">
        <v>0.4</v>
      </c>
      <c r="N190" s="4">
        <v>24</v>
      </c>
      <c r="O190" s="2">
        <v>1.7824074074074075E-3</v>
      </c>
      <c r="P190" s="9">
        <v>500.49999999999994</v>
      </c>
      <c r="Q190" s="3">
        <v>2.5666666666666664</v>
      </c>
      <c r="R190" s="4">
        <v>154</v>
      </c>
      <c r="S190" s="3">
        <v>138</v>
      </c>
      <c r="T190" s="1">
        <v>0.70789999999999997</v>
      </c>
      <c r="U190" s="6">
        <v>138.04050000000001</v>
      </c>
    </row>
    <row r="191" spans="1:21" x14ac:dyDescent="0.35">
      <c r="A191">
        <v>190</v>
      </c>
      <c r="B191" s="5">
        <v>44386</v>
      </c>
      <c r="C191" s="4">
        <v>2021</v>
      </c>
      <c r="D191" s="4">
        <v>7</v>
      </c>
      <c r="E191" s="14">
        <v>44386</v>
      </c>
      <c r="F191" s="4">
        <v>9</v>
      </c>
      <c r="G191">
        <v>80</v>
      </c>
      <c r="H191">
        <v>77</v>
      </c>
      <c r="I191" s="13">
        <v>0.96</v>
      </c>
      <c r="J191">
        <v>3</v>
      </c>
      <c r="K191" s="2">
        <v>1.1574074074074075E-4</v>
      </c>
      <c r="L191" s="11">
        <v>12.833333333333332</v>
      </c>
      <c r="M191" s="3">
        <v>0.16666666666666666</v>
      </c>
      <c r="N191" s="4">
        <v>10</v>
      </c>
      <c r="O191" s="2">
        <v>1.5162037037037036E-3</v>
      </c>
      <c r="P191" s="9">
        <v>168.11666666666665</v>
      </c>
      <c r="Q191" s="3">
        <v>2.1833333333333331</v>
      </c>
      <c r="R191" s="4">
        <v>131</v>
      </c>
      <c r="S191" s="3">
        <v>68</v>
      </c>
      <c r="T191" s="1">
        <v>0.89610000000000001</v>
      </c>
      <c r="U191" s="6">
        <v>68.999700000000004</v>
      </c>
    </row>
    <row r="192" spans="1:21" x14ac:dyDescent="0.35">
      <c r="A192">
        <v>191</v>
      </c>
      <c r="B192" s="5">
        <v>44387</v>
      </c>
      <c r="C192" s="4">
        <v>2021</v>
      </c>
      <c r="D192" s="4">
        <v>7</v>
      </c>
      <c r="E192" s="14">
        <v>44387</v>
      </c>
      <c r="F192" s="4">
        <v>10</v>
      </c>
      <c r="G192">
        <v>200</v>
      </c>
      <c r="H192">
        <v>195</v>
      </c>
      <c r="I192" s="13">
        <v>0.97</v>
      </c>
      <c r="J192">
        <v>5</v>
      </c>
      <c r="K192" s="2">
        <v>2.4305555555555555E-4</v>
      </c>
      <c r="L192" s="11">
        <v>68.25</v>
      </c>
      <c r="M192" s="3">
        <v>0.35</v>
      </c>
      <c r="N192" s="4">
        <v>21</v>
      </c>
      <c r="O192" s="2">
        <v>1.736111111111111E-3</v>
      </c>
      <c r="P192" s="9">
        <v>487.5</v>
      </c>
      <c r="Q192" s="3">
        <v>2.5</v>
      </c>
      <c r="R192" s="4">
        <v>150</v>
      </c>
      <c r="S192" s="3">
        <v>146</v>
      </c>
      <c r="T192" s="1">
        <v>0.75249999999999995</v>
      </c>
      <c r="U192" s="6">
        <v>146.73749999999998</v>
      </c>
    </row>
    <row r="193" spans="1:21" x14ac:dyDescent="0.35">
      <c r="A193">
        <v>192</v>
      </c>
      <c r="B193" s="5">
        <v>44388</v>
      </c>
      <c r="C193" s="4">
        <v>2021</v>
      </c>
      <c r="D193" s="4">
        <v>7</v>
      </c>
      <c r="E193" s="14">
        <v>44388</v>
      </c>
      <c r="F193" s="4">
        <v>11</v>
      </c>
      <c r="G193">
        <v>154</v>
      </c>
      <c r="H193">
        <v>150</v>
      </c>
      <c r="I193" s="13">
        <v>0.97</v>
      </c>
      <c r="J193">
        <v>4</v>
      </c>
      <c r="K193" s="2">
        <v>2.4305555555555555E-4</v>
      </c>
      <c r="L193" s="11">
        <v>52.5</v>
      </c>
      <c r="M193" s="3">
        <v>0.35</v>
      </c>
      <c r="N193" s="4">
        <v>21</v>
      </c>
      <c r="O193" s="2">
        <v>1.724537037037037E-3</v>
      </c>
      <c r="P193" s="9">
        <v>372.5</v>
      </c>
      <c r="Q193" s="3">
        <v>2.4833333333333334</v>
      </c>
      <c r="R193" s="4">
        <v>149</v>
      </c>
      <c r="S193" s="3">
        <v>111</v>
      </c>
      <c r="T193" s="1">
        <v>0.74339999999999995</v>
      </c>
      <c r="U193" s="6">
        <v>111.50999999999999</v>
      </c>
    </row>
    <row r="194" spans="1:21" x14ac:dyDescent="0.35">
      <c r="A194">
        <v>193</v>
      </c>
      <c r="B194" s="5">
        <v>44389</v>
      </c>
      <c r="C194" s="4">
        <v>2021</v>
      </c>
      <c r="D194" s="4">
        <v>7</v>
      </c>
      <c r="E194" s="14">
        <v>44389</v>
      </c>
      <c r="F194" s="4">
        <v>12</v>
      </c>
      <c r="G194">
        <v>163</v>
      </c>
      <c r="H194">
        <v>155</v>
      </c>
      <c r="I194" s="13">
        <v>0.95</v>
      </c>
      <c r="J194">
        <v>8</v>
      </c>
      <c r="K194" s="2">
        <v>2.6620370370370372E-4</v>
      </c>
      <c r="L194" s="11">
        <v>59.416666666666671</v>
      </c>
      <c r="M194" s="3">
        <v>0.38333333333333336</v>
      </c>
      <c r="N194" s="4">
        <v>23</v>
      </c>
      <c r="O194" s="2">
        <v>1.5972222222222223E-3</v>
      </c>
      <c r="P194" s="9">
        <v>356.5</v>
      </c>
      <c r="Q194" s="3">
        <v>2.2999999999999998</v>
      </c>
      <c r="R194" s="4">
        <v>138</v>
      </c>
      <c r="S194" s="3">
        <v>115</v>
      </c>
      <c r="T194" s="1">
        <v>0.74519999999999997</v>
      </c>
      <c r="U194" s="6">
        <v>115.506</v>
      </c>
    </row>
    <row r="195" spans="1:21" x14ac:dyDescent="0.35">
      <c r="A195">
        <v>194</v>
      </c>
      <c r="B195" s="5">
        <v>44390</v>
      </c>
      <c r="C195" s="4">
        <v>2021</v>
      </c>
      <c r="D195" s="4">
        <v>7</v>
      </c>
      <c r="E195" s="14">
        <v>44390</v>
      </c>
      <c r="F195" s="4">
        <v>13</v>
      </c>
      <c r="G195">
        <v>12</v>
      </c>
      <c r="H195">
        <v>12</v>
      </c>
      <c r="I195" s="13">
        <v>1</v>
      </c>
      <c r="J195">
        <v>0</v>
      </c>
      <c r="K195" s="2">
        <v>2.8935185185185184E-4</v>
      </c>
      <c r="L195" s="11">
        <v>5</v>
      </c>
      <c r="M195" s="3">
        <v>0.41666666666666669</v>
      </c>
      <c r="N195" s="4">
        <v>25</v>
      </c>
      <c r="O195" s="2">
        <v>2.5115740740740741E-3</v>
      </c>
      <c r="P195" s="9">
        <v>43.4</v>
      </c>
      <c r="Q195" s="3">
        <v>3.6166666666666667</v>
      </c>
      <c r="R195" s="4">
        <v>217</v>
      </c>
      <c r="S195" s="3">
        <v>8</v>
      </c>
      <c r="T195" s="1">
        <v>0.66669999999999996</v>
      </c>
      <c r="U195" s="6">
        <v>8.0003999999999991</v>
      </c>
    </row>
    <row r="196" spans="1:21" x14ac:dyDescent="0.35">
      <c r="A196">
        <v>195</v>
      </c>
      <c r="B196" s="5">
        <v>44391</v>
      </c>
      <c r="C196" s="4">
        <v>2021</v>
      </c>
      <c r="D196" s="4">
        <v>7</v>
      </c>
      <c r="E196" s="14">
        <v>44391</v>
      </c>
      <c r="F196" s="4">
        <v>14</v>
      </c>
      <c r="G196">
        <v>218</v>
      </c>
      <c r="H196">
        <v>212</v>
      </c>
      <c r="I196" s="13">
        <v>0.97</v>
      </c>
      <c r="J196">
        <v>6</v>
      </c>
      <c r="K196" s="2">
        <v>2.3148148148148149E-4</v>
      </c>
      <c r="L196" s="11">
        <v>70.666666666666657</v>
      </c>
      <c r="M196" s="3">
        <v>0.33333333333333331</v>
      </c>
      <c r="N196" s="4">
        <v>20</v>
      </c>
      <c r="O196" s="2">
        <v>1.3425925925925925E-3</v>
      </c>
      <c r="P196" s="9">
        <v>409.86666666666667</v>
      </c>
      <c r="Q196" s="3">
        <v>1.9333333333333333</v>
      </c>
      <c r="R196" s="4">
        <v>116</v>
      </c>
      <c r="S196" s="3">
        <v>160</v>
      </c>
      <c r="T196" s="1">
        <v>0.75929999999999997</v>
      </c>
      <c r="U196" s="6">
        <v>160.9716</v>
      </c>
    </row>
    <row r="197" spans="1:21" x14ac:dyDescent="0.35">
      <c r="A197">
        <v>196</v>
      </c>
      <c r="B197" s="5">
        <v>44392</v>
      </c>
      <c r="C197" s="4">
        <v>2021</v>
      </c>
      <c r="D197" s="4">
        <v>7</v>
      </c>
      <c r="E197" s="14">
        <v>44392</v>
      </c>
      <c r="F197" s="4">
        <v>15</v>
      </c>
      <c r="G197">
        <v>172</v>
      </c>
      <c r="H197">
        <v>163</v>
      </c>
      <c r="I197" s="13">
        <v>0.94</v>
      </c>
      <c r="J197">
        <v>9</v>
      </c>
      <c r="K197" s="2">
        <v>2.0833333333333335E-4</v>
      </c>
      <c r="L197" s="11">
        <v>48.9</v>
      </c>
      <c r="M197" s="3">
        <v>0.3</v>
      </c>
      <c r="N197" s="4">
        <v>18</v>
      </c>
      <c r="O197" s="2">
        <v>1.4930555555555556E-3</v>
      </c>
      <c r="P197" s="9">
        <v>350.45</v>
      </c>
      <c r="Q197" s="3">
        <v>2.15</v>
      </c>
      <c r="R197" s="4">
        <v>129</v>
      </c>
      <c r="S197" s="3">
        <v>133</v>
      </c>
      <c r="T197" s="1">
        <v>0.81930000000000003</v>
      </c>
      <c r="U197" s="6">
        <v>133.54590000000002</v>
      </c>
    </row>
    <row r="198" spans="1:21" x14ac:dyDescent="0.35">
      <c r="A198">
        <v>197</v>
      </c>
      <c r="B198" s="5">
        <v>44393</v>
      </c>
      <c r="C198" s="4">
        <v>2021</v>
      </c>
      <c r="D198" s="4">
        <v>7</v>
      </c>
      <c r="E198" s="14">
        <v>44393</v>
      </c>
      <c r="F198" s="4">
        <v>16</v>
      </c>
      <c r="G198">
        <v>205</v>
      </c>
      <c r="H198">
        <v>194</v>
      </c>
      <c r="I198" s="13">
        <v>0.94</v>
      </c>
      <c r="J198">
        <v>11</v>
      </c>
      <c r="K198" s="2">
        <v>2.0833333333333335E-4</v>
      </c>
      <c r="L198" s="11">
        <v>58.199999999999996</v>
      </c>
      <c r="M198" s="3">
        <v>0.3</v>
      </c>
      <c r="N198" s="4">
        <v>18</v>
      </c>
      <c r="O198" s="2">
        <v>1.6666666666666668E-3</v>
      </c>
      <c r="P198" s="9">
        <v>465.59999999999997</v>
      </c>
      <c r="Q198" s="3">
        <v>2.4</v>
      </c>
      <c r="R198" s="4">
        <v>144</v>
      </c>
      <c r="S198" s="3">
        <v>156</v>
      </c>
      <c r="T198" s="1">
        <v>0.80600000000000005</v>
      </c>
      <c r="U198" s="6">
        <v>156.364</v>
      </c>
    </row>
    <row r="199" spans="1:21" x14ac:dyDescent="0.35">
      <c r="A199">
        <v>198</v>
      </c>
      <c r="B199" s="5">
        <v>44394</v>
      </c>
      <c r="C199" s="4">
        <v>2021</v>
      </c>
      <c r="D199" s="4">
        <v>7</v>
      </c>
      <c r="E199" s="14">
        <v>44394</v>
      </c>
      <c r="F199" s="4">
        <v>17</v>
      </c>
      <c r="G199">
        <v>178</v>
      </c>
      <c r="H199">
        <v>168</v>
      </c>
      <c r="I199" s="13">
        <v>0.94</v>
      </c>
      <c r="J199">
        <v>10</v>
      </c>
      <c r="K199" s="2">
        <v>2.6620370370370372E-4</v>
      </c>
      <c r="L199" s="11">
        <v>64.400000000000006</v>
      </c>
      <c r="M199" s="3">
        <v>0.38333333333333336</v>
      </c>
      <c r="N199" s="4">
        <v>23</v>
      </c>
      <c r="O199" s="2">
        <v>1.712962962962963E-3</v>
      </c>
      <c r="P199" s="9">
        <v>414.40000000000003</v>
      </c>
      <c r="Q199" s="3">
        <v>2.4666666666666668</v>
      </c>
      <c r="R199" s="4">
        <v>148</v>
      </c>
      <c r="S199" s="3">
        <v>115</v>
      </c>
      <c r="T199" s="1">
        <v>0.68969999999999998</v>
      </c>
      <c r="U199" s="6">
        <v>115.86959999999999</v>
      </c>
    </row>
    <row r="200" spans="1:21" x14ac:dyDescent="0.35">
      <c r="A200">
        <v>199</v>
      </c>
      <c r="B200" s="5">
        <v>44395</v>
      </c>
      <c r="C200" s="4">
        <v>2021</v>
      </c>
      <c r="D200" s="4">
        <v>7</v>
      </c>
      <c r="E200" s="14">
        <v>44395</v>
      </c>
      <c r="F200" s="4">
        <v>18</v>
      </c>
      <c r="G200">
        <v>214</v>
      </c>
      <c r="H200">
        <v>201</v>
      </c>
      <c r="I200" s="13">
        <v>0.93</v>
      </c>
      <c r="J200">
        <v>13</v>
      </c>
      <c r="K200" s="2">
        <v>2.6620370370370372E-4</v>
      </c>
      <c r="L200" s="11">
        <v>77.050000000000011</v>
      </c>
      <c r="M200" s="3">
        <v>0.38333333333333336</v>
      </c>
      <c r="N200" s="4">
        <v>23</v>
      </c>
      <c r="O200" s="2">
        <v>1.5162037037037036E-3</v>
      </c>
      <c r="P200" s="9">
        <v>438.84999999999997</v>
      </c>
      <c r="Q200" s="3">
        <v>2.1833333333333331</v>
      </c>
      <c r="R200" s="4">
        <v>131</v>
      </c>
      <c r="S200" s="3">
        <v>132</v>
      </c>
      <c r="T200" s="1">
        <v>0.6603</v>
      </c>
      <c r="U200" s="6">
        <v>132.72030000000001</v>
      </c>
    </row>
    <row r="201" spans="1:21" x14ac:dyDescent="0.35">
      <c r="A201">
        <v>200</v>
      </c>
      <c r="B201" s="5">
        <v>44396</v>
      </c>
      <c r="C201" s="4">
        <v>2021</v>
      </c>
      <c r="D201" s="4">
        <v>7</v>
      </c>
      <c r="E201" s="14">
        <v>44396</v>
      </c>
      <c r="F201" s="4">
        <v>19</v>
      </c>
      <c r="G201">
        <v>169</v>
      </c>
      <c r="H201">
        <v>161</v>
      </c>
      <c r="I201" s="13">
        <v>0.95</v>
      </c>
      <c r="J201">
        <v>8</v>
      </c>
      <c r="K201" s="2">
        <v>2.6620370370370372E-4</v>
      </c>
      <c r="L201" s="11">
        <v>61.716666666666669</v>
      </c>
      <c r="M201" s="3">
        <v>0.38333333333333336</v>
      </c>
      <c r="N201" s="4">
        <v>23</v>
      </c>
      <c r="O201" s="2">
        <v>1.5856481481481481E-3</v>
      </c>
      <c r="P201" s="9">
        <v>367.61666666666667</v>
      </c>
      <c r="Q201" s="3">
        <v>2.2833333333333332</v>
      </c>
      <c r="R201" s="4">
        <v>137</v>
      </c>
      <c r="S201" s="3">
        <v>115</v>
      </c>
      <c r="T201" s="1">
        <v>0.71689999999999998</v>
      </c>
      <c r="U201" s="6">
        <v>115.4209</v>
      </c>
    </row>
    <row r="202" spans="1:21" x14ac:dyDescent="0.35">
      <c r="A202">
        <v>201</v>
      </c>
      <c r="B202" s="5">
        <v>44397</v>
      </c>
      <c r="C202" s="4">
        <v>2021</v>
      </c>
      <c r="D202" s="4">
        <v>7</v>
      </c>
      <c r="E202" s="14">
        <v>44397</v>
      </c>
      <c r="F202" s="4">
        <v>20</v>
      </c>
      <c r="G202">
        <v>46</v>
      </c>
      <c r="H202">
        <v>46</v>
      </c>
      <c r="I202" s="13">
        <v>1</v>
      </c>
      <c r="J202">
        <v>0</v>
      </c>
      <c r="K202" s="2">
        <v>2.8935185185185184E-4</v>
      </c>
      <c r="L202" s="11">
        <v>19.166666666666668</v>
      </c>
      <c r="M202" s="3">
        <v>0.41666666666666669</v>
      </c>
      <c r="N202" s="4">
        <v>25</v>
      </c>
      <c r="O202" s="2">
        <v>1.6666666666666668E-3</v>
      </c>
      <c r="P202" s="9">
        <v>110.39999999999999</v>
      </c>
      <c r="Q202" s="3">
        <v>2.4</v>
      </c>
      <c r="R202" s="4">
        <v>144</v>
      </c>
      <c r="S202" s="3">
        <v>33</v>
      </c>
      <c r="T202" s="1">
        <v>0.71740000000000004</v>
      </c>
      <c r="U202" s="6">
        <v>33.000399999999999</v>
      </c>
    </row>
    <row r="203" spans="1:21" x14ac:dyDescent="0.35">
      <c r="A203">
        <v>202</v>
      </c>
      <c r="B203" s="5">
        <v>44398</v>
      </c>
      <c r="C203" s="4">
        <v>2021</v>
      </c>
      <c r="D203" s="4">
        <v>7</v>
      </c>
      <c r="E203" s="14">
        <v>44398</v>
      </c>
      <c r="F203" s="4">
        <v>21</v>
      </c>
      <c r="G203">
        <v>183</v>
      </c>
      <c r="H203">
        <v>177</v>
      </c>
      <c r="I203" s="13">
        <v>0.96</v>
      </c>
      <c r="J203">
        <v>6</v>
      </c>
      <c r="K203" s="2">
        <v>2.0833333333333335E-4</v>
      </c>
      <c r="L203" s="11">
        <v>53.1</v>
      </c>
      <c r="M203" s="3">
        <v>0.3</v>
      </c>
      <c r="N203" s="4">
        <v>18</v>
      </c>
      <c r="O203" s="2">
        <v>1.736111111111111E-3</v>
      </c>
      <c r="P203" s="9">
        <v>442.5</v>
      </c>
      <c r="Q203" s="3">
        <v>2.5</v>
      </c>
      <c r="R203" s="4">
        <v>150</v>
      </c>
      <c r="S203" s="3">
        <v>143</v>
      </c>
      <c r="T203" s="1">
        <v>0.81110000000000004</v>
      </c>
      <c r="U203" s="6">
        <v>143.56470000000002</v>
      </c>
    </row>
    <row r="204" spans="1:21" x14ac:dyDescent="0.35">
      <c r="A204">
        <v>203</v>
      </c>
      <c r="B204" s="5">
        <v>44399</v>
      </c>
      <c r="C204" s="4">
        <v>2021</v>
      </c>
      <c r="D204" s="4">
        <v>7</v>
      </c>
      <c r="E204" s="14">
        <v>44399</v>
      </c>
      <c r="F204" s="4">
        <v>22</v>
      </c>
      <c r="G204">
        <v>208</v>
      </c>
      <c r="H204">
        <v>190</v>
      </c>
      <c r="I204" s="13">
        <v>0.91</v>
      </c>
      <c r="J204">
        <v>18</v>
      </c>
      <c r="K204" s="2">
        <v>2.4305555555555555E-4</v>
      </c>
      <c r="L204" s="11">
        <v>66.5</v>
      </c>
      <c r="M204" s="3">
        <v>0.35</v>
      </c>
      <c r="N204" s="4">
        <v>21</v>
      </c>
      <c r="O204" s="2">
        <v>1.6782407407407408E-3</v>
      </c>
      <c r="P204" s="9">
        <v>459.16666666666663</v>
      </c>
      <c r="Q204" s="3">
        <v>2.4166666666666665</v>
      </c>
      <c r="R204" s="4">
        <v>145</v>
      </c>
      <c r="S204" s="3">
        <v>140</v>
      </c>
      <c r="T204" s="1">
        <v>0.74109999999999998</v>
      </c>
      <c r="U204" s="6">
        <v>140.809</v>
      </c>
    </row>
    <row r="205" spans="1:21" x14ac:dyDescent="0.35">
      <c r="A205">
        <v>204</v>
      </c>
      <c r="B205" s="5">
        <v>44400</v>
      </c>
      <c r="C205" s="4">
        <v>2021</v>
      </c>
      <c r="D205" s="4">
        <v>7</v>
      </c>
      <c r="E205" s="14">
        <v>44400</v>
      </c>
      <c r="F205" s="4">
        <v>23</v>
      </c>
      <c r="G205">
        <v>234</v>
      </c>
      <c r="H205">
        <v>224</v>
      </c>
      <c r="I205" s="13">
        <v>0.95</v>
      </c>
      <c r="J205">
        <v>10</v>
      </c>
      <c r="K205" s="2">
        <v>2.5462962962962961E-4</v>
      </c>
      <c r="L205" s="11">
        <v>82.133333333333326</v>
      </c>
      <c r="M205" s="3">
        <v>0.36666666666666664</v>
      </c>
      <c r="N205" s="4">
        <v>22</v>
      </c>
      <c r="O205" s="2">
        <v>1.5625000000000001E-3</v>
      </c>
      <c r="P205" s="9">
        <v>504</v>
      </c>
      <c r="Q205" s="3">
        <v>2.25</v>
      </c>
      <c r="R205" s="4">
        <v>135</v>
      </c>
      <c r="S205" s="3">
        <v>166</v>
      </c>
      <c r="T205" s="1">
        <v>0.74139999999999995</v>
      </c>
      <c r="U205" s="6">
        <v>166.0736</v>
      </c>
    </row>
    <row r="206" spans="1:21" x14ac:dyDescent="0.35">
      <c r="A206">
        <v>205</v>
      </c>
      <c r="B206" s="5">
        <v>44401</v>
      </c>
      <c r="C206" s="4">
        <v>2021</v>
      </c>
      <c r="D206" s="4">
        <v>7</v>
      </c>
      <c r="E206" s="14">
        <v>44401</v>
      </c>
      <c r="F206" s="4">
        <v>24</v>
      </c>
      <c r="G206">
        <v>204</v>
      </c>
      <c r="H206">
        <v>194</v>
      </c>
      <c r="I206" s="13">
        <v>0.95</v>
      </c>
      <c r="J206">
        <v>10</v>
      </c>
      <c r="K206" s="2">
        <v>2.0833333333333335E-4</v>
      </c>
      <c r="L206" s="11">
        <v>58.199999999999996</v>
      </c>
      <c r="M206" s="3">
        <v>0.3</v>
      </c>
      <c r="N206" s="4">
        <v>18</v>
      </c>
      <c r="O206" s="2">
        <v>1.5856481481481481E-3</v>
      </c>
      <c r="P206" s="9">
        <v>442.96666666666664</v>
      </c>
      <c r="Q206" s="3">
        <v>2.2833333333333332</v>
      </c>
      <c r="R206" s="4">
        <v>137</v>
      </c>
      <c r="S206" s="3">
        <v>152</v>
      </c>
      <c r="T206" s="1">
        <v>0.78710000000000002</v>
      </c>
      <c r="U206" s="6">
        <v>152.69740000000002</v>
      </c>
    </row>
    <row r="207" spans="1:21" x14ac:dyDescent="0.35">
      <c r="A207">
        <v>206</v>
      </c>
      <c r="B207" s="5">
        <v>44402</v>
      </c>
      <c r="C207" s="4">
        <v>2021</v>
      </c>
      <c r="D207" s="4">
        <v>7</v>
      </c>
      <c r="E207" s="14">
        <v>44402</v>
      </c>
      <c r="F207" s="4">
        <v>25</v>
      </c>
      <c r="G207">
        <v>204</v>
      </c>
      <c r="H207">
        <v>189</v>
      </c>
      <c r="I207" s="13">
        <v>0.92</v>
      </c>
      <c r="J207">
        <v>15</v>
      </c>
      <c r="K207" s="2">
        <v>2.4305555555555555E-4</v>
      </c>
      <c r="L207" s="11">
        <v>66.149999999999991</v>
      </c>
      <c r="M207" s="3">
        <v>0.35</v>
      </c>
      <c r="N207" s="4">
        <v>21</v>
      </c>
      <c r="O207" s="2">
        <v>1.5625000000000001E-3</v>
      </c>
      <c r="P207" s="9">
        <v>425.25</v>
      </c>
      <c r="Q207" s="3">
        <v>2.25</v>
      </c>
      <c r="R207" s="4">
        <v>135</v>
      </c>
      <c r="S207" s="3">
        <v>133</v>
      </c>
      <c r="T207" s="1">
        <v>0.70789999999999997</v>
      </c>
      <c r="U207" s="6">
        <v>133.79309999999998</v>
      </c>
    </row>
    <row r="208" spans="1:21" x14ac:dyDescent="0.35">
      <c r="A208">
        <v>207</v>
      </c>
      <c r="B208" s="5">
        <v>44403</v>
      </c>
      <c r="C208" s="4">
        <v>2021</v>
      </c>
      <c r="D208" s="4">
        <v>7</v>
      </c>
      <c r="E208" s="14">
        <v>44403</v>
      </c>
      <c r="F208" s="4">
        <v>26</v>
      </c>
      <c r="G208">
        <v>99</v>
      </c>
      <c r="H208">
        <v>99</v>
      </c>
      <c r="I208" s="13">
        <v>1</v>
      </c>
      <c r="J208">
        <v>0</v>
      </c>
      <c r="K208" s="2">
        <v>1.8518518518518518E-4</v>
      </c>
      <c r="L208" s="11">
        <v>26.4</v>
      </c>
      <c r="M208" s="3">
        <v>0.26666666666666666</v>
      </c>
      <c r="N208" s="4">
        <v>16</v>
      </c>
      <c r="O208" s="2">
        <v>1.6782407407407408E-3</v>
      </c>
      <c r="P208" s="9">
        <v>239.24999999999997</v>
      </c>
      <c r="Q208" s="3">
        <v>2.4166666666666665</v>
      </c>
      <c r="R208" s="4">
        <v>145</v>
      </c>
      <c r="S208" s="3">
        <v>82</v>
      </c>
      <c r="T208" s="1">
        <v>0.82830000000000004</v>
      </c>
      <c r="U208" s="6">
        <v>82.0017</v>
      </c>
    </row>
    <row r="209" spans="1:21" x14ac:dyDescent="0.35">
      <c r="A209">
        <v>208</v>
      </c>
      <c r="B209" s="5">
        <v>44404</v>
      </c>
      <c r="C209" s="4">
        <v>2021</v>
      </c>
      <c r="D209" s="4">
        <v>7</v>
      </c>
      <c r="E209" s="14">
        <v>44404</v>
      </c>
      <c r="F209" s="4">
        <v>27</v>
      </c>
      <c r="G209">
        <v>29</v>
      </c>
      <c r="H209">
        <v>27</v>
      </c>
      <c r="I209" s="13">
        <v>0.93</v>
      </c>
      <c r="J209">
        <v>2</v>
      </c>
      <c r="K209" s="2">
        <v>2.199074074074074E-4</v>
      </c>
      <c r="L209" s="11">
        <v>8.5499999999999989</v>
      </c>
      <c r="M209" s="3">
        <v>0.31666666666666665</v>
      </c>
      <c r="N209" s="4">
        <v>19</v>
      </c>
      <c r="O209" s="2">
        <v>1.9328703703703704E-3</v>
      </c>
      <c r="P209" s="9">
        <v>75.149999999999991</v>
      </c>
      <c r="Q209" s="3">
        <v>2.7833333333333332</v>
      </c>
      <c r="R209" s="4">
        <v>167</v>
      </c>
      <c r="S209" s="3">
        <v>21</v>
      </c>
      <c r="T209" s="1">
        <v>0.78569999999999995</v>
      </c>
      <c r="U209" s="6">
        <v>21.213899999999999</v>
      </c>
    </row>
    <row r="210" spans="1:21" x14ac:dyDescent="0.35">
      <c r="A210">
        <v>209</v>
      </c>
      <c r="B210" s="5">
        <v>44405</v>
      </c>
      <c r="C210" s="4">
        <v>2021</v>
      </c>
      <c r="D210" s="4">
        <v>7</v>
      </c>
      <c r="E210" s="14">
        <v>44405</v>
      </c>
      <c r="F210" s="4">
        <v>28</v>
      </c>
      <c r="G210">
        <v>167</v>
      </c>
      <c r="H210">
        <v>159</v>
      </c>
      <c r="I210" s="13">
        <v>0.95</v>
      </c>
      <c r="J210">
        <v>8</v>
      </c>
      <c r="K210" s="2">
        <v>2.6620370370370372E-4</v>
      </c>
      <c r="L210" s="11">
        <v>60.95</v>
      </c>
      <c r="M210" s="3">
        <v>0.38333333333333336</v>
      </c>
      <c r="N210" s="4">
        <v>23</v>
      </c>
      <c r="O210" s="2">
        <v>1.712962962962963E-3</v>
      </c>
      <c r="P210" s="9">
        <v>392.20000000000005</v>
      </c>
      <c r="Q210" s="3">
        <v>2.4666666666666668</v>
      </c>
      <c r="R210" s="4">
        <v>148</v>
      </c>
      <c r="S210" s="3">
        <v>112</v>
      </c>
      <c r="T210" s="1">
        <v>0.70479999999999998</v>
      </c>
      <c r="U210" s="6">
        <v>112.06319999999999</v>
      </c>
    </row>
    <row r="211" spans="1:21" x14ac:dyDescent="0.35">
      <c r="A211">
        <v>210</v>
      </c>
      <c r="B211" s="5">
        <v>44406</v>
      </c>
      <c r="C211" s="4">
        <v>2021</v>
      </c>
      <c r="D211" s="4">
        <v>7</v>
      </c>
      <c r="E211" s="14">
        <v>44406</v>
      </c>
      <c r="F211" s="4">
        <v>29</v>
      </c>
      <c r="G211">
        <v>164</v>
      </c>
      <c r="H211">
        <v>161</v>
      </c>
      <c r="I211" s="13">
        <v>0.98</v>
      </c>
      <c r="J211">
        <v>3</v>
      </c>
      <c r="K211" s="2">
        <v>1.9675925925925926E-4</v>
      </c>
      <c r="L211" s="11">
        <v>45.616666666666667</v>
      </c>
      <c r="M211" s="3">
        <v>0.28333333333333333</v>
      </c>
      <c r="N211" s="4">
        <v>17</v>
      </c>
      <c r="O211" s="2">
        <v>1.7939814814814815E-3</v>
      </c>
      <c r="P211" s="9">
        <v>415.91666666666669</v>
      </c>
      <c r="Q211" s="3">
        <v>2.5833333333333335</v>
      </c>
      <c r="R211" s="4">
        <v>155</v>
      </c>
      <c r="S211" s="3">
        <v>131</v>
      </c>
      <c r="T211" s="1">
        <v>0.81710000000000005</v>
      </c>
      <c r="U211" s="6">
        <v>131.5531</v>
      </c>
    </row>
    <row r="212" spans="1:21" x14ac:dyDescent="0.35">
      <c r="A212">
        <v>211</v>
      </c>
      <c r="B212" s="5">
        <v>44407</v>
      </c>
      <c r="C212" s="4">
        <v>2021</v>
      </c>
      <c r="D212" s="4">
        <v>7</v>
      </c>
      <c r="E212" s="14">
        <v>44407</v>
      </c>
      <c r="F212" s="4">
        <v>30</v>
      </c>
      <c r="G212">
        <v>158</v>
      </c>
      <c r="H212">
        <v>147</v>
      </c>
      <c r="I212" s="13">
        <v>0.93</v>
      </c>
      <c r="J212">
        <v>11</v>
      </c>
      <c r="K212" s="2">
        <v>2.4305555555555555E-4</v>
      </c>
      <c r="L212" s="11">
        <v>51.449999999999996</v>
      </c>
      <c r="M212" s="3">
        <v>0.35</v>
      </c>
      <c r="N212" s="4">
        <v>21</v>
      </c>
      <c r="O212" s="2">
        <v>1.7824074074074075E-3</v>
      </c>
      <c r="P212" s="9">
        <v>377.29999999999995</v>
      </c>
      <c r="Q212" s="3">
        <v>2.5666666666666664</v>
      </c>
      <c r="R212" s="4">
        <v>154</v>
      </c>
      <c r="S212" s="3">
        <v>106</v>
      </c>
      <c r="T212" s="1">
        <v>0.72440000000000004</v>
      </c>
      <c r="U212" s="6">
        <v>106.4868</v>
      </c>
    </row>
    <row r="213" spans="1:21" x14ac:dyDescent="0.35">
      <c r="A213">
        <v>212</v>
      </c>
      <c r="B213" s="5">
        <v>44408</v>
      </c>
      <c r="C213" s="4">
        <v>2021</v>
      </c>
      <c r="D213" s="4">
        <v>7</v>
      </c>
      <c r="E213" s="14">
        <v>44408</v>
      </c>
      <c r="F213" s="4">
        <v>31</v>
      </c>
      <c r="G213">
        <v>165</v>
      </c>
      <c r="H213">
        <v>161</v>
      </c>
      <c r="I213" s="13">
        <v>0.97</v>
      </c>
      <c r="J213">
        <v>4</v>
      </c>
      <c r="K213" s="2">
        <v>1.9675925925925926E-4</v>
      </c>
      <c r="L213" s="11">
        <v>45.616666666666667</v>
      </c>
      <c r="M213" s="3">
        <v>0.28333333333333333</v>
      </c>
      <c r="N213" s="4">
        <v>17</v>
      </c>
      <c r="O213" s="2">
        <v>1.6898148148148148E-3</v>
      </c>
      <c r="P213" s="9">
        <v>391.76666666666671</v>
      </c>
      <c r="Q213" s="3">
        <v>2.4333333333333336</v>
      </c>
      <c r="R213" s="4">
        <v>146</v>
      </c>
      <c r="S213" s="3">
        <v>125</v>
      </c>
      <c r="T213" s="1">
        <v>0.77910000000000001</v>
      </c>
      <c r="U213" s="6">
        <v>125.43510000000001</v>
      </c>
    </row>
    <row r="214" spans="1:21" x14ac:dyDescent="0.35">
      <c r="A214">
        <v>213</v>
      </c>
      <c r="B214" s="5">
        <v>44409</v>
      </c>
      <c r="C214" s="4">
        <v>2021</v>
      </c>
      <c r="D214" s="4">
        <v>8</v>
      </c>
      <c r="E214" s="14">
        <v>44409</v>
      </c>
      <c r="F214" s="4">
        <v>1</v>
      </c>
      <c r="G214">
        <v>129</v>
      </c>
      <c r="H214">
        <v>124</v>
      </c>
      <c r="I214" s="13">
        <v>0.96</v>
      </c>
      <c r="J214">
        <v>5</v>
      </c>
      <c r="K214" s="2">
        <v>2.6620370370370372E-4</v>
      </c>
      <c r="L214" s="11">
        <v>47.533333333333339</v>
      </c>
      <c r="M214" s="3">
        <v>0.38333333333333336</v>
      </c>
      <c r="N214" s="4">
        <v>23</v>
      </c>
      <c r="O214" s="2">
        <v>1.712962962962963E-3</v>
      </c>
      <c r="P214" s="9">
        <v>305.86666666666667</v>
      </c>
      <c r="Q214" s="3">
        <v>2.4666666666666668</v>
      </c>
      <c r="R214" s="4">
        <v>148</v>
      </c>
      <c r="S214" s="3">
        <v>87</v>
      </c>
      <c r="T214" s="1">
        <v>0.7087</v>
      </c>
      <c r="U214" s="6">
        <v>87.878799999999998</v>
      </c>
    </row>
    <row r="215" spans="1:21" x14ac:dyDescent="0.35">
      <c r="A215">
        <v>214</v>
      </c>
      <c r="B215" s="5">
        <v>44410</v>
      </c>
      <c r="C215" s="4">
        <v>2021</v>
      </c>
      <c r="D215" s="4">
        <v>8</v>
      </c>
      <c r="E215" s="14">
        <v>44410</v>
      </c>
      <c r="F215" s="4">
        <v>2</v>
      </c>
      <c r="G215">
        <v>155</v>
      </c>
      <c r="H215">
        <v>149</v>
      </c>
      <c r="I215" s="13">
        <v>0.96</v>
      </c>
      <c r="J215">
        <v>6</v>
      </c>
      <c r="K215" s="2">
        <v>2.6620370370370372E-4</v>
      </c>
      <c r="L215" s="11">
        <v>57.116666666666667</v>
      </c>
      <c r="M215" s="3">
        <v>0.38333333333333336</v>
      </c>
      <c r="N215" s="4">
        <v>23</v>
      </c>
      <c r="O215" s="2">
        <v>1.6898148148148148E-3</v>
      </c>
      <c r="P215" s="9">
        <v>362.56666666666672</v>
      </c>
      <c r="Q215" s="3">
        <v>2.4333333333333336</v>
      </c>
      <c r="R215" s="4">
        <v>146</v>
      </c>
      <c r="S215" s="3">
        <v>111</v>
      </c>
      <c r="T215" s="1">
        <v>0.74509999999999998</v>
      </c>
      <c r="U215" s="6">
        <v>111.01989999999999</v>
      </c>
    </row>
    <row r="216" spans="1:21" x14ac:dyDescent="0.35">
      <c r="A216">
        <v>215</v>
      </c>
      <c r="B216" s="5">
        <v>44411</v>
      </c>
      <c r="C216" s="4">
        <v>2021</v>
      </c>
      <c r="D216" s="4">
        <v>8</v>
      </c>
      <c r="E216" s="14">
        <v>44411</v>
      </c>
      <c r="F216" s="4">
        <v>3</v>
      </c>
      <c r="G216">
        <v>24</v>
      </c>
      <c r="H216">
        <v>22</v>
      </c>
      <c r="I216" s="13">
        <v>0.91</v>
      </c>
      <c r="J216">
        <v>2</v>
      </c>
      <c r="K216" s="2">
        <v>3.2407407407407406E-4</v>
      </c>
      <c r="L216" s="11">
        <v>10.266666666666667</v>
      </c>
      <c r="M216" s="3">
        <v>0.46666666666666667</v>
      </c>
      <c r="N216" s="4">
        <v>28</v>
      </c>
      <c r="O216" s="2">
        <v>1.6666666666666668E-3</v>
      </c>
      <c r="P216" s="9">
        <v>52.8</v>
      </c>
      <c r="Q216" s="3">
        <v>2.4</v>
      </c>
      <c r="R216" s="4">
        <v>144</v>
      </c>
      <c r="S216" s="3">
        <v>11</v>
      </c>
      <c r="T216" s="1">
        <v>0.54169999999999996</v>
      </c>
      <c r="U216" s="6">
        <v>11.917399999999999</v>
      </c>
    </row>
    <row r="217" spans="1:21" x14ac:dyDescent="0.35">
      <c r="A217">
        <v>216</v>
      </c>
      <c r="B217" s="5">
        <v>44412</v>
      </c>
      <c r="C217" s="4">
        <v>2021</v>
      </c>
      <c r="D217" s="4">
        <v>8</v>
      </c>
      <c r="E217" s="14">
        <v>44412</v>
      </c>
      <c r="F217" s="4">
        <v>4</v>
      </c>
      <c r="G217">
        <v>209</v>
      </c>
      <c r="H217">
        <v>200</v>
      </c>
      <c r="I217" s="13">
        <v>0.95</v>
      </c>
      <c r="J217">
        <v>9</v>
      </c>
      <c r="K217" s="2">
        <v>2.6620370370370372E-4</v>
      </c>
      <c r="L217" s="11">
        <v>76.666666666666671</v>
      </c>
      <c r="M217" s="3">
        <v>0.38333333333333336</v>
      </c>
      <c r="N217" s="4">
        <v>23</v>
      </c>
      <c r="O217" s="2">
        <v>1.6666666666666668E-3</v>
      </c>
      <c r="P217" s="9">
        <v>480</v>
      </c>
      <c r="Q217" s="3">
        <v>2.4</v>
      </c>
      <c r="R217" s="4">
        <v>144</v>
      </c>
      <c r="S217" s="3">
        <v>133</v>
      </c>
      <c r="T217" s="1">
        <v>0.66669999999999996</v>
      </c>
      <c r="U217" s="6">
        <v>133.34</v>
      </c>
    </row>
    <row r="218" spans="1:21" x14ac:dyDescent="0.35">
      <c r="A218">
        <v>217</v>
      </c>
      <c r="B218" s="5">
        <v>44413</v>
      </c>
      <c r="C218" s="4">
        <v>2021</v>
      </c>
      <c r="D218" s="4">
        <v>8</v>
      </c>
      <c r="E218" s="14">
        <v>44413</v>
      </c>
      <c r="F218" s="4">
        <v>5</v>
      </c>
      <c r="G218">
        <v>239</v>
      </c>
      <c r="H218">
        <v>226</v>
      </c>
      <c r="I218" s="13">
        <v>0.94</v>
      </c>
      <c r="J218">
        <v>13</v>
      </c>
      <c r="K218" s="2">
        <v>3.0092592592592595E-4</v>
      </c>
      <c r="L218" s="11">
        <v>97.933333333333337</v>
      </c>
      <c r="M218" s="3">
        <v>0.43333333333333335</v>
      </c>
      <c r="N218" s="4">
        <v>26</v>
      </c>
      <c r="O218" s="2">
        <v>1.6087962962962963E-3</v>
      </c>
      <c r="P218" s="9">
        <v>523.56666666666661</v>
      </c>
      <c r="Q218" s="3">
        <v>2.3166666666666664</v>
      </c>
      <c r="R218" s="4">
        <v>139</v>
      </c>
      <c r="S218" s="3">
        <v>151</v>
      </c>
      <c r="T218" s="1">
        <v>0.67230000000000001</v>
      </c>
      <c r="U218" s="6">
        <v>151.93979999999999</v>
      </c>
    </row>
    <row r="219" spans="1:21" x14ac:dyDescent="0.35">
      <c r="A219">
        <v>218</v>
      </c>
      <c r="B219" s="5">
        <v>44414</v>
      </c>
      <c r="C219" s="4">
        <v>2021</v>
      </c>
      <c r="D219" s="4">
        <v>8</v>
      </c>
      <c r="E219" s="14">
        <v>44414</v>
      </c>
      <c r="F219" s="4">
        <v>6</v>
      </c>
      <c r="G219">
        <v>229</v>
      </c>
      <c r="H219">
        <v>210</v>
      </c>
      <c r="I219" s="13">
        <v>0.91</v>
      </c>
      <c r="J219">
        <v>19</v>
      </c>
      <c r="K219" s="2">
        <v>3.3564814814814812E-4</v>
      </c>
      <c r="L219" s="11">
        <v>101.5</v>
      </c>
      <c r="M219" s="3">
        <v>0.48333333333333334</v>
      </c>
      <c r="N219" s="4">
        <v>29</v>
      </c>
      <c r="O219" s="2">
        <v>1.6550925925925926E-3</v>
      </c>
      <c r="P219" s="9">
        <v>500.5</v>
      </c>
      <c r="Q219" s="3">
        <v>2.3833333333333333</v>
      </c>
      <c r="R219" s="4">
        <v>143</v>
      </c>
      <c r="S219" s="3">
        <v>134</v>
      </c>
      <c r="T219" s="1">
        <v>0.64159999999999995</v>
      </c>
      <c r="U219" s="6">
        <v>134.73599999999999</v>
      </c>
    </row>
    <row r="220" spans="1:21" x14ac:dyDescent="0.35">
      <c r="A220">
        <v>219</v>
      </c>
      <c r="B220" s="5">
        <v>44415</v>
      </c>
      <c r="C220" s="4">
        <v>2021</v>
      </c>
      <c r="D220" s="4">
        <v>8</v>
      </c>
      <c r="E220" s="14">
        <v>44415</v>
      </c>
      <c r="F220" s="4">
        <v>7</v>
      </c>
      <c r="G220">
        <v>194</v>
      </c>
      <c r="H220">
        <v>172</v>
      </c>
      <c r="I220" s="13">
        <v>0.88</v>
      </c>
      <c r="J220">
        <v>22</v>
      </c>
      <c r="K220" s="2">
        <v>2.6620370370370372E-4</v>
      </c>
      <c r="L220" s="11">
        <v>65.933333333333337</v>
      </c>
      <c r="M220" s="3">
        <v>0.38333333333333336</v>
      </c>
      <c r="N220" s="4">
        <v>23</v>
      </c>
      <c r="O220" s="2">
        <v>1.6203703703703703E-3</v>
      </c>
      <c r="P220" s="9">
        <v>401.33333333333337</v>
      </c>
      <c r="Q220" s="3">
        <v>2.3333333333333335</v>
      </c>
      <c r="R220" s="4">
        <v>140</v>
      </c>
      <c r="S220" s="3">
        <v>113</v>
      </c>
      <c r="T220" s="1">
        <v>0.66139999999999999</v>
      </c>
      <c r="U220" s="6">
        <v>113.7608</v>
      </c>
    </row>
    <row r="221" spans="1:21" x14ac:dyDescent="0.35">
      <c r="A221">
        <v>220</v>
      </c>
      <c r="B221" s="5">
        <v>44416</v>
      </c>
      <c r="C221" s="4">
        <v>2021</v>
      </c>
      <c r="D221" s="4">
        <v>8</v>
      </c>
      <c r="E221" s="14">
        <v>44416</v>
      </c>
      <c r="F221" s="4">
        <v>8</v>
      </c>
      <c r="G221">
        <v>202</v>
      </c>
      <c r="H221">
        <v>179</v>
      </c>
      <c r="I221" s="13">
        <v>0.88</v>
      </c>
      <c r="J221">
        <v>23</v>
      </c>
      <c r="K221" s="2">
        <v>2.7777777777777778E-4</v>
      </c>
      <c r="L221" s="11">
        <v>71.600000000000009</v>
      </c>
      <c r="M221" s="3">
        <v>0.4</v>
      </c>
      <c r="N221" s="4">
        <v>24</v>
      </c>
      <c r="O221" s="2">
        <v>1.5740740740740741E-3</v>
      </c>
      <c r="P221" s="9">
        <v>405.73333333333335</v>
      </c>
      <c r="Q221" s="3">
        <v>2.2666666666666666</v>
      </c>
      <c r="R221" s="4">
        <v>136</v>
      </c>
      <c r="S221" s="3">
        <v>115</v>
      </c>
      <c r="T221" s="1">
        <v>0.64429999999999998</v>
      </c>
      <c r="U221" s="6">
        <v>115.3297</v>
      </c>
    </row>
    <row r="222" spans="1:21" x14ac:dyDescent="0.35">
      <c r="A222">
        <v>221</v>
      </c>
      <c r="B222" s="5">
        <v>44417</v>
      </c>
      <c r="C222" s="4">
        <v>2021</v>
      </c>
      <c r="D222" s="4">
        <v>8</v>
      </c>
      <c r="E222" s="14">
        <v>44417</v>
      </c>
      <c r="F222" s="4">
        <v>9</v>
      </c>
      <c r="G222">
        <v>268</v>
      </c>
      <c r="H222">
        <v>254</v>
      </c>
      <c r="I222" s="13">
        <v>0.94</v>
      </c>
      <c r="J222">
        <v>14</v>
      </c>
      <c r="K222" s="2">
        <v>1.7361111111111112E-4</v>
      </c>
      <c r="L222" s="11">
        <v>63.5</v>
      </c>
      <c r="M222" s="3">
        <v>0.25</v>
      </c>
      <c r="N222" s="4">
        <v>15</v>
      </c>
      <c r="O222" s="2">
        <v>1.2847222222222223E-3</v>
      </c>
      <c r="P222" s="9">
        <v>469.90000000000003</v>
      </c>
      <c r="Q222" s="3">
        <v>1.85</v>
      </c>
      <c r="R222" s="4">
        <v>111</v>
      </c>
      <c r="S222" s="3">
        <v>206</v>
      </c>
      <c r="T222" s="1">
        <v>0.81130000000000002</v>
      </c>
      <c r="U222" s="6">
        <v>206.0702</v>
      </c>
    </row>
    <row r="223" spans="1:21" x14ac:dyDescent="0.35">
      <c r="A223">
        <v>222</v>
      </c>
      <c r="B223" s="5">
        <v>44418</v>
      </c>
      <c r="C223" s="4">
        <v>2021</v>
      </c>
      <c r="D223" s="4">
        <v>8</v>
      </c>
      <c r="E223" s="14">
        <v>44418</v>
      </c>
      <c r="F223" s="4">
        <v>10</v>
      </c>
      <c r="G223">
        <v>52</v>
      </c>
      <c r="H223">
        <v>49</v>
      </c>
      <c r="I223" s="13">
        <v>0.94</v>
      </c>
      <c r="J223">
        <v>3</v>
      </c>
      <c r="K223" s="2">
        <v>2.0833333333333335E-4</v>
      </c>
      <c r="L223" s="11">
        <v>14.7</v>
      </c>
      <c r="M223" s="3">
        <v>0.3</v>
      </c>
      <c r="N223" s="4">
        <v>18</v>
      </c>
      <c r="O223" s="2">
        <v>1.5972222222222223E-3</v>
      </c>
      <c r="P223" s="9">
        <v>112.69999999999999</v>
      </c>
      <c r="Q223" s="3">
        <v>2.2999999999999998</v>
      </c>
      <c r="R223" s="4">
        <v>138</v>
      </c>
      <c r="S223" s="3">
        <v>37</v>
      </c>
      <c r="T223" s="1">
        <v>0.76470000000000005</v>
      </c>
      <c r="U223" s="6">
        <v>37.470300000000002</v>
      </c>
    </row>
    <row r="224" spans="1:21" x14ac:dyDescent="0.35">
      <c r="A224">
        <v>223</v>
      </c>
      <c r="B224" s="5">
        <v>44419</v>
      </c>
      <c r="C224" s="4">
        <v>2021</v>
      </c>
      <c r="D224" s="4">
        <v>8</v>
      </c>
      <c r="E224" s="14">
        <v>44419</v>
      </c>
      <c r="F224" s="4">
        <v>11</v>
      </c>
      <c r="G224">
        <v>414</v>
      </c>
      <c r="H224">
        <v>397</v>
      </c>
      <c r="I224" s="13">
        <v>0.95</v>
      </c>
      <c r="J224">
        <v>17</v>
      </c>
      <c r="K224" s="2">
        <v>2.6620370370370372E-4</v>
      </c>
      <c r="L224" s="11">
        <v>152.18333333333334</v>
      </c>
      <c r="M224" s="3">
        <v>0.38333333333333336</v>
      </c>
      <c r="N224" s="4">
        <v>23</v>
      </c>
      <c r="O224" s="2">
        <v>1.3657407407407407E-3</v>
      </c>
      <c r="P224" s="9">
        <v>780.76666666666677</v>
      </c>
      <c r="Q224" s="3">
        <v>1.9666666666666668</v>
      </c>
      <c r="R224" s="4">
        <v>118</v>
      </c>
      <c r="S224" s="3">
        <v>280</v>
      </c>
      <c r="T224" s="1">
        <v>0.70730000000000004</v>
      </c>
      <c r="U224" s="6">
        <v>280.79810000000003</v>
      </c>
    </row>
    <row r="225" spans="1:21" x14ac:dyDescent="0.35">
      <c r="A225">
        <v>224</v>
      </c>
      <c r="B225" s="5">
        <v>44420</v>
      </c>
      <c r="C225" s="4">
        <v>2021</v>
      </c>
      <c r="D225" s="4">
        <v>8</v>
      </c>
      <c r="E225" s="14">
        <v>44420</v>
      </c>
      <c r="F225" s="4">
        <v>12</v>
      </c>
      <c r="G225">
        <v>346</v>
      </c>
      <c r="H225">
        <v>325</v>
      </c>
      <c r="I225" s="13">
        <v>0.93</v>
      </c>
      <c r="J225">
        <v>21</v>
      </c>
      <c r="K225" s="2">
        <v>3.1250000000000001E-4</v>
      </c>
      <c r="L225" s="11">
        <v>146.25</v>
      </c>
      <c r="M225" s="3">
        <v>0.45</v>
      </c>
      <c r="N225" s="4">
        <v>27</v>
      </c>
      <c r="O225" s="2">
        <v>1.6435185185185185E-3</v>
      </c>
      <c r="P225" s="9">
        <v>769.16666666666663</v>
      </c>
      <c r="Q225" s="3">
        <v>2.3666666666666667</v>
      </c>
      <c r="R225" s="4">
        <v>142</v>
      </c>
      <c r="S225" s="3">
        <v>213</v>
      </c>
      <c r="T225" s="1">
        <v>0.65690000000000004</v>
      </c>
      <c r="U225" s="6">
        <v>213.49250000000001</v>
      </c>
    </row>
    <row r="226" spans="1:21" x14ac:dyDescent="0.35">
      <c r="A226">
        <v>225</v>
      </c>
      <c r="B226" s="5">
        <v>44421</v>
      </c>
      <c r="C226" s="4">
        <v>2021</v>
      </c>
      <c r="D226" s="4">
        <v>8</v>
      </c>
      <c r="E226" s="14">
        <v>44421</v>
      </c>
      <c r="F226" s="4">
        <v>13</v>
      </c>
      <c r="G226">
        <v>187</v>
      </c>
      <c r="H226">
        <v>179</v>
      </c>
      <c r="I226" s="13">
        <v>0.95</v>
      </c>
      <c r="J226">
        <v>8</v>
      </c>
      <c r="K226" s="2">
        <v>2.8935185185185184E-4</v>
      </c>
      <c r="L226" s="11">
        <v>74.583333333333343</v>
      </c>
      <c r="M226" s="3">
        <v>0.41666666666666669</v>
      </c>
      <c r="N226" s="4">
        <v>25</v>
      </c>
      <c r="O226" s="2">
        <v>1.5509259259259259E-3</v>
      </c>
      <c r="P226" s="9">
        <v>399.76666666666665</v>
      </c>
      <c r="Q226" s="3">
        <v>2.2333333333333334</v>
      </c>
      <c r="R226" s="4">
        <v>134</v>
      </c>
      <c r="S226" s="3">
        <v>119</v>
      </c>
      <c r="T226" s="1">
        <v>0.67030000000000001</v>
      </c>
      <c r="U226" s="6">
        <v>119.9837</v>
      </c>
    </row>
    <row r="227" spans="1:21" x14ac:dyDescent="0.35">
      <c r="A227">
        <v>226</v>
      </c>
      <c r="B227" s="5">
        <v>44422</v>
      </c>
      <c r="C227" s="4">
        <v>2021</v>
      </c>
      <c r="D227" s="4">
        <v>8</v>
      </c>
      <c r="E227" s="14">
        <v>44422</v>
      </c>
      <c r="F227" s="4">
        <v>14</v>
      </c>
      <c r="G227">
        <v>203</v>
      </c>
      <c r="H227">
        <v>186</v>
      </c>
      <c r="I227" s="13">
        <v>0.91</v>
      </c>
      <c r="J227">
        <v>17</v>
      </c>
      <c r="K227" s="2">
        <v>2.7777777777777778E-4</v>
      </c>
      <c r="L227" s="11">
        <v>74.400000000000006</v>
      </c>
      <c r="M227" s="3">
        <v>0.4</v>
      </c>
      <c r="N227" s="4">
        <v>24</v>
      </c>
      <c r="O227" s="2">
        <v>1.8287037037037037E-3</v>
      </c>
      <c r="P227" s="9">
        <v>489.8</v>
      </c>
      <c r="Q227" s="3">
        <v>2.6333333333333333</v>
      </c>
      <c r="R227" s="4">
        <v>158</v>
      </c>
      <c r="S227" s="3">
        <v>129</v>
      </c>
      <c r="T227" s="1">
        <v>0.69589999999999996</v>
      </c>
      <c r="U227" s="6">
        <v>129.4374</v>
      </c>
    </row>
    <row r="228" spans="1:21" x14ac:dyDescent="0.35">
      <c r="A228">
        <v>227</v>
      </c>
      <c r="B228" s="5">
        <v>44423</v>
      </c>
      <c r="C228" s="4">
        <v>2021</v>
      </c>
      <c r="D228" s="4">
        <v>8</v>
      </c>
      <c r="E228" s="14">
        <v>44423</v>
      </c>
      <c r="F228" s="4">
        <v>15</v>
      </c>
      <c r="G228">
        <v>204</v>
      </c>
      <c r="H228">
        <v>194</v>
      </c>
      <c r="I228" s="13">
        <v>0.95</v>
      </c>
      <c r="J228">
        <v>10</v>
      </c>
      <c r="K228" s="2">
        <v>2.0833333333333335E-4</v>
      </c>
      <c r="L228" s="11">
        <v>58.199999999999996</v>
      </c>
      <c r="M228" s="3">
        <v>0.3</v>
      </c>
      <c r="N228" s="4">
        <v>18</v>
      </c>
      <c r="O228" s="2">
        <v>1.7708333333333332E-3</v>
      </c>
      <c r="P228" s="9">
        <v>494.7</v>
      </c>
      <c r="Q228" s="3">
        <v>2.5499999999999998</v>
      </c>
      <c r="R228" s="4">
        <v>153</v>
      </c>
      <c r="S228" s="3">
        <v>159</v>
      </c>
      <c r="T228" s="1">
        <v>0.82410000000000005</v>
      </c>
      <c r="U228" s="6">
        <v>159.87540000000001</v>
      </c>
    </row>
    <row r="229" spans="1:21" x14ac:dyDescent="0.35">
      <c r="A229">
        <v>228</v>
      </c>
      <c r="B229" s="5">
        <v>44424</v>
      </c>
      <c r="C229" s="4">
        <v>2021</v>
      </c>
      <c r="D229" s="4">
        <v>8</v>
      </c>
      <c r="E229" s="14">
        <v>44424</v>
      </c>
      <c r="F229" s="4">
        <v>16</v>
      </c>
      <c r="G229">
        <v>126</v>
      </c>
      <c r="H229">
        <v>121</v>
      </c>
      <c r="I229" s="13">
        <v>0.96</v>
      </c>
      <c r="J229">
        <v>5</v>
      </c>
      <c r="K229" s="2">
        <v>2.4305555555555555E-4</v>
      </c>
      <c r="L229" s="11">
        <v>42.349999999999994</v>
      </c>
      <c r="M229" s="3">
        <v>0.35</v>
      </c>
      <c r="N229" s="4">
        <v>21</v>
      </c>
      <c r="O229" s="2">
        <v>1.7592592592592592E-3</v>
      </c>
      <c r="P229" s="9">
        <v>306.5333333333333</v>
      </c>
      <c r="Q229" s="3">
        <v>2.5333333333333332</v>
      </c>
      <c r="R229" s="4">
        <v>152</v>
      </c>
      <c r="S229" s="3">
        <v>85</v>
      </c>
      <c r="T229" s="1">
        <v>0.70630000000000004</v>
      </c>
      <c r="U229" s="6">
        <v>85.462299999999999</v>
      </c>
    </row>
    <row r="230" spans="1:21" x14ac:dyDescent="0.35">
      <c r="A230">
        <v>229</v>
      </c>
      <c r="B230" s="5">
        <v>44425</v>
      </c>
      <c r="C230" s="4">
        <v>2021</v>
      </c>
      <c r="D230" s="4">
        <v>8</v>
      </c>
      <c r="E230" s="14">
        <v>44425</v>
      </c>
      <c r="F230" s="4">
        <v>17</v>
      </c>
      <c r="G230">
        <v>36</v>
      </c>
      <c r="H230">
        <v>36</v>
      </c>
      <c r="I230" s="13">
        <v>1</v>
      </c>
      <c r="J230">
        <v>0</v>
      </c>
      <c r="K230" s="2">
        <v>1.9675925925925926E-4</v>
      </c>
      <c r="L230" s="11">
        <v>10.199999999999999</v>
      </c>
      <c r="M230" s="3">
        <v>0.28333333333333333</v>
      </c>
      <c r="N230" s="4">
        <v>17</v>
      </c>
      <c r="O230" s="2">
        <v>1.4699074074074074E-3</v>
      </c>
      <c r="P230" s="9">
        <v>76.2</v>
      </c>
      <c r="Q230" s="3">
        <v>2.1166666666666667</v>
      </c>
      <c r="R230" s="4">
        <v>127</v>
      </c>
      <c r="S230" s="3">
        <v>28</v>
      </c>
      <c r="T230" s="1">
        <v>0.77780000000000005</v>
      </c>
      <c r="U230" s="6">
        <v>28.000800000000002</v>
      </c>
    </row>
    <row r="231" spans="1:21" x14ac:dyDescent="0.35">
      <c r="A231">
        <v>230</v>
      </c>
      <c r="B231" s="5">
        <v>44426</v>
      </c>
      <c r="C231" s="4">
        <v>2021</v>
      </c>
      <c r="D231" s="4">
        <v>8</v>
      </c>
      <c r="E231" s="14">
        <v>44426</v>
      </c>
      <c r="F231" s="4">
        <v>18</v>
      </c>
      <c r="G231">
        <v>180</v>
      </c>
      <c r="H231">
        <v>165</v>
      </c>
      <c r="I231" s="13">
        <v>0.91</v>
      </c>
      <c r="J231">
        <v>15</v>
      </c>
      <c r="K231" s="2">
        <v>3.1250000000000001E-4</v>
      </c>
      <c r="L231" s="11">
        <v>74.25</v>
      </c>
      <c r="M231" s="3">
        <v>0.45</v>
      </c>
      <c r="N231" s="4">
        <v>27</v>
      </c>
      <c r="O231" s="2">
        <v>1.736111111111111E-3</v>
      </c>
      <c r="P231" s="9">
        <v>412.5</v>
      </c>
      <c r="Q231" s="3">
        <v>2.5</v>
      </c>
      <c r="R231" s="4">
        <v>150</v>
      </c>
      <c r="S231" s="3">
        <v>109</v>
      </c>
      <c r="T231" s="1">
        <v>0.66090000000000004</v>
      </c>
      <c r="U231" s="6">
        <v>109.0485</v>
      </c>
    </row>
    <row r="232" spans="1:21" x14ac:dyDescent="0.35">
      <c r="A232">
        <v>231</v>
      </c>
      <c r="B232" s="5">
        <v>44427</v>
      </c>
      <c r="C232" s="4">
        <v>2021</v>
      </c>
      <c r="D232" s="4">
        <v>8</v>
      </c>
      <c r="E232" s="14">
        <v>44427</v>
      </c>
      <c r="F232" s="4">
        <v>19</v>
      </c>
      <c r="G232">
        <v>169</v>
      </c>
      <c r="H232">
        <v>162</v>
      </c>
      <c r="I232" s="13">
        <v>0.95</v>
      </c>
      <c r="J232">
        <v>7</v>
      </c>
      <c r="K232" s="2">
        <v>2.3148148148148149E-4</v>
      </c>
      <c r="L232" s="11">
        <v>54</v>
      </c>
      <c r="M232" s="3">
        <v>0.33333333333333331</v>
      </c>
      <c r="N232" s="4">
        <v>20</v>
      </c>
      <c r="O232" s="2">
        <v>1.6782407407407408E-3</v>
      </c>
      <c r="P232" s="9">
        <v>391.5</v>
      </c>
      <c r="Q232" s="3">
        <v>2.4166666666666665</v>
      </c>
      <c r="R232" s="4">
        <v>145</v>
      </c>
      <c r="S232" s="3">
        <v>120</v>
      </c>
      <c r="T232" s="1">
        <v>0.74560000000000004</v>
      </c>
      <c r="U232" s="6">
        <v>120.78720000000001</v>
      </c>
    </row>
    <row r="233" spans="1:21" x14ac:dyDescent="0.35">
      <c r="A233">
        <v>232</v>
      </c>
      <c r="B233" s="5">
        <v>44428</v>
      </c>
      <c r="C233" s="4">
        <v>2021</v>
      </c>
      <c r="D233" s="4">
        <v>8</v>
      </c>
      <c r="E233" s="14">
        <v>44428</v>
      </c>
      <c r="F233" s="4">
        <v>20</v>
      </c>
      <c r="G233">
        <v>155</v>
      </c>
      <c r="H233">
        <v>151</v>
      </c>
      <c r="I233" s="13">
        <v>0.97</v>
      </c>
      <c r="J233">
        <v>4</v>
      </c>
      <c r="K233" s="2">
        <v>2.4305555555555555E-4</v>
      </c>
      <c r="L233" s="11">
        <v>52.849999999999994</v>
      </c>
      <c r="M233" s="3">
        <v>0.35</v>
      </c>
      <c r="N233" s="4">
        <v>21</v>
      </c>
      <c r="O233" s="2">
        <v>1.6203703703703703E-3</v>
      </c>
      <c r="P233" s="9">
        <v>352.33333333333337</v>
      </c>
      <c r="Q233" s="3">
        <v>2.3333333333333335</v>
      </c>
      <c r="R233" s="4">
        <v>140</v>
      </c>
      <c r="S233" s="3">
        <v>107</v>
      </c>
      <c r="T233" s="1">
        <v>0.7097</v>
      </c>
      <c r="U233" s="6">
        <v>107.1647</v>
      </c>
    </row>
    <row r="234" spans="1:21" x14ac:dyDescent="0.35">
      <c r="A234">
        <v>233</v>
      </c>
      <c r="B234" s="5">
        <v>44429</v>
      </c>
      <c r="C234" s="4">
        <v>2021</v>
      </c>
      <c r="D234" s="4">
        <v>8</v>
      </c>
      <c r="E234" s="14">
        <v>44429</v>
      </c>
      <c r="F234" s="4">
        <v>21</v>
      </c>
      <c r="G234">
        <v>169</v>
      </c>
      <c r="H234">
        <v>137</v>
      </c>
      <c r="I234" s="13">
        <v>0.81</v>
      </c>
      <c r="J234">
        <v>32</v>
      </c>
      <c r="K234" s="2">
        <v>4.3981481481481481E-4</v>
      </c>
      <c r="L234" s="11">
        <v>86.766666666666666</v>
      </c>
      <c r="M234" s="3">
        <v>0.6333333333333333</v>
      </c>
      <c r="N234" s="4">
        <v>38</v>
      </c>
      <c r="O234" s="2">
        <v>1.6666666666666668E-3</v>
      </c>
      <c r="P234" s="9">
        <v>328.8</v>
      </c>
      <c r="Q234" s="3">
        <v>2.4</v>
      </c>
      <c r="R234" s="4">
        <v>144</v>
      </c>
      <c r="S234" s="3">
        <v>55</v>
      </c>
      <c r="T234" s="1">
        <v>0.40360000000000001</v>
      </c>
      <c r="U234" s="6">
        <v>55.293199999999999</v>
      </c>
    </row>
    <row r="235" spans="1:21" x14ac:dyDescent="0.35">
      <c r="A235">
        <v>234</v>
      </c>
      <c r="B235" s="5">
        <v>44430</v>
      </c>
      <c r="C235" s="4">
        <v>2021</v>
      </c>
      <c r="D235" s="4">
        <v>8</v>
      </c>
      <c r="E235" s="14">
        <v>44430</v>
      </c>
      <c r="F235" s="4">
        <v>22</v>
      </c>
      <c r="G235">
        <v>61</v>
      </c>
      <c r="H235">
        <v>45</v>
      </c>
      <c r="I235" s="13">
        <v>0.73</v>
      </c>
      <c r="J235">
        <v>16</v>
      </c>
      <c r="K235" s="2">
        <v>3.7037037037037035E-4</v>
      </c>
      <c r="L235" s="11">
        <v>24</v>
      </c>
      <c r="M235" s="3">
        <v>0.53333333333333333</v>
      </c>
      <c r="N235" s="4">
        <v>32</v>
      </c>
      <c r="O235" s="2">
        <v>1.9560185185185184E-3</v>
      </c>
      <c r="P235" s="9">
        <v>126.74999999999999</v>
      </c>
      <c r="Q235" s="3">
        <v>2.8166666666666664</v>
      </c>
      <c r="R235" s="4">
        <v>169</v>
      </c>
      <c r="S235" s="3">
        <v>18</v>
      </c>
      <c r="T235" s="1">
        <v>0.4098</v>
      </c>
      <c r="U235" s="6">
        <v>18.440999999999999</v>
      </c>
    </row>
    <row r="236" spans="1:21" x14ac:dyDescent="0.35">
      <c r="A236">
        <v>235</v>
      </c>
      <c r="B236" s="5">
        <v>44431</v>
      </c>
      <c r="C236" s="4">
        <v>2021</v>
      </c>
      <c r="D236" s="4">
        <v>8</v>
      </c>
      <c r="E236" s="14">
        <v>44431</v>
      </c>
      <c r="F236" s="4">
        <v>23</v>
      </c>
      <c r="G236">
        <v>167</v>
      </c>
      <c r="H236">
        <v>136</v>
      </c>
      <c r="I236" s="13">
        <v>0.81</v>
      </c>
      <c r="J236">
        <v>31</v>
      </c>
      <c r="K236" s="2">
        <v>4.861111111111111E-4</v>
      </c>
      <c r="L236" s="11">
        <v>95.199999999999989</v>
      </c>
      <c r="M236" s="3">
        <v>0.7</v>
      </c>
      <c r="N236" s="4">
        <v>42</v>
      </c>
      <c r="O236" s="2">
        <v>1.8055555555555555E-3</v>
      </c>
      <c r="P236" s="9">
        <v>353.6</v>
      </c>
      <c r="Q236" s="3">
        <v>2.6</v>
      </c>
      <c r="R236" s="4">
        <v>156</v>
      </c>
      <c r="S236" s="3">
        <v>48</v>
      </c>
      <c r="T236" s="1">
        <v>0.35980000000000001</v>
      </c>
      <c r="U236" s="6">
        <v>48.9328</v>
      </c>
    </row>
    <row r="237" spans="1:21" x14ac:dyDescent="0.35">
      <c r="A237">
        <v>236</v>
      </c>
      <c r="B237" s="5">
        <v>44432</v>
      </c>
      <c r="C237" s="4">
        <v>2021</v>
      </c>
      <c r="D237" s="4">
        <v>8</v>
      </c>
      <c r="E237" s="14">
        <v>44432</v>
      </c>
      <c r="F237" s="4">
        <v>24</v>
      </c>
      <c r="G237">
        <v>32</v>
      </c>
      <c r="H237">
        <v>27</v>
      </c>
      <c r="I237" s="13">
        <v>0.84</v>
      </c>
      <c r="J237">
        <v>5</v>
      </c>
      <c r="K237" s="2">
        <v>4.0509259259259258E-4</v>
      </c>
      <c r="L237" s="11">
        <v>15.750000000000002</v>
      </c>
      <c r="M237" s="3">
        <v>0.58333333333333337</v>
      </c>
      <c r="N237" s="4">
        <v>35</v>
      </c>
      <c r="O237" s="2">
        <v>1.6435185185185185E-3</v>
      </c>
      <c r="P237" s="9">
        <v>63.9</v>
      </c>
      <c r="Q237" s="3">
        <v>2.3666666666666667</v>
      </c>
      <c r="R237" s="4">
        <v>142</v>
      </c>
      <c r="S237" s="3">
        <v>14</v>
      </c>
      <c r="T237" s="1">
        <v>0.53129999999999999</v>
      </c>
      <c r="U237" s="6">
        <v>14.3451</v>
      </c>
    </row>
    <row r="238" spans="1:21" x14ac:dyDescent="0.35">
      <c r="A238">
        <v>237</v>
      </c>
      <c r="B238" s="5">
        <v>44433</v>
      </c>
      <c r="C238" s="4">
        <v>2021</v>
      </c>
      <c r="D238" s="4">
        <v>8</v>
      </c>
      <c r="E238" s="14">
        <v>44433</v>
      </c>
      <c r="F238" s="4">
        <v>25</v>
      </c>
      <c r="G238">
        <v>229</v>
      </c>
      <c r="H238">
        <v>148</v>
      </c>
      <c r="I238" s="13">
        <v>0.64</v>
      </c>
      <c r="J238">
        <v>81</v>
      </c>
      <c r="K238" s="2">
        <v>4.1666666666666669E-4</v>
      </c>
      <c r="L238" s="11">
        <v>88.8</v>
      </c>
      <c r="M238" s="3">
        <v>0.6</v>
      </c>
      <c r="N238" s="4">
        <v>36</v>
      </c>
      <c r="O238" s="2">
        <v>1.9444444444444444E-3</v>
      </c>
      <c r="P238" s="9">
        <v>414.4</v>
      </c>
      <c r="Q238" s="3">
        <v>2.8</v>
      </c>
      <c r="R238" s="4">
        <v>168</v>
      </c>
      <c r="S238" s="3">
        <v>63</v>
      </c>
      <c r="T238" s="1">
        <v>0.43180000000000002</v>
      </c>
      <c r="U238" s="6">
        <v>63.906400000000005</v>
      </c>
    </row>
    <row r="239" spans="1:21" x14ac:dyDescent="0.35">
      <c r="A239">
        <v>238</v>
      </c>
      <c r="B239" s="5">
        <v>44434</v>
      </c>
      <c r="C239" s="4">
        <v>2021</v>
      </c>
      <c r="D239" s="4">
        <v>8</v>
      </c>
      <c r="E239" s="14">
        <v>44434</v>
      </c>
      <c r="F239" s="4">
        <v>26</v>
      </c>
      <c r="G239">
        <v>208</v>
      </c>
      <c r="H239">
        <v>204</v>
      </c>
      <c r="I239" s="13">
        <v>0.98</v>
      </c>
      <c r="J239">
        <v>4</v>
      </c>
      <c r="K239" s="2">
        <v>2.199074074074074E-4</v>
      </c>
      <c r="L239" s="11">
        <v>64.599999999999994</v>
      </c>
      <c r="M239" s="3">
        <v>0.31666666666666665</v>
      </c>
      <c r="N239" s="4">
        <v>19</v>
      </c>
      <c r="O239" s="2">
        <v>2.1527777777777778E-3</v>
      </c>
      <c r="P239" s="9">
        <v>632.4</v>
      </c>
      <c r="Q239" s="3">
        <v>3.1</v>
      </c>
      <c r="R239" s="4">
        <v>186</v>
      </c>
      <c r="S239" s="3">
        <v>158</v>
      </c>
      <c r="T239" s="1">
        <v>0.77669999999999995</v>
      </c>
      <c r="U239" s="6">
        <v>158.4468</v>
      </c>
    </row>
    <row r="240" spans="1:21" x14ac:dyDescent="0.35">
      <c r="A240">
        <v>239</v>
      </c>
      <c r="B240" s="5">
        <v>44435</v>
      </c>
      <c r="C240" s="4">
        <v>2021</v>
      </c>
      <c r="D240" s="4">
        <v>8</v>
      </c>
      <c r="E240" s="14">
        <v>44435</v>
      </c>
      <c r="F240" s="4">
        <v>27</v>
      </c>
      <c r="G240">
        <v>175</v>
      </c>
      <c r="H240">
        <v>168</v>
      </c>
      <c r="I240" s="13">
        <v>0.96</v>
      </c>
      <c r="J240">
        <v>7</v>
      </c>
      <c r="K240" s="2">
        <v>2.8935185185185184E-4</v>
      </c>
      <c r="L240" s="11">
        <v>70</v>
      </c>
      <c r="M240" s="3">
        <v>0.41666666666666669</v>
      </c>
      <c r="N240" s="4">
        <v>25</v>
      </c>
      <c r="O240" s="2">
        <v>1.9791666666666668E-3</v>
      </c>
      <c r="P240" s="9">
        <v>478.8</v>
      </c>
      <c r="Q240" s="3">
        <v>2.85</v>
      </c>
      <c r="R240" s="4">
        <v>171</v>
      </c>
      <c r="S240" s="3">
        <v>109</v>
      </c>
      <c r="T240" s="1">
        <v>0.6512</v>
      </c>
      <c r="U240" s="6">
        <v>109.4016</v>
      </c>
    </row>
    <row r="241" spans="1:21" x14ac:dyDescent="0.35">
      <c r="A241">
        <v>240</v>
      </c>
      <c r="B241" s="5">
        <v>44436</v>
      </c>
      <c r="C241" s="4">
        <v>2021</v>
      </c>
      <c r="D241" s="4">
        <v>8</v>
      </c>
      <c r="E241" s="14">
        <v>44436</v>
      </c>
      <c r="F241" s="4">
        <v>28</v>
      </c>
      <c r="G241">
        <v>177</v>
      </c>
      <c r="H241">
        <v>167</v>
      </c>
      <c r="I241" s="13">
        <v>0.94</v>
      </c>
      <c r="J241">
        <v>10</v>
      </c>
      <c r="K241" s="2">
        <v>2.5462962962962961E-4</v>
      </c>
      <c r="L241" s="11">
        <v>61.233333333333327</v>
      </c>
      <c r="M241" s="3">
        <v>0.36666666666666664</v>
      </c>
      <c r="N241" s="4">
        <v>22</v>
      </c>
      <c r="O241" s="2">
        <v>1.8634259259259259E-3</v>
      </c>
      <c r="P241" s="9">
        <v>448.11666666666673</v>
      </c>
      <c r="Q241" s="3">
        <v>2.6833333333333336</v>
      </c>
      <c r="R241" s="4">
        <v>161</v>
      </c>
      <c r="S241" s="3">
        <v>114</v>
      </c>
      <c r="T241" s="1">
        <v>0.68389999999999995</v>
      </c>
      <c r="U241" s="6">
        <v>114.21129999999999</v>
      </c>
    </row>
    <row r="242" spans="1:21" x14ac:dyDescent="0.35">
      <c r="A242">
        <v>241</v>
      </c>
      <c r="B242" s="5">
        <v>44437</v>
      </c>
      <c r="C242" s="4">
        <v>2021</v>
      </c>
      <c r="D242" s="4">
        <v>8</v>
      </c>
      <c r="E242" s="14">
        <v>44437</v>
      </c>
      <c r="F242" s="4">
        <v>29</v>
      </c>
      <c r="G242">
        <v>822</v>
      </c>
      <c r="H242">
        <v>767</v>
      </c>
      <c r="I242" s="13">
        <v>0.93</v>
      </c>
      <c r="J242">
        <v>55</v>
      </c>
      <c r="K242" s="2">
        <v>2.7777777777777778E-4</v>
      </c>
      <c r="L242" s="11">
        <v>306.8</v>
      </c>
      <c r="M242" s="3">
        <v>0.4</v>
      </c>
      <c r="N242" s="4">
        <v>24</v>
      </c>
      <c r="O242" s="2">
        <v>9.837962962962962E-4</v>
      </c>
      <c r="P242" s="9">
        <v>1086.5833333333335</v>
      </c>
      <c r="Q242" s="3">
        <v>1.4166666666666667</v>
      </c>
      <c r="R242" s="4">
        <v>85</v>
      </c>
      <c r="S242" s="3">
        <v>493</v>
      </c>
      <c r="T242" s="1">
        <v>0.64400000000000002</v>
      </c>
      <c r="U242" s="6">
        <v>493.94800000000004</v>
      </c>
    </row>
    <row r="243" spans="1:21" x14ac:dyDescent="0.35">
      <c r="A243">
        <v>242</v>
      </c>
      <c r="B243" s="5">
        <v>44438</v>
      </c>
      <c r="C243" s="4">
        <v>2021</v>
      </c>
      <c r="D243" s="4">
        <v>8</v>
      </c>
      <c r="E243" s="14">
        <v>44438</v>
      </c>
      <c r="F243" s="4">
        <v>30</v>
      </c>
      <c r="G243">
        <v>87</v>
      </c>
      <c r="H243">
        <v>85</v>
      </c>
      <c r="I243" s="13">
        <v>0.97</v>
      </c>
      <c r="J243">
        <v>2</v>
      </c>
      <c r="K243" s="2">
        <v>2.6620370370370372E-4</v>
      </c>
      <c r="L243" s="11">
        <v>32.583333333333336</v>
      </c>
      <c r="M243" s="3">
        <v>0.38333333333333336</v>
      </c>
      <c r="N243" s="4">
        <v>23</v>
      </c>
      <c r="O243" s="2">
        <v>1.6782407407407408E-3</v>
      </c>
      <c r="P243" s="9">
        <v>205.41666666666666</v>
      </c>
      <c r="Q243" s="3">
        <v>2.4166666666666665</v>
      </c>
      <c r="R243" s="4">
        <v>145</v>
      </c>
      <c r="S243" s="3">
        <v>57</v>
      </c>
      <c r="T243" s="1">
        <v>0.67820000000000003</v>
      </c>
      <c r="U243" s="6">
        <v>57.647000000000006</v>
      </c>
    </row>
    <row r="244" spans="1:21" x14ac:dyDescent="0.35">
      <c r="A244">
        <v>243</v>
      </c>
      <c r="B244" s="5">
        <v>44439</v>
      </c>
      <c r="C244" s="4">
        <v>2021</v>
      </c>
      <c r="D244" s="4">
        <v>8</v>
      </c>
      <c r="E244" s="14">
        <v>44439</v>
      </c>
      <c r="F244" s="4">
        <v>31</v>
      </c>
      <c r="G244">
        <v>41</v>
      </c>
      <c r="H244">
        <v>39</v>
      </c>
      <c r="I244" s="13">
        <v>0.95</v>
      </c>
      <c r="J244">
        <v>2</v>
      </c>
      <c r="K244" s="2">
        <v>1.7361111111111112E-4</v>
      </c>
      <c r="L244" s="11">
        <v>9.75</v>
      </c>
      <c r="M244" s="3">
        <v>0.25</v>
      </c>
      <c r="N244" s="4">
        <v>15</v>
      </c>
      <c r="O244" s="2">
        <v>1.8749999999999999E-3</v>
      </c>
      <c r="P244" s="9">
        <v>105.30000000000001</v>
      </c>
      <c r="Q244" s="3">
        <v>2.7</v>
      </c>
      <c r="R244" s="4">
        <v>162</v>
      </c>
      <c r="S244" s="3">
        <v>32</v>
      </c>
      <c r="T244" s="1">
        <v>0.82499999999999996</v>
      </c>
      <c r="U244" s="6">
        <v>32.174999999999997</v>
      </c>
    </row>
    <row r="245" spans="1:21" x14ac:dyDescent="0.35">
      <c r="A245">
        <v>244</v>
      </c>
      <c r="B245" s="5">
        <v>44440</v>
      </c>
      <c r="C245" s="4">
        <v>2021</v>
      </c>
      <c r="D245" s="4">
        <v>9</v>
      </c>
      <c r="E245" s="14">
        <v>44440</v>
      </c>
      <c r="F245" s="4">
        <v>1</v>
      </c>
      <c r="G245">
        <v>280</v>
      </c>
      <c r="H245">
        <v>257</v>
      </c>
      <c r="I245" s="13">
        <v>0.91</v>
      </c>
      <c r="J245">
        <v>23</v>
      </c>
      <c r="K245" s="2">
        <v>3.5879629629629629E-4</v>
      </c>
      <c r="L245" s="11">
        <v>132.78333333333336</v>
      </c>
      <c r="M245" s="3">
        <v>0.51666666666666672</v>
      </c>
      <c r="N245" s="4">
        <v>31.000000000000004</v>
      </c>
      <c r="O245" s="2">
        <v>1.7708333333333332E-3</v>
      </c>
      <c r="P245" s="9">
        <v>655.34999999999991</v>
      </c>
      <c r="Q245" s="3">
        <v>2.5499999999999998</v>
      </c>
      <c r="R245" s="4">
        <v>153</v>
      </c>
      <c r="S245" s="3">
        <v>164</v>
      </c>
      <c r="T245" s="1">
        <v>0.63870000000000005</v>
      </c>
      <c r="U245" s="6">
        <v>164.14590000000001</v>
      </c>
    </row>
    <row r="246" spans="1:21" x14ac:dyDescent="0.35">
      <c r="A246">
        <v>245</v>
      </c>
      <c r="B246" s="5">
        <v>44441</v>
      </c>
      <c r="C246" s="4">
        <v>2021</v>
      </c>
      <c r="D246" s="4">
        <v>9</v>
      </c>
      <c r="E246" s="14">
        <v>44441</v>
      </c>
      <c r="F246" s="4">
        <v>2</v>
      </c>
      <c r="G246">
        <v>199</v>
      </c>
      <c r="H246">
        <v>192</v>
      </c>
      <c r="I246" s="13">
        <v>0.96</v>
      </c>
      <c r="J246">
        <v>7</v>
      </c>
      <c r="K246" s="2">
        <v>2.5462962962962961E-4</v>
      </c>
      <c r="L246" s="11">
        <v>70.399999999999991</v>
      </c>
      <c r="M246" s="3">
        <v>0.36666666666666664</v>
      </c>
      <c r="N246" s="4">
        <v>22</v>
      </c>
      <c r="O246" s="2">
        <v>1.9212962962962964E-3</v>
      </c>
      <c r="P246" s="9">
        <v>531.20000000000005</v>
      </c>
      <c r="Q246" s="3">
        <v>2.7666666666666666</v>
      </c>
      <c r="R246" s="4">
        <v>166</v>
      </c>
      <c r="S246" s="3">
        <v>141</v>
      </c>
      <c r="T246" s="1">
        <v>0.73870000000000002</v>
      </c>
      <c r="U246" s="6">
        <v>141.8304</v>
      </c>
    </row>
    <row r="247" spans="1:21" x14ac:dyDescent="0.35">
      <c r="A247">
        <v>246</v>
      </c>
      <c r="B247" s="5">
        <v>44442</v>
      </c>
      <c r="C247" s="4">
        <v>2021</v>
      </c>
      <c r="D247" s="4">
        <v>9</v>
      </c>
      <c r="E247" s="14">
        <v>44442</v>
      </c>
      <c r="F247" s="4">
        <v>3</v>
      </c>
      <c r="G247">
        <v>252</v>
      </c>
      <c r="H247">
        <v>239</v>
      </c>
      <c r="I247" s="13">
        <v>0.94</v>
      </c>
      <c r="J247">
        <v>13</v>
      </c>
      <c r="K247" s="2">
        <v>3.3564814814814812E-4</v>
      </c>
      <c r="L247" s="11">
        <v>115.51666666666667</v>
      </c>
      <c r="M247" s="3">
        <v>0.48333333333333334</v>
      </c>
      <c r="N247" s="4">
        <v>29</v>
      </c>
      <c r="O247" s="2">
        <v>1.724537037037037E-3</v>
      </c>
      <c r="P247" s="9">
        <v>593.51666666666665</v>
      </c>
      <c r="Q247" s="3">
        <v>2.4833333333333334</v>
      </c>
      <c r="R247" s="4">
        <v>149</v>
      </c>
      <c r="S247" s="3">
        <v>155</v>
      </c>
      <c r="T247" s="1">
        <v>0.6492</v>
      </c>
      <c r="U247" s="6">
        <v>155.15880000000001</v>
      </c>
    </row>
    <row r="248" spans="1:21" x14ac:dyDescent="0.35">
      <c r="A248">
        <v>247</v>
      </c>
      <c r="B248" s="5">
        <v>44443</v>
      </c>
      <c r="C248" s="4">
        <v>2021</v>
      </c>
      <c r="D248" s="4">
        <v>9</v>
      </c>
      <c r="E248" s="14">
        <v>44443</v>
      </c>
      <c r="F248" s="4">
        <v>4</v>
      </c>
      <c r="G248">
        <v>220</v>
      </c>
      <c r="H248">
        <v>208</v>
      </c>
      <c r="I248" s="13">
        <v>0.94</v>
      </c>
      <c r="J248">
        <v>12</v>
      </c>
      <c r="K248" s="2">
        <v>2.3148148148148149E-4</v>
      </c>
      <c r="L248" s="11">
        <v>69.333333333333329</v>
      </c>
      <c r="M248" s="3">
        <v>0.33333333333333331</v>
      </c>
      <c r="N248" s="4">
        <v>20</v>
      </c>
      <c r="O248" s="2">
        <v>1.8055555555555555E-3</v>
      </c>
      <c r="P248" s="9">
        <v>540.80000000000007</v>
      </c>
      <c r="Q248" s="3">
        <v>2.6</v>
      </c>
      <c r="R248" s="4">
        <v>156</v>
      </c>
      <c r="S248" s="3">
        <v>157</v>
      </c>
      <c r="T248" s="1">
        <v>0.75590000000000002</v>
      </c>
      <c r="U248" s="6">
        <v>157.22720000000001</v>
      </c>
    </row>
    <row r="249" spans="1:21" x14ac:dyDescent="0.35">
      <c r="A249">
        <v>248</v>
      </c>
      <c r="B249" s="5">
        <v>44444</v>
      </c>
      <c r="C249" s="4">
        <v>2021</v>
      </c>
      <c r="D249" s="4">
        <v>9</v>
      </c>
      <c r="E249" s="14">
        <v>44444</v>
      </c>
      <c r="F249" s="4">
        <v>5</v>
      </c>
      <c r="G249">
        <v>206</v>
      </c>
      <c r="H249">
        <v>193</v>
      </c>
      <c r="I249" s="13">
        <v>0.93</v>
      </c>
      <c r="J249">
        <v>13</v>
      </c>
      <c r="K249" s="2">
        <v>2.7777777777777778E-4</v>
      </c>
      <c r="L249" s="11">
        <v>77.2</v>
      </c>
      <c r="M249" s="3">
        <v>0.4</v>
      </c>
      <c r="N249" s="4">
        <v>24</v>
      </c>
      <c r="O249" s="2">
        <v>1.7013888888888888E-3</v>
      </c>
      <c r="P249" s="9">
        <v>472.85</v>
      </c>
      <c r="Q249" s="3">
        <v>2.4500000000000002</v>
      </c>
      <c r="R249" s="4">
        <v>147</v>
      </c>
      <c r="S249" s="3">
        <v>145</v>
      </c>
      <c r="T249" s="1">
        <v>0.75490000000000002</v>
      </c>
      <c r="U249" s="6">
        <v>145.69570000000002</v>
      </c>
    </row>
    <row r="250" spans="1:21" x14ac:dyDescent="0.35">
      <c r="A250">
        <v>249</v>
      </c>
      <c r="B250" s="5">
        <v>44445</v>
      </c>
      <c r="C250" s="4">
        <v>2021</v>
      </c>
      <c r="D250" s="4">
        <v>9</v>
      </c>
      <c r="E250" s="14">
        <v>44445</v>
      </c>
      <c r="F250" s="4">
        <v>6</v>
      </c>
      <c r="G250">
        <v>217</v>
      </c>
      <c r="H250">
        <v>206</v>
      </c>
      <c r="I250" s="13">
        <v>0.94</v>
      </c>
      <c r="J250">
        <v>11</v>
      </c>
      <c r="K250" s="2">
        <v>2.5462962962962961E-4</v>
      </c>
      <c r="L250" s="11">
        <v>75.533333333333331</v>
      </c>
      <c r="M250" s="3">
        <v>0.36666666666666664</v>
      </c>
      <c r="N250" s="4">
        <v>22</v>
      </c>
      <c r="O250" s="2">
        <v>1.6898148148148148E-3</v>
      </c>
      <c r="P250" s="9">
        <v>501.26666666666671</v>
      </c>
      <c r="Q250" s="3">
        <v>2.4333333333333336</v>
      </c>
      <c r="R250" s="4">
        <v>146</v>
      </c>
      <c r="S250" s="3">
        <v>146</v>
      </c>
      <c r="T250" s="1">
        <v>0.71030000000000004</v>
      </c>
      <c r="U250" s="6">
        <v>146.3218</v>
      </c>
    </row>
    <row r="251" spans="1:21" x14ac:dyDescent="0.35">
      <c r="A251">
        <v>250</v>
      </c>
      <c r="B251" s="5">
        <v>44446</v>
      </c>
      <c r="C251" s="4">
        <v>2021</v>
      </c>
      <c r="D251" s="4">
        <v>9</v>
      </c>
      <c r="E251" s="14">
        <v>44446</v>
      </c>
      <c r="F251" s="4">
        <v>7</v>
      </c>
      <c r="G251">
        <v>24</v>
      </c>
      <c r="H251">
        <v>24</v>
      </c>
      <c r="I251" s="13">
        <v>1</v>
      </c>
      <c r="J251">
        <v>0</v>
      </c>
      <c r="K251" s="2">
        <v>2.199074074074074E-4</v>
      </c>
      <c r="L251" s="11">
        <v>7.6</v>
      </c>
      <c r="M251" s="3">
        <v>0.31666666666666665</v>
      </c>
      <c r="N251" s="4">
        <v>19</v>
      </c>
      <c r="O251" s="2">
        <v>1.9675925925925924E-3</v>
      </c>
      <c r="P251" s="9">
        <v>68</v>
      </c>
      <c r="Q251" s="3">
        <v>2.8333333333333335</v>
      </c>
      <c r="R251" s="4">
        <v>170</v>
      </c>
      <c r="S251" s="3">
        <v>19</v>
      </c>
      <c r="T251" s="1">
        <v>0.79169999999999996</v>
      </c>
      <c r="U251" s="6">
        <v>19.000799999999998</v>
      </c>
    </row>
    <row r="252" spans="1:21" x14ac:dyDescent="0.35">
      <c r="A252">
        <v>251</v>
      </c>
      <c r="B252" s="5">
        <v>44447</v>
      </c>
      <c r="C252" s="4">
        <v>2021</v>
      </c>
      <c r="D252" s="4">
        <v>9</v>
      </c>
      <c r="E252" s="14">
        <v>44447</v>
      </c>
      <c r="F252" s="4">
        <v>8</v>
      </c>
      <c r="G252">
        <v>248</v>
      </c>
      <c r="H252">
        <v>238</v>
      </c>
      <c r="I252" s="13">
        <v>0.95</v>
      </c>
      <c r="J252">
        <v>10</v>
      </c>
      <c r="K252" s="2">
        <v>1.5046296296296297E-4</v>
      </c>
      <c r="L252" s="11">
        <v>51.56666666666667</v>
      </c>
      <c r="M252" s="3">
        <v>0.21666666666666667</v>
      </c>
      <c r="N252" s="4">
        <v>13</v>
      </c>
      <c r="O252" s="2">
        <v>1.7013888888888888E-3</v>
      </c>
      <c r="P252" s="9">
        <v>583.1</v>
      </c>
      <c r="Q252" s="3">
        <v>2.4500000000000002</v>
      </c>
      <c r="R252" s="4">
        <v>147</v>
      </c>
      <c r="S252" s="3">
        <v>202</v>
      </c>
      <c r="T252" s="1">
        <v>0.85250000000000004</v>
      </c>
      <c r="U252" s="6">
        <v>202.89500000000001</v>
      </c>
    </row>
    <row r="253" spans="1:21" x14ac:dyDescent="0.35">
      <c r="A253">
        <v>252</v>
      </c>
      <c r="B253" s="5">
        <v>44448</v>
      </c>
      <c r="C253" s="4">
        <v>2021</v>
      </c>
      <c r="D253" s="4">
        <v>9</v>
      </c>
      <c r="E253" s="14">
        <v>44448</v>
      </c>
      <c r="F253" s="4">
        <v>9</v>
      </c>
      <c r="G253">
        <v>222</v>
      </c>
      <c r="H253">
        <v>212</v>
      </c>
      <c r="I253" s="13">
        <v>0.95</v>
      </c>
      <c r="J253">
        <v>10</v>
      </c>
      <c r="K253" s="2">
        <v>2.3148148148148149E-4</v>
      </c>
      <c r="L253" s="11">
        <v>70.666666666666657</v>
      </c>
      <c r="M253" s="3">
        <v>0.33333333333333331</v>
      </c>
      <c r="N253" s="4">
        <v>20</v>
      </c>
      <c r="O253" s="2">
        <v>1.6782407407407408E-3</v>
      </c>
      <c r="P253" s="9">
        <v>512.33333333333326</v>
      </c>
      <c r="Q253" s="3">
        <v>2.4166666666666665</v>
      </c>
      <c r="R253" s="4">
        <v>145</v>
      </c>
      <c r="S253" s="3">
        <v>164</v>
      </c>
      <c r="T253" s="1">
        <v>0.77729999999999999</v>
      </c>
      <c r="U253" s="6">
        <v>164.7876</v>
      </c>
    </row>
    <row r="254" spans="1:21" x14ac:dyDescent="0.35">
      <c r="A254">
        <v>253</v>
      </c>
      <c r="B254" s="5">
        <v>44449</v>
      </c>
      <c r="C254" s="4">
        <v>2021</v>
      </c>
      <c r="D254" s="4">
        <v>9</v>
      </c>
      <c r="E254" s="14">
        <v>44449</v>
      </c>
      <c r="F254" s="4">
        <v>10</v>
      </c>
      <c r="G254">
        <v>190</v>
      </c>
      <c r="H254">
        <v>178</v>
      </c>
      <c r="I254" s="13">
        <v>0.93</v>
      </c>
      <c r="J254">
        <v>12</v>
      </c>
      <c r="K254" s="2">
        <v>3.7037037037037035E-4</v>
      </c>
      <c r="L254" s="11">
        <v>94.933333333333337</v>
      </c>
      <c r="M254" s="3">
        <v>0.53333333333333333</v>
      </c>
      <c r="N254" s="4">
        <v>32</v>
      </c>
      <c r="O254" s="2">
        <v>1.7013888888888888E-3</v>
      </c>
      <c r="P254" s="9">
        <v>436.1</v>
      </c>
      <c r="Q254" s="3">
        <v>2.4500000000000002</v>
      </c>
      <c r="R254" s="4">
        <v>147</v>
      </c>
      <c r="S254" s="3">
        <v>98</v>
      </c>
      <c r="T254" s="1">
        <v>0.55079999999999996</v>
      </c>
      <c r="U254" s="6">
        <v>98.042399999999986</v>
      </c>
    </row>
    <row r="255" spans="1:21" x14ac:dyDescent="0.35">
      <c r="A255">
        <v>254</v>
      </c>
      <c r="B255" s="5">
        <v>44450</v>
      </c>
      <c r="C255" s="4">
        <v>2021</v>
      </c>
      <c r="D255" s="4">
        <v>9</v>
      </c>
      <c r="E255" s="14">
        <v>44450</v>
      </c>
      <c r="F255" s="4">
        <v>11</v>
      </c>
      <c r="G255">
        <v>238</v>
      </c>
      <c r="H255">
        <v>231</v>
      </c>
      <c r="I255" s="13">
        <v>0.97</v>
      </c>
      <c r="J255">
        <v>7</v>
      </c>
      <c r="K255" s="2">
        <v>2.3148148148148149E-4</v>
      </c>
      <c r="L255" s="11">
        <v>77</v>
      </c>
      <c r="M255" s="3">
        <v>0.33333333333333331</v>
      </c>
      <c r="N255" s="4">
        <v>20</v>
      </c>
      <c r="O255" s="2">
        <v>1.7013888888888888E-3</v>
      </c>
      <c r="P255" s="9">
        <v>565.95000000000005</v>
      </c>
      <c r="Q255" s="3">
        <v>2.4500000000000002</v>
      </c>
      <c r="R255" s="4">
        <v>147</v>
      </c>
      <c r="S255" s="3">
        <v>184</v>
      </c>
      <c r="T255" s="1">
        <v>0.79659999999999997</v>
      </c>
      <c r="U255" s="6">
        <v>184.0146</v>
      </c>
    </row>
    <row r="256" spans="1:21" x14ac:dyDescent="0.35">
      <c r="A256">
        <v>255</v>
      </c>
      <c r="B256" s="5">
        <v>44451</v>
      </c>
      <c r="C256" s="4">
        <v>2021</v>
      </c>
      <c r="D256" s="4">
        <v>9</v>
      </c>
      <c r="E256" s="14">
        <v>44451</v>
      </c>
      <c r="F256" s="4">
        <v>12</v>
      </c>
      <c r="G256">
        <v>214</v>
      </c>
      <c r="H256">
        <v>205</v>
      </c>
      <c r="I256" s="13">
        <v>0.95</v>
      </c>
      <c r="J256">
        <v>9</v>
      </c>
      <c r="K256" s="2">
        <v>2.3148148148148149E-4</v>
      </c>
      <c r="L256" s="11">
        <v>68.333333333333329</v>
      </c>
      <c r="M256" s="3">
        <v>0.33333333333333331</v>
      </c>
      <c r="N256" s="4">
        <v>20</v>
      </c>
      <c r="O256" s="2">
        <v>1.7824074074074075E-3</v>
      </c>
      <c r="P256" s="9">
        <v>526.16666666666663</v>
      </c>
      <c r="Q256" s="3">
        <v>2.5666666666666664</v>
      </c>
      <c r="R256" s="4">
        <v>154</v>
      </c>
      <c r="S256" s="3">
        <v>162</v>
      </c>
      <c r="T256" s="1">
        <v>0.79049999999999998</v>
      </c>
      <c r="U256" s="6">
        <v>162.05250000000001</v>
      </c>
    </row>
    <row r="257" spans="1:21" x14ac:dyDescent="0.35">
      <c r="A257">
        <v>256</v>
      </c>
      <c r="B257" s="5">
        <v>44452</v>
      </c>
      <c r="C257" s="4">
        <v>2021</v>
      </c>
      <c r="D257" s="4">
        <v>9</v>
      </c>
      <c r="E257" s="14">
        <v>44452</v>
      </c>
      <c r="F257" s="4">
        <v>13</v>
      </c>
      <c r="G257">
        <v>186</v>
      </c>
      <c r="H257">
        <v>176</v>
      </c>
      <c r="I257" s="13">
        <v>0.94</v>
      </c>
      <c r="J257">
        <v>10</v>
      </c>
      <c r="K257" s="2">
        <v>2.6620370370370372E-4</v>
      </c>
      <c r="L257" s="11">
        <v>67.466666666666669</v>
      </c>
      <c r="M257" s="3">
        <v>0.38333333333333336</v>
      </c>
      <c r="N257" s="4">
        <v>23</v>
      </c>
      <c r="O257" s="2">
        <v>1.5625000000000001E-3</v>
      </c>
      <c r="P257" s="9">
        <v>396</v>
      </c>
      <c r="Q257" s="3">
        <v>2.25</v>
      </c>
      <c r="R257" s="4">
        <v>135</v>
      </c>
      <c r="S257" s="3">
        <v>124</v>
      </c>
      <c r="T257" s="1">
        <v>0.70879999999999999</v>
      </c>
      <c r="U257" s="6">
        <v>124.7488</v>
      </c>
    </row>
    <row r="258" spans="1:21" x14ac:dyDescent="0.35">
      <c r="A258">
        <v>257</v>
      </c>
      <c r="B258" s="5">
        <v>44453</v>
      </c>
      <c r="C258" s="4">
        <v>2021</v>
      </c>
      <c r="D258" s="4">
        <v>9</v>
      </c>
      <c r="E258" s="14">
        <v>44453</v>
      </c>
      <c r="F258" s="4">
        <v>14</v>
      </c>
      <c r="G258">
        <v>21</v>
      </c>
      <c r="H258">
        <v>20</v>
      </c>
      <c r="I258" s="13">
        <v>0.95</v>
      </c>
      <c r="J258">
        <v>1</v>
      </c>
      <c r="K258" s="2">
        <v>1.6203703703703703E-4</v>
      </c>
      <c r="L258" s="11">
        <v>4.666666666666667</v>
      </c>
      <c r="M258" s="3">
        <v>0.23333333333333334</v>
      </c>
      <c r="N258" s="4">
        <v>14</v>
      </c>
      <c r="O258" s="2">
        <v>1.6782407407407408E-3</v>
      </c>
      <c r="P258" s="9">
        <v>48.333333333333329</v>
      </c>
      <c r="Q258" s="3">
        <v>2.4166666666666665</v>
      </c>
      <c r="R258" s="4">
        <v>145</v>
      </c>
      <c r="S258" s="3">
        <v>17</v>
      </c>
      <c r="T258" s="1">
        <v>0.85</v>
      </c>
      <c r="U258" s="6">
        <v>17</v>
      </c>
    </row>
    <row r="259" spans="1:21" x14ac:dyDescent="0.35">
      <c r="A259">
        <v>258</v>
      </c>
      <c r="B259" s="5">
        <v>44454</v>
      </c>
      <c r="C259" s="4">
        <v>2021</v>
      </c>
      <c r="D259" s="4">
        <v>9</v>
      </c>
      <c r="E259" s="14">
        <v>44454</v>
      </c>
      <c r="F259" s="4">
        <v>15</v>
      </c>
      <c r="G259">
        <v>169</v>
      </c>
      <c r="H259">
        <v>157</v>
      </c>
      <c r="I259" s="13">
        <v>0.92</v>
      </c>
      <c r="J259">
        <v>12</v>
      </c>
      <c r="K259" s="2">
        <v>2.4305555555555555E-4</v>
      </c>
      <c r="L259" s="11">
        <v>54.949999999999996</v>
      </c>
      <c r="M259" s="3">
        <v>0.35</v>
      </c>
      <c r="N259" s="4">
        <v>21</v>
      </c>
      <c r="O259" s="2">
        <v>1.724537037037037E-3</v>
      </c>
      <c r="P259" s="9">
        <v>389.88333333333333</v>
      </c>
      <c r="Q259" s="3">
        <v>2.4833333333333334</v>
      </c>
      <c r="R259" s="4">
        <v>149</v>
      </c>
      <c r="S259" s="3">
        <v>122</v>
      </c>
      <c r="T259" s="1">
        <v>0.77710000000000001</v>
      </c>
      <c r="U259" s="6">
        <v>122.0047</v>
      </c>
    </row>
    <row r="260" spans="1:21" x14ac:dyDescent="0.35">
      <c r="A260">
        <v>259</v>
      </c>
      <c r="B260" s="5">
        <v>44455</v>
      </c>
      <c r="C260" s="4">
        <v>2021</v>
      </c>
      <c r="D260" s="4">
        <v>9</v>
      </c>
      <c r="E260" s="14">
        <v>44455</v>
      </c>
      <c r="F260" s="4">
        <v>16</v>
      </c>
      <c r="G260">
        <v>149</v>
      </c>
      <c r="H260">
        <v>141</v>
      </c>
      <c r="I260" s="13">
        <v>0.94</v>
      </c>
      <c r="J260">
        <v>8</v>
      </c>
      <c r="K260" s="2">
        <v>1.8518518518518518E-4</v>
      </c>
      <c r="L260" s="11">
        <v>37.6</v>
      </c>
      <c r="M260" s="3">
        <v>0.26666666666666666</v>
      </c>
      <c r="N260" s="4">
        <v>16</v>
      </c>
      <c r="O260" s="2">
        <v>1.8287037037037037E-3</v>
      </c>
      <c r="P260" s="9">
        <v>371.3</v>
      </c>
      <c r="Q260" s="3">
        <v>2.6333333333333333</v>
      </c>
      <c r="R260" s="4">
        <v>158</v>
      </c>
      <c r="S260" s="3">
        <v>111</v>
      </c>
      <c r="T260" s="1">
        <v>0.79049999999999998</v>
      </c>
      <c r="U260" s="6">
        <v>111.4605</v>
      </c>
    </row>
    <row r="261" spans="1:21" x14ac:dyDescent="0.35">
      <c r="A261">
        <v>260</v>
      </c>
      <c r="B261" s="5">
        <v>44456</v>
      </c>
      <c r="C261" s="4">
        <v>2021</v>
      </c>
      <c r="D261" s="4">
        <v>9</v>
      </c>
      <c r="E261" s="14">
        <v>44456</v>
      </c>
      <c r="F261" s="4">
        <v>17</v>
      </c>
      <c r="G261">
        <v>171</v>
      </c>
      <c r="H261">
        <v>164</v>
      </c>
      <c r="I261" s="13">
        <v>0.95</v>
      </c>
      <c r="J261">
        <v>7</v>
      </c>
      <c r="K261" s="2">
        <v>2.199074074074074E-4</v>
      </c>
      <c r="L261" s="11">
        <v>51.93333333333333</v>
      </c>
      <c r="M261" s="3">
        <v>0.31666666666666665</v>
      </c>
      <c r="N261" s="4">
        <v>19</v>
      </c>
      <c r="O261" s="2">
        <v>1.6435185185185185E-3</v>
      </c>
      <c r="P261" s="9">
        <v>388.13333333333333</v>
      </c>
      <c r="Q261" s="3">
        <v>2.3666666666666667</v>
      </c>
      <c r="R261" s="4">
        <v>142</v>
      </c>
      <c r="S261" s="3">
        <v>126</v>
      </c>
      <c r="T261" s="1">
        <v>0.77190000000000003</v>
      </c>
      <c r="U261" s="6">
        <v>126.5916</v>
      </c>
    </row>
    <row r="262" spans="1:21" x14ac:dyDescent="0.35">
      <c r="A262">
        <v>261</v>
      </c>
      <c r="B262" s="5">
        <v>44457</v>
      </c>
      <c r="C262" s="4">
        <v>2021</v>
      </c>
      <c r="D262" s="4">
        <v>9</v>
      </c>
      <c r="E262" s="14">
        <v>44457</v>
      </c>
      <c r="F262" s="4">
        <v>18</v>
      </c>
      <c r="G262">
        <v>127</v>
      </c>
      <c r="H262">
        <v>122</v>
      </c>
      <c r="I262" s="13">
        <v>0.96</v>
      </c>
      <c r="J262">
        <v>5</v>
      </c>
      <c r="K262" s="2">
        <v>1.5046296296296297E-4</v>
      </c>
      <c r="L262" s="11">
        <v>26.433333333333334</v>
      </c>
      <c r="M262" s="3">
        <v>0.21666666666666667</v>
      </c>
      <c r="N262" s="4">
        <v>13</v>
      </c>
      <c r="O262" s="2">
        <v>1.6435185185185185E-3</v>
      </c>
      <c r="P262" s="9">
        <v>288.73333333333335</v>
      </c>
      <c r="Q262" s="3">
        <v>2.3666666666666667</v>
      </c>
      <c r="R262" s="4">
        <v>142</v>
      </c>
      <c r="S262" s="3">
        <v>107</v>
      </c>
      <c r="T262" s="1">
        <v>0.878</v>
      </c>
      <c r="U262" s="6">
        <v>107.116</v>
      </c>
    </row>
    <row r="263" spans="1:21" x14ac:dyDescent="0.35">
      <c r="A263">
        <v>262</v>
      </c>
      <c r="B263" s="5">
        <v>44458</v>
      </c>
      <c r="C263" s="4">
        <v>2021</v>
      </c>
      <c r="D263" s="4">
        <v>9</v>
      </c>
      <c r="E263" s="14">
        <v>44458</v>
      </c>
      <c r="F263" s="4">
        <v>19</v>
      </c>
      <c r="G263">
        <v>21</v>
      </c>
      <c r="H263">
        <v>21</v>
      </c>
      <c r="I263" s="13">
        <v>1</v>
      </c>
      <c r="J263">
        <v>0</v>
      </c>
      <c r="K263" s="2">
        <v>9.2592592592592588E-5</v>
      </c>
      <c r="L263" s="11">
        <v>2.8</v>
      </c>
      <c r="M263" s="3">
        <v>0.13333333333333333</v>
      </c>
      <c r="N263" s="4">
        <v>8</v>
      </c>
      <c r="O263" s="2">
        <v>2.1180555555555558E-3</v>
      </c>
      <c r="P263" s="9">
        <v>64.05</v>
      </c>
      <c r="Q263" s="3">
        <v>3.05</v>
      </c>
      <c r="R263" s="4">
        <v>183</v>
      </c>
      <c r="S263" s="3">
        <v>19</v>
      </c>
      <c r="T263" s="1">
        <v>0.90480000000000005</v>
      </c>
      <c r="U263" s="6">
        <v>19.000800000000002</v>
      </c>
    </row>
    <row r="264" spans="1:21" x14ac:dyDescent="0.35">
      <c r="A264">
        <v>263</v>
      </c>
      <c r="B264" s="5">
        <v>44459</v>
      </c>
      <c r="C264" s="4">
        <v>2021</v>
      </c>
      <c r="D264" s="4">
        <v>9</v>
      </c>
      <c r="E264" s="14">
        <v>44459</v>
      </c>
      <c r="F264" s="4">
        <v>20</v>
      </c>
      <c r="G264">
        <v>5</v>
      </c>
      <c r="H264">
        <v>5</v>
      </c>
      <c r="I264" s="13">
        <v>1</v>
      </c>
      <c r="J264">
        <v>0</v>
      </c>
      <c r="K264" s="2">
        <v>1.6203703703703703E-4</v>
      </c>
      <c r="L264" s="11">
        <v>1.1666666666666667</v>
      </c>
      <c r="M264" s="3">
        <v>0.23333333333333334</v>
      </c>
      <c r="N264" s="4">
        <v>14</v>
      </c>
      <c r="O264" s="2">
        <v>1.8171296296296297E-3</v>
      </c>
      <c r="P264" s="9">
        <v>13.083333333333334</v>
      </c>
      <c r="Q264" s="3">
        <v>2.6166666666666667</v>
      </c>
      <c r="R264" s="4">
        <v>157</v>
      </c>
      <c r="S264" s="3">
        <v>4</v>
      </c>
      <c r="T264" s="1">
        <v>0.8</v>
      </c>
      <c r="U264" s="6">
        <v>4</v>
      </c>
    </row>
    <row r="265" spans="1:21" x14ac:dyDescent="0.35">
      <c r="A265">
        <v>264</v>
      </c>
      <c r="B265" s="5">
        <v>44460</v>
      </c>
      <c r="C265" s="4">
        <v>2021</v>
      </c>
      <c r="D265" s="4">
        <v>9</v>
      </c>
      <c r="E265" s="14">
        <v>44460</v>
      </c>
      <c r="F265" s="4">
        <v>21</v>
      </c>
      <c r="G265">
        <v>33</v>
      </c>
      <c r="H265">
        <v>32</v>
      </c>
      <c r="I265" s="13">
        <v>0.96</v>
      </c>
      <c r="J265">
        <v>1</v>
      </c>
      <c r="K265" s="2">
        <v>3.0092592592592595E-4</v>
      </c>
      <c r="L265" s="11">
        <v>13.866666666666667</v>
      </c>
      <c r="M265" s="3">
        <v>0.43333333333333335</v>
      </c>
      <c r="N265" s="4">
        <v>26</v>
      </c>
      <c r="O265" s="2">
        <v>1.4351851851851852E-3</v>
      </c>
      <c r="P265" s="9">
        <v>66.13333333333334</v>
      </c>
      <c r="Q265" s="3">
        <v>2.0666666666666669</v>
      </c>
      <c r="R265" s="4">
        <v>124.00000000000001</v>
      </c>
      <c r="S265" s="3">
        <v>21</v>
      </c>
      <c r="T265" s="1">
        <v>0.66669999999999996</v>
      </c>
      <c r="U265" s="6">
        <v>21.334399999999999</v>
      </c>
    </row>
    <row r="266" spans="1:21" x14ac:dyDescent="0.35">
      <c r="A266">
        <v>265</v>
      </c>
      <c r="B266" s="5">
        <v>44461</v>
      </c>
      <c r="C266" s="4">
        <v>2021</v>
      </c>
      <c r="D266" s="4">
        <v>9</v>
      </c>
      <c r="E266" s="14">
        <v>44461</v>
      </c>
      <c r="F266" s="4">
        <v>22</v>
      </c>
      <c r="G266">
        <v>145</v>
      </c>
      <c r="H266">
        <v>139</v>
      </c>
      <c r="I266" s="13">
        <v>0.95</v>
      </c>
      <c r="J266">
        <v>6</v>
      </c>
      <c r="K266" s="2">
        <v>2.3148148148148149E-4</v>
      </c>
      <c r="L266" s="11">
        <v>46.333333333333329</v>
      </c>
      <c r="M266" s="3">
        <v>0.33333333333333331</v>
      </c>
      <c r="N266" s="4">
        <v>20</v>
      </c>
      <c r="O266" s="2">
        <v>1.712962962962963E-3</v>
      </c>
      <c r="P266" s="9">
        <v>342.86666666666667</v>
      </c>
      <c r="Q266" s="3">
        <v>2.4666666666666668</v>
      </c>
      <c r="R266" s="4">
        <v>148</v>
      </c>
      <c r="S266" s="3">
        <v>109</v>
      </c>
      <c r="T266" s="1">
        <v>0.79020000000000001</v>
      </c>
      <c r="U266" s="6">
        <v>109.8378</v>
      </c>
    </row>
    <row r="267" spans="1:21" x14ac:dyDescent="0.35">
      <c r="A267">
        <v>266</v>
      </c>
      <c r="B267" s="5">
        <v>44462</v>
      </c>
      <c r="C267" s="4">
        <v>2021</v>
      </c>
      <c r="D267" s="4">
        <v>9</v>
      </c>
      <c r="E267" s="14">
        <v>44462</v>
      </c>
      <c r="F267" s="4">
        <v>23</v>
      </c>
      <c r="G267">
        <v>129</v>
      </c>
      <c r="H267">
        <v>127</v>
      </c>
      <c r="I267" s="13">
        <v>0.98</v>
      </c>
      <c r="J267">
        <v>2</v>
      </c>
      <c r="K267" s="2">
        <v>2.199074074074074E-4</v>
      </c>
      <c r="L267" s="11">
        <v>40.216666666666661</v>
      </c>
      <c r="M267" s="3">
        <v>0.31666666666666665</v>
      </c>
      <c r="N267" s="4">
        <v>19</v>
      </c>
      <c r="O267" s="2">
        <v>1.5393518518518519E-3</v>
      </c>
      <c r="P267" s="9">
        <v>281.51666666666671</v>
      </c>
      <c r="Q267" s="3">
        <v>2.2166666666666668</v>
      </c>
      <c r="R267" s="4">
        <v>133</v>
      </c>
      <c r="S267" s="3">
        <v>95</v>
      </c>
      <c r="T267" s="1">
        <v>0.75590000000000002</v>
      </c>
      <c r="U267" s="6">
        <v>95.999300000000005</v>
      </c>
    </row>
    <row r="268" spans="1:21" x14ac:dyDescent="0.35">
      <c r="A268">
        <v>267</v>
      </c>
      <c r="B268" s="5">
        <v>44463</v>
      </c>
      <c r="C268" s="4">
        <v>2021</v>
      </c>
      <c r="D268" s="4">
        <v>9</v>
      </c>
      <c r="E268" s="14">
        <v>44463</v>
      </c>
      <c r="F268" s="4">
        <v>24</v>
      </c>
      <c r="G268">
        <v>194</v>
      </c>
      <c r="H268">
        <v>178</v>
      </c>
      <c r="I268" s="13">
        <v>0.91</v>
      </c>
      <c r="J268">
        <v>16</v>
      </c>
      <c r="K268" s="2">
        <v>3.0092592592592595E-4</v>
      </c>
      <c r="L268" s="11">
        <v>77.13333333333334</v>
      </c>
      <c r="M268" s="3">
        <v>0.43333333333333335</v>
      </c>
      <c r="N268" s="4">
        <v>26</v>
      </c>
      <c r="O268" s="2">
        <v>1.8055555555555555E-3</v>
      </c>
      <c r="P268" s="9">
        <v>462.8</v>
      </c>
      <c r="Q268" s="3">
        <v>2.6</v>
      </c>
      <c r="R268" s="4">
        <v>156</v>
      </c>
      <c r="S268" s="3">
        <v>119</v>
      </c>
      <c r="T268" s="1">
        <v>0.67190000000000005</v>
      </c>
      <c r="U268" s="6">
        <v>119.59820000000001</v>
      </c>
    </row>
    <row r="269" spans="1:21" x14ac:dyDescent="0.35">
      <c r="A269">
        <v>268</v>
      </c>
      <c r="B269" s="5">
        <v>44464</v>
      </c>
      <c r="C269" s="4">
        <v>2021</v>
      </c>
      <c r="D269" s="4">
        <v>9</v>
      </c>
      <c r="E269" s="14">
        <v>44464</v>
      </c>
      <c r="F269" s="4">
        <v>25</v>
      </c>
      <c r="G269">
        <v>194</v>
      </c>
      <c r="H269">
        <v>187</v>
      </c>
      <c r="I269" s="13">
        <v>0.96</v>
      </c>
      <c r="J269">
        <v>7</v>
      </c>
      <c r="K269" s="2">
        <v>2.7777777777777778E-4</v>
      </c>
      <c r="L269" s="11">
        <v>74.8</v>
      </c>
      <c r="M269" s="3">
        <v>0.4</v>
      </c>
      <c r="N269" s="4">
        <v>24</v>
      </c>
      <c r="O269" s="2">
        <v>1.6782407407407408E-3</v>
      </c>
      <c r="P269" s="9">
        <v>451.91666666666663</v>
      </c>
      <c r="Q269" s="3">
        <v>2.4166666666666665</v>
      </c>
      <c r="R269" s="4">
        <v>145</v>
      </c>
      <c r="S269" s="3">
        <v>144</v>
      </c>
      <c r="T269" s="1">
        <v>0.77249999999999996</v>
      </c>
      <c r="U269" s="6">
        <v>144.45749999999998</v>
      </c>
    </row>
    <row r="270" spans="1:21" x14ac:dyDescent="0.35">
      <c r="A270">
        <v>269</v>
      </c>
      <c r="B270" s="5">
        <v>44465</v>
      </c>
      <c r="C270" s="4">
        <v>2021</v>
      </c>
      <c r="D270" s="4">
        <v>9</v>
      </c>
      <c r="E270" s="14">
        <v>44465</v>
      </c>
      <c r="F270" s="4">
        <v>26</v>
      </c>
      <c r="G270">
        <v>202</v>
      </c>
      <c r="H270">
        <v>195</v>
      </c>
      <c r="I270" s="13">
        <v>0.96</v>
      </c>
      <c r="J270">
        <v>7</v>
      </c>
      <c r="K270" s="2">
        <v>2.4305555555555555E-4</v>
      </c>
      <c r="L270" s="11">
        <v>68.25</v>
      </c>
      <c r="M270" s="3">
        <v>0.35</v>
      </c>
      <c r="N270" s="4">
        <v>21</v>
      </c>
      <c r="O270" s="2">
        <v>1.6319444444444445E-3</v>
      </c>
      <c r="P270" s="9">
        <v>458.25</v>
      </c>
      <c r="Q270" s="3">
        <v>2.35</v>
      </c>
      <c r="R270" s="4">
        <v>141</v>
      </c>
      <c r="S270" s="3">
        <v>145</v>
      </c>
      <c r="T270" s="1">
        <v>0.74750000000000005</v>
      </c>
      <c r="U270" s="6">
        <v>145.76250000000002</v>
      </c>
    </row>
    <row r="271" spans="1:21" x14ac:dyDescent="0.35">
      <c r="A271">
        <v>270</v>
      </c>
      <c r="B271" s="5">
        <v>44466</v>
      </c>
      <c r="C271" s="4">
        <v>2021</v>
      </c>
      <c r="D271" s="4">
        <v>9</v>
      </c>
      <c r="E271" s="14">
        <v>44466</v>
      </c>
      <c r="F271" s="4">
        <v>27</v>
      </c>
      <c r="G271">
        <v>214</v>
      </c>
      <c r="H271">
        <v>208</v>
      </c>
      <c r="I271" s="13">
        <v>0.97</v>
      </c>
      <c r="J271">
        <v>6</v>
      </c>
      <c r="K271" s="2">
        <v>1.5046296296296297E-4</v>
      </c>
      <c r="L271" s="11">
        <v>45.06666666666667</v>
      </c>
      <c r="M271" s="3">
        <v>0.21666666666666667</v>
      </c>
      <c r="N271" s="4">
        <v>13</v>
      </c>
      <c r="O271" s="2">
        <v>1.6087962962962963E-3</v>
      </c>
      <c r="P271" s="9">
        <v>481.86666666666662</v>
      </c>
      <c r="Q271" s="3">
        <v>2.3166666666666664</v>
      </c>
      <c r="R271" s="4">
        <v>139</v>
      </c>
      <c r="S271" s="3">
        <v>183</v>
      </c>
      <c r="T271" s="1">
        <v>0.88149999999999995</v>
      </c>
      <c r="U271" s="6">
        <v>183.35199999999998</v>
      </c>
    </row>
    <row r="272" spans="1:21" x14ac:dyDescent="0.35">
      <c r="A272">
        <v>271</v>
      </c>
      <c r="B272" s="5">
        <v>44467</v>
      </c>
      <c r="C272" s="4">
        <v>2021</v>
      </c>
      <c r="D272" s="4">
        <v>9</v>
      </c>
      <c r="E272" s="14">
        <v>44467</v>
      </c>
      <c r="F272" s="4">
        <v>28</v>
      </c>
      <c r="G272">
        <v>28</v>
      </c>
      <c r="H272">
        <v>28</v>
      </c>
      <c r="I272" s="13">
        <v>1</v>
      </c>
      <c r="J272">
        <v>0</v>
      </c>
      <c r="K272" s="2">
        <v>1.5046296296296297E-4</v>
      </c>
      <c r="L272" s="11">
        <v>6.0666666666666664</v>
      </c>
      <c r="M272" s="3">
        <v>0.21666666666666667</v>
      </c>
      <c r="N272" s="4">
        <v>13</v>
      </c>
      <c r="O272" s="2">
        <v>1.5393518518518519E-3</v>
      </c>
      <c r="P272" s="9">
        <v>62.06666666666667</v>
      </c>
      <c r="Q272" s="3">
        <v>2.2166666666666668</v>
      </c>
      <c r="R272" s="4">
        <v>133</v>
      </c>
      <c r="S272" s="3">
        <v>25</v>
      </c>
      <c r="T272" s="1">
        <v>0.89290000000000003</v>
      </c>
      <c r="U272" s="6">
        <v>25.001200000000001</v>
      </c>
    </row>
    <row r="273" spans="1:21" x14ac:dyDescent="0.35">
      <c r="A273">
        <v>272</v>
      </c>
      <c r="B273" s="5">
        <v>44468</v>
      </c>
      <c r="C273" s="4">
        <v>2021</v>
      </c>
      <c r="D273" s="4">
        <v>9</v>
      </c>
      <c r="E273" s="14">
        <v>44468</v>
      </c>
      <c r="F273" s="4">
        <v>29</v>
      </c>
      <c r="G273">
        <v>191</v>
      </c>
      <c r="H273">
        <v>187</v>
      </c>
      <c r="I273" s="13">
        <v>0.97</v>
      </c>
      <c r="J273">
        <v>4</v>
      </c>
      <c r="K273" s="2">
        <v>1.7361111111111112E-4</v>
      </c>
      <c r="L273" s="11">
        <v>46.75</v>
      </c>
      <c r="M273" s="3">
        <v>0.25</v>
      </c>
      <c r="N273" s="4">
        <v>15</v>
      </c>
      <c r="O273" s="2">
        <v>1.6550925925925926E-3</v>
      </c>
      <c r="P273" s="9">
        <v>445.68333333333334</v>
      </c>
      <c r="Q273" s="3">
        <v>2.3833333333333333</v>
      </c>
      <c r="R273" s="4">
        <v>143</v>
      </c>
      <c r="S273" s="3">
        <v>154</v>
      </c>
      <c r="T273" s="1">
        <v>0.82540000000000002</v>
      </c>
      <c r="U273" s="6">
        <v>154.34980000000002</v>
      </c>
    </row>
    <row r="274" spans="1:21" x14ac:dyDescent="0.35">
      <c r="A274">
        <v>273</v>
      </c>
      <c r="B274" s="5">
        <v>44469</v>
      </c>
      <c r="C274" s="4">
        <v>2021</v>
      </c>
      <c r="D274" s="4">
        <v>9</v>
      </c>
      <c r="E274" s="14">
        <v>44469</v>
      </c>
      <c r="F274" s="4">
        <v>30</v>
      </c>
      <c r="G274">
        <v>205</v>
      </c>
      <c r="H274">
        <v>197</v>
      </c>
      <c r="I274" s="13">
        <v>0.96</v>
      </c>
      <c r="J274">
        <v>8</v>
      </c>
      <c r="K274" s="2">
        <v>2.4305555555555555E-4</v>
      </c>
      <c r="L274" s="11">
        <v>68.949999999999989</v>
      </c>
      <c r="M274" s="3">
        <v>0.35</v>
      </c>
      <c r="N274" s="4">
        <v>21</v>
      </c>
      <c r="O274" s="2">
        <v>1.7013888888888888E-3</v>
      </c>
      <c r="P274" s="9">
        <v>482.65000000000003</v>
      </c>
      <c r="Q274" s="3">
        <v>2.4500000000000002</v>
      </c>
      <c r="R274" s="4">
        <v>147</v>
      </c>
      <c r="S274" s="3">
        <v>146</v>
      </c>
      <c r="T274" s="1">
        <v>0.74380000000000002</v>
      </c>
      <c r="U274" s="6">
        <v>146.52860000000001</v>
      </c>
    </row>
    <row r="275" spans="1:21" x14ac:dyDescent="0.35">
      <c r="A275">
        <v>274</v>
      </c>
      <c r="B275" s="5">
        <v>44470</v>
      </c>
      <c r="C275" s="4">
        <v>2021</v>
      </c>
      <c r="D275" s="4">
        <v>10</v>
      </c>
      <c r="E275" s="14">
        <v>44470</v>
      </c>
      <c r="F275" s="4">
        <v>1</v>
      </c>
      <c r="G275">
        <v>198</v>
      </c>
      <c r="H275">
        <v>196</v>
      </c>
      <c r="I275" s="13">
        <v>0.98</v>
      </c>
      <c r="J275">
        <v>2</v>
      </c>
      <c r="K275" s="2">
        <v>2.6620370370370372E-4</v>
      </c>
      <c r="L275" s="11">
        <v>75.13333333333334</v>
      </c>
      <c r="M275" s="3">
        <v>0.38333333333333336</v>
      </c>
      <c r="N275" s="4">
        <v>23</v>
      </c>
      <c r="O275" s="2">
        <v>1.712962962962963E-3</v>
      </c>
      <c r="P275" s="9">
        <v>483.4666666666667</v>
      </c>
      <c r="Q275" s="3">
        <v>2.4666666666666668</v>
      </c>
      <c r="R275" s="4">
        <v>148</v>
      </c>
      <c r="S275" s="3">
        <v>144</v>
      </c>
      <c r="T275" s="1">
        <v>0.73599999999999999</v>
      </c>
      <c r="U275" s="6">
        <v>144.256</v>
      </c>
    </row>
    <row r="276" spans="1:21" x14ac:dyDescent="0.35">
      <c r="A276">
        <v>275</v>
      </c>
      <c r="B276" s="5">
        <v>44471</v>
      </c>
      <c r="C276" s="4">
        <v>2021</v>
      </c>
      <c r="D276" s="4">
        <v>10</v>
      </c>
      <c r="E276" s="14">
        <v>44471</v>
      </c>
      <c r="F276" s="4">
        <v>2</v>
      </c>
      <c r="G276">
        <v>184</v>
      </c>
      <c r="H276">
        <v>177</v>
      </c>
      <c r="I276" s="13">
        <v>0.96</v>
      </c>
      <c r="J276">
        <v>7</v>
      </c>
      <c r="K276" s="2">
        <v>2.3148148148148149E-4</v>
      </c>
      <c r="L276" s="11">
        <v>59</v>
      </c>
      <c r="M276" s="3">
        <v>0.33333333333333331</v>
      </c>
      <c r="N276" s="4">
        <v>20</v>
      </c>
      <c r="O276" s="2">
        <v>1.8634259259259259E-3</v>
      </c>
      <c r="P276" s="9">
        <v>474.95000000000005</v>
      </c>
      <c r="Q276" s="3">
        <v>2.6833333333333336</v>
      </c>
      <c r="R276" s="4">
        <v>161</v>
      </c>
      <c r="S276" s="3">
        <v>139</v>
      </c>
      <c r="T276" s="1">
        <v>0.78569999999999995</v>
      </c>
      <c r="U276" s="6">
        <v>139.06889999999999</v>
      </c>
    </row>
    <row r="277" spans="1:21" x14ac:dyDescent="0.35">
      <c r="A277">
        <v>276</v>
      </c>
      <c r="B277" s="5">
        <v>44472</v>
      </c>
      <c r="C277" s="4">
        <v>2021</v>
      </c>
      <c r="D277" s="4">
        <v>10</v>
      </c>
      <c r="E277" s="14">
        <v>44472</v>
      </c>
      <c r="F277" s="4">
        <v>3</v>
      </c>
      <c r="G277">
        <v>184</v>
      </c>
      <c r="H277">
        <v>174</v>
      </c>
      <c r="I277" s="13">
        <v>0.94</v>
      </c>
      <c r="J277">
        <v>10</v>
      </c>
      <c r="K277" s="2">
        <v>2.8935185185185184E-4</v>
      </c>
      <c r="L277" s="11">
        <v>72.5</v>
      </c>
      <c r="M277" s="3">
        <v>0.41666666666666669</v>
      </c>
      <c r="N277" s="4">
        <v>25</v>
      </c>
      <c r="O277" s="2">
        <v>1.7013888888888888E-3</v>
      </c>
      <c r="P277" s="9">
        <v>426.3</v>
      </c>
      <c r="Q277" s="3">
        <v>2.4500000000000002</v>
      </c>
      <c r="R277" s="4">
        <v>147</v>
      </c>
      <c r="S277" s="3">
        <v>121</v>
      </c>
      <c r="T277" s="1">
        <v>0.7</v>
      </c>
      <c r="U277" s="6">
        <v>121.8</v>
      </c>
    </row>
    <row r="278" spans="1:21" x14ac:dyDescent="0.35">
      <c r="A278">
        <v>277</v>
      </c>
      <c r="B278" s="5">
        <v>44473</v>
      </c>
      <c r="C278" s="4">
        <v>2021</v>
      </c>
      <c r="D278" s="4">
        <v>10</v>
      </c>
      <c r="E278" s="14">
        <v>44473</v>
      </c>
      <c r="F278" s="4">
        <v>4</v>
      </c>
      <c r="G278">
        <v>168</v>
      </c>
      <c r="H278">
        <v>160</v>
      </c>
      <c r="I278" s="13">
        <v>0.95</v>
      </c>
      <c r="J278">
        <v>8</v>
      </c>
      <c r="K278" s="2">
        <v>3.0092592592592595E-4</v>
      </c>
      <c r="L278" s="11">
        <v>69.333333333333343</v>
      </c>
      <c r="M278" s="3">
        <v>0.43333333333333335</v>
      </c>
      <c r="N278" s="4">
        <v>26</v>
      </c>
      <c r="O278" s="2">
        <v>1.6782407407407408E-3</v>
      </c>
      <c r="P278" s="9">
        <v>386.66666666666663</v>
      </c>
      <c r="Q278" s="3">
        <v>2.4166666666666665</v>
      </c>
      <c r="R278" s="4">
        <v>145</v>
      </c>
      <c r="S278" s="3">
        <v>109</v>
      </c>
      <c r="T278" s="1">
        <v>0.68259999999999998</v>
      </c>
      <c r="U278" s="6">
        <v>109.21599999999999</v>
      </c>
    </row>
    <row r="279" spans="1:21" x14ac:dyDescent="0.35">
      <c r="A279">
        <v>278</v>
      </c>
      <c r="B279" s="5">
        <v>44474</v>
      </c>
      <c r="C279" s="4">
        <v>2021</v>
      </c>
      <c r="D279" s="4">
        <v>10</v>
      </c>
      <c r="E279" s="14">
        <v>44474</v>
      </c>
      <c r="F279" s="4">
        <v>5</v>
      </c>
      <c r="G279">
        <v>39</v>
      </c>
      <c r="H279">
        <v>37</v>
      </c>
      <c r="I279" s="13">
        <v>0.94</v>
      </c>
      <c r="J279">
        <v>2</v>
      </c>
      <c r="K279" s="2">
        <v>1.6203703703703703E-4</v>
      </c>
      <c r="L279" s="11">
        <v>8.6333333333333329</v>
      </c>
      <c r="M279" s="3">
        <v>0.23333333333333334</v>
      </c>
      <c r="N279" s="4">
        <v>14</v>
      </c>
      <c r="O279" s="2">
        <v>1.4814814814814814E-3</v>
      </c>
      <c r="P279" s="9">
        <v>78.933333333333337</v>
      </c>
      <c r="Q279" s="3">
        <v>2.1333333333333333</v>
      </c>
      <c r="R279" s="4">
        <v>128</v>
      </c>
      <c r="S279" s="3">
        <v>29</v>
      </c>
      <c r="T279" s="1">
        <v>0.81079999999999997</v>
      </c>
      <c r="U279" s="6">
        <v>29.999599999999997</v>
      </c>
    </row>
    <row r="280" spans="1:21" x14ac:dyDescent="0.35">
      <c r="A280">
        <v>279</v>
      </c>
      <c r="B280" s="5">
        <v>44475</v>
      </c>
      <c r="C280" s="4">
        <v>2021</v>
      </c>
      <c r="D280" s="4">
        <v>10</v>
      </c>
      <c r="E280" s="14">
        <v>44475</v>
      </c>
      <c r="F280" s="4">
        <v>6</v>
      </c>
      <c r="G280">
        <v>225</v>
      </c>
      <c r="H280">
        <v>210</v>
      </c>
      <c r="I280" s="13">
        <v>0.93</v>
      </c>
      <c r="J280">
        <v>15</v>
      </c>
      <c r="K280" s="2">
        <v>3.2407407407407406E-4</v>
      </c>
      <c r="L280" s="11">
        <v>98</v>
      </c>
      <c r="M280" s="3">
        <v>0.46666666666666667</v>
      </c>
      <c r="N280" s="4">
        <v>28</v>
      </c>
      <c r="O280" s="2">
        <v>1.5393518518518519E-3</v>
      </c>
      <c r="P280" s="9">
        <v>465.5</v>
      </c>
      <c r="Q280" s="3">
        <v>2.2166666666666668</v>
      </c>
      <c r="R280" s="4">
        <v>133</v>
      </c>
      <c r="S280" s="3">
        <v>140</v>
      </c>
      <c r="T280" s="1">
        <v>0.66969999999999996</v>
      </c>
      <c r="U280" s="6">
        <v>140.637</v>
      </c>
    </row>
    <row r="281" spans="1:21" x14ac:dyDescent="0.35">
      <c r="A281">
        <v>280</v>
      </c>
      <c r="B281" s="5">
        <v>44476</v>
      </c>
      <c r="C281" s="4">
        <v>2021</v>
      </c>
      <c r="D281" s="4">
        <v>10</v>
      </c>
      <c r="E281" s="14">
        <v>44476</v>
      </c>
      <c r="F281" s="4">
        <v>7</v>
      </c>
      <c r="G281">
        <v>182</v>
      </c>
      <c r="H281">
        <v>174</v>
      </c>
      <c r="I281" s="13">
        <v>0.95</v>
      </c>
      <c r="J281">
        <v>8</v>
      </c>
      <c r="K281" s="2">
        <v>3.7037037037037035E-4</v>
      </c>
      <c r="L281" s="11">
        <v>92.8</v>
      </c>
      <c r="M281" s="3">
        <v>0.53333333333333333</v>
      </c>
      <c r="N281" s="4">
        <v>32</v>
      </c>
      <c r="O281" s="2">
        <v>1.5740740740740741E-3</v>
      </c>
      <c r="P281" s="9">
        <v>394.4</v>
      </c>
      <c r="Q281" s="3">
        <v>2.2666666666666666</v>
      </c>
      <c r="R281" s="4">
        <v>136</v>
      </c>
      <c r="S281" s="3">
        <v>104</v>
      </c>
      <c r="T281" s="1">
        <v>0.60219999999999996</v>
      </c>
      <c r="U281" s="6">
        <v>104.78279999999999</v>
      </c>
    </row>
    <row r="282" spans="1:21" x14ac:dyDescent="0.35">
      <c r="A282">
        <v>281</v>
      </c>
      <c r="B282" s="5">
        <v>44477</v>
      </c>
      <c r="C282" s="4">
        <v>2021</v>
      </c>
      <c r="D282" s="4">
        <v>10</v>
      </c>
      <c r="E282" s="14">
        <v>44477</v>
      </c>
      <c r="F282" s="4">
        <v>8</v>
      </c>
      <c r="G282">
        <v>346</v>
      </c>
      <c r="H282">
        <v>305</v>
      </c>
      <c r="I282" s="13">
        <v>0.88</v>
      </c>
      <c r="J282">
        <v>41</v>
      </c>
      <c r="K282" s="2">
        <v>5.2083333333333333E-4</v>
      </c>
      <c r="L282" s="11">
        <v>228.75</v>
      </c>
      <c r="M282" s="3">
        <v>0.75</v>
      </c>
      <c r="N282" s="4">
        <v>45</v>
      </c>
      <c r="O282" s="2">
        <v>1.3541666666666667E-3</v>
      </c>
      <c r="P282" s="9">
        <v>594.75</v>
      </c>
      <c r="Q282" s="3">
        <v>1.95</v>
      </c>
      <c r="R282" s="4">
        <v>117</v>
      </c>
      <c r="S282" s="3">
        <v>137</v>
      </c>
      <c r="T282" s="1">
        <v>0.45029999999999998</v>
      </c>
      <c r="U282" s="6">
        <v>137.3415</v>
      </c>
    </row>
    <row r="283" spans="1:21" x14ac:dyDescent="0.35">
      <c r="A283">
        <v>282</v>
      </c>
      <c r="B283" s="5">
        <v>44478</v>
      </c>
      <c r="C283" s="4">
        <v>2021</v>
      </c>
      <c r="D283" s="4">
        <v>10</v>
      </c>
      <c r="E283" s="14">
        <v>44478</v>
      </c>
      <c r="F283" s="4">
        <v>9</v>
      </c>
      <c r="G283">
        <v>450</v>
      </c>
      <c r="H283">
        <v>441</v>
      </c>
      <c r="I283" s="13">
        <v>0.98</v>
      </c>
      <c r="J283">
        <v>9</v>
      </c>
      <c r="K283" s="2">
        <v>2.199074074074074E-4</v>
      </c>
      <c r="L283" s="11">
        <v>139.65</v>
      </c>
      <c r="M283" s="3">
        <v>0.31666666666666665</v>
      </c>
      <c r="N283" s="4">
        <v>19</v>
      </c>
      <c r="O283" s="2">
        <v>1.3078703703703703E-3</v>
      </c>
      <c r="P283" s="9">
        <v>830.55</v>
      </c>
      <c r="Q283" s="3">
        <v>1.8833333333333333</v>
      </c>
      <c r="R283" s="4">
        <v>113</v>
      </c>
      <c r="S283" s="3">
        <v>345</v>
      </c>
      <c r="T283" s="1">
        <v>0.78300000000000003</v>
      </c>
      <c r="U283" s="6">
        <v>345.303</v>
      </c>
    </row>
    <row r="284" spans="1:21" x14ac:dyDescent="0.35">
      <c r="A284">
        <v>283</v>
      </c>
      <c r="B284" s="5">
        <v>44479</v>
      </c>
      <c r="C284" s="4">
        <v>2021</v>
      </c>
      <c r="D284" s="4">
        <v>10</v>
      </c>
      <c r="E284" s="14">
        <v>44479</v>
      </c>
      <c r="F284" s="4">
        <v>10</v>
      </c>
      <c r="G284">
        <v>259</v>
      </c>
      <c r="H284">
        <v>248</v>
      </c>
      <c r="I284" s="13">
        <v>0.95</v>
      </c>
      <c r="J284">
        <v>11</v>
      </c>
      <c r="K284" s="2">
        <v>2.3148148148148149E-4</v>
      </c>
      <c r="L284" s="11">
        <v>82.666666666666657</v>
      </c>
      <c r="M284" s="3">
        <v>0.33333333333333331</v>
      </c>
      <c r="N284" s="4">
        <v>20</v>
      </c>
      <c r="O284" s="2">
        <v>1.4583333333333334E-3</v>
      </c>
      <c r="P284" s="9">
        <v>520.80000000000007</v>
      </c>
      <c r="Q284" s="3">
        <v>2.1</v>
      </c>
      <c r="R284" s="4">
        <v>126</v>
      </c>
      <c r="S284" s="3">
        <v>186</v>
      </c>
      <c r="T284" s="1">
        <v>0.75390000000000001</v>
      </c>
      <c r="U284" s="6">
        <v>186.96719999999999</v>
      </c>
    </row>
    <row r="285" spans="1:21" x14ac:dyDescent="0.35">
      <c r="A285">
        <v>284</v>
      </c>
      <c r="B285" s="5">
        <v>44480</v>
      </c>
      <c r="C285" s="4">
        <v>2021</v>
      </c>
      <c r="D285" s="4">
        <v>10</v>
      </c>
      <c r="E285" s="14">
        <v>44480</v>
      </c>
      <c r="F285" s="4">
        <v>11</v>
      </c>
      <c r="G285">
        <v>231</v>
      </c>
      <c r="H285">
        <v>214</v>
      </c>
      <c r="I285" s="13">
        <v>0.92</v>
      </c>
      <c r="J285">
        <v>17</v>
      </c>
      <c r="K285" s="2">
        <v>2.0833333333333335E-4</v>
      </c>
      <c r="L285" s="11">
        <v>64.2</v>
      </c>
      <c r="M285" s="3">
        <v>0.3</v>
      </c>
      <c r="N285" s="4">
        <v>18</v>
      </c>
      <c r="O285" s="2">
        <v>1.4583333333333334E-3</v>
      </c>
      <c r="P285" s="9">
        <v>449.40000000000003</v>
      </c>
      <c r="Q285" s="3">
        <v>2.1</v>
      </c>
      <c r="R285" s="4">
        <v>126</v>
      </c>
      <c r="S285" s="3">
        <v>170</v>
      </c>
      <c r="T285" s="1">
        <v>0.79559999999999997</v>
      </c>
      <c r="U285" s="6">
        <v>170.25839999999999</v>
      </c>
    </row>
    <row r="286" spans="1:21" x14ac:dyDescent="0.35">
      <c r="A286">
        <v>285</v>
      </c>
      <c r="B286" s="5">
        <v>44481</v>
      </c>
      <c r="C286" s="4">
        <v>2021</v>
      </c>
      <c r="D286" s="4">
        <v>10</v>
      </c>
      <c r="E286" s="14">
        <v>44481</v>
      </c>
      <c r="F286" s="4">
        <v>12</v>
      </c>
      <c r="G286">
        <v>48</v>
      </c>
      <c r="H286">
        <v>47</v>
      </c>
      <c r="I286" s="13">
        <v>0.97</v>
      </c>
      <c r="J286">
        <v>1</v>
      </c>
      <c r="K286" s="2">
        <v>1.5046296296296297E-4</v>
      </c>
      <c r="L286" s="11">
        <v>10.183333333333334</v>
      </c>
      <c r="M286" s="3">
        <v>0.21666666666666667</v>
      </c>
      <c r="N286" s="4">
        <v>13</v>
      </c>
      <c r="O286" s="2">
        <v>1.4236111111111112E-3</v>
      </c>
      <c r="P286" s="9">
        <v>96.35</v>
      </c>
      <c r="Q286" s="3">
        <v>2.0499999999999998</v>
      </c>
      <c r="R286" s="4">
        <v>122.99999999999999</v>
      </c>
      <c r="S286" s="3">
        <v>42</v>
      </c>
      <c r="T286" s="1">
        <v>0.89580000000000004</v>
      </c>
      <c r="U286" s="6">
        <v>42.102600000000002</v>
      </c>
    </row>
    <row r="287" spans="1:21" x14ac:dyDescent="0.35">
      <c r="A287">
        <v>286</v>
      </c>
      <c r="B287" s="5">
        <v>44482</v>
      </c>
      <c r="C287" s="4">
        <v>2021</v>
      </c>
      <c r="D287" s="4">
        <v>10</v>
      </c>
      <c r="E287" s="14">
        <v>44482</v>
      </c>
      <c r="F287" s="4">
        <v>13</v>
      </c>
      <c r="G287">
        <v>246</v>
      </c>
      <c r="H287">
        <v>236</v>
      </c>
      <c r="I287" s="13">
        <v>0.95</v>
      </c>
      <c r="J287">
        <v>10</v>
      </c>
      <c r="K287" s="2">
        <v>2.3148148148148149E-4</v>
      </c>
      <c r="L287" s="11">
        <v>78.666666666666657</v>
      </c>
      <c r="M287" s="3">
        <v>0.33333333333333331</v>
      </c>
      <c r="N287" s="4">
        <v>20</v>
      </c>
      <c r="O287" s="2">
        <v>1.5162037037037036E-3</v>
      </c>
      <c r="P287" s="9">
        <v>515.26666666666665</v>
      </c>
      <c r="Q287" s="3">
        <v>2.1833333333333331</v>
      </c>
      <c r="R287" s="4">
        <v>131</v>
      </c>
      <c r="S287" s="3">
        <v>186</v>
      </c>
      <c r="T287" s="1">
        <v>0.79179999999999995</v>
      </c>
      <c r="U287" s="6">
        <v>186.86479999999997</v>
      </c>
    </row>
    <row r="288" spans="1:21" x14ac:dyDescent="0.35">
      <c r="A288">
        <v>287</v>
      </c>
      <c r="B288" s="5">
        <v>44483</v>
      </c>
      <c r="C288" s="4">
        <v>2021</v>
      </c>
      <c r="D288" s="4">
        <v>10</v>
      </c>
      <c r="E288" s="14">
        <v>44483</v>
      </c>
      <c r="F288" s="4">
        <v>14</v>
      </c>
      <c r="G288">
        <v>202</v>
      </c>
      <c r="H288">
        <v>195</v>
      </c>
      <c r="I288" s="13">
        <v>0.96</v>
      </c>
      <c r="J288">
        <v>7</v>
      </c>
      <c r="K288" s="2">
        <v>2.8935185185185184E-4</v>
      </c>
      <c r="L288" s="11">
        <v>81.25</v>
      </c>
      <c r="M288" s="3">
        <v>0.41666666666666669</v>
      </c>
      <c r="N288" s="4">
        <v>25</v>
      </c>
      <c r="O288" s="2">
        <v>1.5625000000000001E-3</v>
      </c>
      <c r="P288" s="9">
        <v>438.75</v>
      </c>
      <c r="Q288" s="3">
        <v>2.25</v>
      </c>
      <c r="R288" s="4">
        <v>135</v>
      </c>
      <c r="S288" s="3">
        <v>145</v>
      </c>
      <c r="T288" s="1">
        <v>0.745</v>
      </c>
      <c r="U288" s="6">
        <v>145.27500000000001</v>
      </c>
    </row>
    <row r="289" spans="1:21" x14ac:dyDescent="0.35">
      <c r="A289">
        <v>288</v>
      </c>
      <c r="B289" s="5">
        <v>44484</v>
      </c>
      <c r="C289" s="4">
        <v>2021</v>
      </c>
      <c r="D289" s="4">
        <v>10</v>
      </c>
      <c r="E289" s="14">
        <v>44484</v>
      </c>
      <c r="F289" s="4">
        <v>15</v>
      </c>
      <c r="G289">
        <v>153</v>
      </c>
      <c r="H289">
        <v>150</v>
      </c>
      <c r="I289" s="13">
        <v>0.98</v>
      </c>
      <c r="J289">
        <v>3</v>
      </c>
      <c r="K289" s="2">
        <v>1.7361111111111112E-4</v>
      </c>
      <c r="L289" s="11">
        <v>37.5</v>
      </c>
      <c r="M289" s="3">
        <v>0.25</v>
      </c>
      <c r="N289" s="4">
        <v>15</v>
      </c>
      <c r="O289" s="2">
        <v>1.5625000000000001E-3</v>
      </c>
      <c r="P289" s="9">
        <v>337.5</v>
      </c>
      <c r="Q289" s="3">
        <v>2.25</v>
      </c>
      <c r="R289" s="4">
        <v>135</v>
      </c>
      <c r="S289" s="3">
        <v>123</v>
      </c>
      <c r="T289" s="1">
        <v>0.82240000000000002</v>
      </c>
      <c r="U289" s="6">
        <v>123.36</v>
      </c>
    </row>
    <row r="290" spans="1:21" x14ac:dyDescent="0.35">
      <c r="A290">
        <v>289</v>
      </c>
      <c r="B290" s="5">
        <v>44485</v>
      </c>
      <c r="C290" s="4">
        <v>2021</v>
      </c>
      <c r="D290" s="4">
        <v>10</v>
      </c>
      <c r="E290" s="14">
        <v>44485</v>
      </c>
      <c r="F290" s="4">
        <v>16</v>
      </c>
      <c r="G290">
        <v>178</v>
      </c>
      <c r="H290">
        <v>172</v>
      </c>
      <c r="I290" s="13">
        <v>0.96</v>
      </c>
      <c r="J290">
        <v>6</v>
      </c>
      <c r="K290" s="2">
        <v>2.199074074074074E-4</v>
      </c>
      <c r="L290" s="11">
        <v>54.466666666666661</v>
      </c>
      <c r="M290" s="3">
        <v>0.31666666666666665</v>
      </c>
      <c r="N290" s="4">
        <v>19</v>
      </c>
      <c r="O290" s="2">
        <v>1.5625000000000001E-3</v>
      </c>
      <c r="P290" s="9">
        <v>387</v>
      </c>
      <c r="Q290" s="3">
        <v>2.25</v>
      </c>
      <c r="R290" s="4">
        <v>135</v>
      </c>
      <c r="S290" s="3">
        <v>134</v>
      </c>
      <c r="T290" s="1">
        <v>0.78290000000000004</v>
      </c>
      <c r="U290" s="6">
        <v>134.65880000000001</v>
      </c>
    </row>
    <row r="291" spans="1:21" x14ac:dyDescent="0.35">
      <c r="A291">
        <v>290</v>
      </c>
      <c r="B291" s="5">
        <v>44486</v>
      </c>
      <c r="C291" s="4">
        <v>2021</v>
      </c>
      <c r="D291" s="4">
        <v>10</v>
      </c>
      <c r="E291" s="14">
        <v>44486</v>
      </c>
      <c r="F291" s="4">
        <v>17</v>
      </c>
      <c r="G291">
        <v>172</v>
      </c>
      <c r="H291">
        <v>165</v>
      </c>
      <c r="I291" s="13">
        <v>0.95</v>
      </c>
      <c r="J291">
        <v>7</v>
      </c>
      <c r="K291" s="2">
        <v>2.199074074074074E-4</v>
      </c>
      <c r="L291" s="11">
        <v>52.25</v>
      </c>
      <c r="M291" s="3">
        <v>0.31666666666666665</v>
      </c>
      <c r="N291" s="4">
        <v>19</v>
      </c>
      <c r="O291" s="2">
        <v>1.6666666666666668E-3</v>
      </c>
      <c r="P291" s="9">
        <v>396</v>
      </c>
      <c r="Q291" s="3">
        <v>2.4</v>
      </c>
      <c r="R291" s="4">
        <v>144</v>
      </c>
      <c r="S291" s="3">
        <v>130</v>
      </c>
      <c r="T291" s="1">
        <v>0.79290000000000005</v>
      </c>
      <c r="U291" s="6">
        <v>130.82850000000002</v>
      </c>
    </row>
    <row r="292" spans="1:21" x14ac:dyDescent="0.35">
      <c r="A292">
        <v>291</v>
      </c>
      <c r="B292" s="5">
        <v>44487</v>
      </c>
      <c r="C292" s="4">
        <v>2021</v>
      </c>
      <c r="D292" s="4">
        <v>10</v>
      </c>
      <c r="E292" s="14">
        <v>44487</v>
      </c>
      <c r="F292" s="4">
        <v>18</v>
      </c>
      <c r="G292">
        <v>208</v>
      </c>
      <c r="H292">
        <v>200</v>
      </c>
      <c r="I292" s="13">
        <v>0.96</v>
      </c>
      <c r="J292">
        <v>8</v>
      </c>
      <c r="K292" s="2">
        <v>3.0092592592592595E-4</v>
      </c>
      <c r="L292" s="11">
        <v>86.666666666666671</v>
      </c>
      <c r="M292" s="3">
        <v>0.43333333333333335</v>
      </c>
      <c r="N292" s="4">
        <v>26</v>
      </c>
      <c r="O292" s="2">
        <v>1.6550925925925926E-3</v>
      </c>
      <c r="P292" s="9">
        <v>476.66666666666669</v>
      </c>
      <c r="Q292" s="3">
        <v>2.3833333333333333</v>
      </c>
      <c r="R292" s="4">
        <v>143</v>
      </c>
      <c r="S292" s="3">
        <v>137</v>
      </c>
      <c r="T292" s="1">
        <v>0.68779999999999997</v>
      </c>
      <c r="U292" s="6">
        <v>137.56</v>
      </c>
    </row>
    <row r="293" spans="1:21" x14ac:dyDescent="0.35">
      <c r="A293">
        <v>292</v>
      </c>
      <c r="B293" s="5">
        <v>44488</v>
      </c>
      <c r="C293" s="4">
        <v>2021</v>
      </c>
      <c r="D293" s="4">
        <v>10</v>
      </c>
      <c r="E293" s="14">
        <v>44488</v>
      </c>
      <c r="F293" s="4">
        <v>19</v>
      </c>
      <c r="G293">
        <v>77</v>
      </c>
      <c r="H293">
        <v>76</v>
      </c>
      <c r="I293" s="13">
        <v>0.98</v>
      </c>
      <c r="J293">
        <v>1</v>
      </c>
      <c r="K293" s="2">
        <v>3.3564814814814812E-4</v>
      </c>
      <c r="L293" s="11">
        <v>36.733333333333334</v>
      </c>
      <c r="M293" s="3">
        <v>0.48333333333333334</v>
      </c>
      <c r="N293" s="4">
        <v>29</v>
      </c>
      <c r="O293" s="2">
        <v>1.5740740740740741E-3</v>
      </c>
      <c r="P293" s="9">
        <v>172.26666666666665</v>
      </c>
      <c r="Q293" s="3">
        <v>2.2666666666666666</v>
      </c>
      <c r="R293" s="4">
        <v>136</v>
      </c>
      <c r="S293" s="3">
        <v>44</v>
      </c>
      <c r="T293" s="1">
        <v>0.58440000000000003</v>
      </c>
      <c r="U293" s="6">
        <v>44.414400000000001</v>
      </c>
    </row>
    <row r="294" spans="1:21" x14ac:dyDescent="0.35">
      <c r="A294">
        <v>293</v>
      </c>
      <c r="B294" s="5">
        <v>44489</v>
      </c>
      <c r="C294" s="4">
        <v>2021</v>
      </c>
      <c r="D294" s="4">
        <v>10</v>
      </c>
      <c r="E294" s="14">
        <v>44489</v>
      </c>
      <c r="F294" s="4">
        <v>20</v>
      </c>
      <c r="G294">
        <v>291</v>
      </c>
      <c r="H294">
        <v>250</v>
      </c>
      <c r="I294" s="13">
        <v>0.85</v>
      </c>
      <c r="J294">
        <v>41</v>
      </c>
      <c r="K294" s="2">
        <v>4.7453703703703704E-4</v>
      </c>
      <c r="L294" s="11">
        <v>170.83333333333334</v>
      </c>
      <c r="M294" s="3">
        <v>0.68333333333333335</v>
      </c>
      <c r="N294" s="4">
        <v>41</v>
      </c>
      <c r="O294" s="2">
        <v>1.6203703703703703E-3</v>
      </c>
      <c r="P294" s="9">
        <v>583.33333333333337</v>
      </c>
      <c r="Q294" s="3">
        <v>2.3333333333333335</v>
      </c>
      <c r="R294" s="4">
        <v>140</v>
      </c>
      <c r="S294" s="3">
        <v>138</v>
      </c>
      <c r="T294" s="1">
        <v>0.5544</v>
      </c>
      <c r="U294" s="6">
        <v>138.6</v>
      </c>
    </row>
    <row r="295" spans="1:21" x14ac:dyDescent="0.35">
      <c r="A295">
        <v>294</v>
      </c>
      <c r="B295" s="5">
        <v>44490</v>
      </c>
      <c r="C295" s="4">
        <v>2021</v>
      </c>
      <c r="D295" s="4">
        <v>10</v>
      </c>
      <c r="E295" s="14">
        <v>44490</v>
      </c>
      <c r="F295" s="4">
        <v>21</v>
      </c>
      <c r="G295">
        <v>219</v>
      </c>
      <c r="H295">
        <v>212</v>
      </c>
      <c r="I295" s="13">
        <v>0.96</v>
      </c>
      <c r="J295">
        <v>7</v>
      </c>
      <c r="K295" s="2">
        <v>2.4305555555555555E-4</v>
      </c>
      <c r="L295" s="11">
        <v>74.199999999999989</v>
      </c>
      <c r="M295" s="3">
        <v>0.35</v>
      </c>
      <c r="N295" s="4">
        <v>21</v>
      </c>
      <c r="O295" s="2">
        <v>1.6087962962962963E-3</v>
      </c>
      <c r="P295" s="9">
        <v>491.13333333333327</v>
      </c>
      <c r="Q295" s="3">
        <v>2.3166666666666664</v>
      </c>
      <c r="R295" s="4">
        <v>139</v>
      </c>
      <c r="S295" s="3">
        <v>162</v>
      </c>
      <c r="T295" s="1">
        <v>0.76849999999999996</v>
      </c>
      <c r="U295" s="6">
        <v>162.922</v>
      </c>
    </row>
    <row r="296" spans="1:21" x14ac:dyDescent="0.35">
      <c r="A296">
        <v>295</v>
      </c>
      <c r="B296" s="5">
        <v>44491</v>
      </c>
      <c r="C296" s="4">
        <v>2021</v>
      </c>
      <c r="D296" s="4">
        <v>10</v>
      </c>
      <c r="E296" s="14">
        <v>44491</v>
      </c>
      <c r="F296" s="4">
        <v>22</v>
      </c>
      <c r="G296">
        <v>173</v>
      </c>
      <c r="H296">
        <v>169</v>
      </c>
      <c r="I296" s="13">
        <v>0.97</v>
      </c>
      <c r="J296">
        <v>4</v>
      </c>
      <c r="K296" s="2">
        <v>2.0833333333333335E-4</v>
      </c>
      <c r="L296" s="11">
        <v>50.699999999999996</v>
      </c>
      <c r="M296" s="3">
        <v>0.3</v>
      </c>
      <c r="N296" s="4">
        <v>18</v>
      </c>
      <c r="O296" s="2">
        <v>1.5393518518518519E-3</v>
      </c>
      <c r="P296" s="9">
        <v>374.61666666666667</v>
      </c>
      <c r="Q296" s="3">
        <v>2.2166666666666668</v>
      </c>
      <c r="R296" s="4">
        <v>133</v>
      </c>
      <c r="S296" s="3">
        <v>137</v>
      </c>
      <c r="T296" s="1">
        <v>0.81399999999999995</v>
      </c>
      <c r="U296" s="6">
        <v>137.566</v>
      </c>
    </row>
    <row r="297" spans="1:21" x14ac:dyDescent="0.35">
      <c r="A297">
        <v>296</v>
      </c>
      <c r="B297" s="5">
        <v>44492</v>
      </c>
      <c r="C297" s="4">
        <v>2021</v>
      </c>
      <c r="D297" s="4">
        <v>10</v>
      </c>
      <c r="E297" s="14">
        <v>44492</v>
      </c>
      <c r="F297" s="4">
        <v>23</v>
      </c>
      <c r="G297">
        <v>204</v>
      </c>
      <c r="H297">
        <v>197</v>
      </c>
      <c r="I297" s="13">
        <v>0.96</v>
      </c>
      <c r="J297">
        <v>7</v>
      </c>
      <c r="K297" s="2">
        <v>1.9675925925925926E-4</v>
      </c>
      <c r="L297" s="11">
        <v>55.816666666666663</v>
      </c>
      <c r="M297" s="3">
        <v>0.28333333333333333</v>
      </c>
      <c r="N297" s="4">
        <v>17</v>
      </c>
      <c r="O297" s="2">
        <v>1.6550925925925926E-3</v>
      </c>
      <c r="P297" s="9">
        <v>469.51666666666665</v>
      </c>
      <c r="Q297" s="3">
        <v>2.3833333333333333</v>
      </c>
      <c r="R297" s="4">
        <v>143</v>
      </c>
      <c r="S297" s="3">
        <v>157</v>
      </c>
      <c r="T297" s="1">
        <v>0.8</v>
      </c>
      <c r="U297" s="6">
        <v>157.60000000000002</v>
      </c>
    </row>
    <row r="298" spans="1:21" x14ac:dyDescent="0.35">
      <c r="A298">
        <v>297</v>
      </c>
      <c r="B298" s="5">
        <v>44493</v>
      </c>
      <c r="C298" s="4">
        <v>2021</v>
      </c>
      <c r="D298" s="4">
        <v>10</v>
      </c>
      <c r="E298" s="14">
        <v>44493</v>
      </c>
      <c r="F298" s="4">
        <v>24</v>
      </c>
      <c r="G298">
        <v>216</v>
      </c>
      <c r="H298">
        <v>185</v>
      </c>
      <c r="I298" s="13">
        <v>0.85</v>
      </c>
      <c r="J298">
        <v>31</v>
      </c>
      <c r="K298" s="2">
        <v>3.4722222222222224E-4</v>
      </c>
      <c r="L298" s="11">
        <v>92.5</v>
      </c>
      <c r="M298" s="3">
        <v>0.5</v>
      </c>
      <c r="N298" s="4">
        <v>30</v>
      </c>
      <c r="O298" s="2">
        <v>1.5856481481481481E-3</v>
      </c>
      <c r="P298" s="9">
        <v>422.41666666666663</v>
      </c>
      <c r="Q298" s="3">
        <v>2.2833333333333332</v>
      </c>
      <c r="R298" s="4">
        <v>137</v>
      </c>
      <c r="S298" s="3">
        <v>113</v>
      </c>
      <c r="T298" s="1">
        <v>0.61429999999999996</v>
      </c>
      <c r="U298" s="6">
        <v>113.6455</v>
      </c>
    </row>
    <row r="299" spans="1:21" x14ac:dyDescent="0.35">
      <c r="A299">
        <v>298</v>
      </c>
      <c r="B299" s="5">
        <v>44494</v>
      </c>
      <c r="C299" s="4">
        <v>2021</v>
      </c>
      <c r="D299" s="4">
        <v>10</v>
      </c>
      <c r="E299" s="14">
        <v>44494</v>
      </c>
      <c r="F299" s="4">
        <v>25</v>
      </c>
      <c r="G299">
        <v>461</v>
      </c>
      <c r="H299">
        <v>441</v>
      </c>
      <c r="I299" s="13">
        <v>0.95</v>
      </c>
      <c r="J299">
        <v>20</v>
      </c>
      <c r="K299" s="2">
        <v>3.4722222222222224E-4</v>
      </c>
      <c r="L299" s="11">
        <v>220.5</v>
      </c>
      <c r="M299" s="3">
        <v>0.5</v>
      </c>
      <c r="N299" s="4">
        <v>30</v>
      </c>
      <c r="O299" s="2">
        <v>1.5972222222222223E-3</v>
      </c>
      <c r="P299" s="9">
        <v>1014.3</v>
      </c>
      <c r="Q299" s="3">
        <v>2.2999999999999998</v>
      </c>
      <c r="R299" s="4">
        <v>138</v>
      </c>
      <c r="S299" s="3">
        <v>271</v>
      </c>
      <c r="T299" s="1">
        <v>0.6149</v>
      </c>
      <c r="U299" s="6">
        <v>271.17090000000002</v>
      </c>
    </row>
    <row r="300" spans="1:21" x14ac:dyDescent="0.35">
      <c r="A300">
        <v>299</v>
      </c>
      <c r="B300" s="5">
        <v>44495</v>
      </c>
      <c r="C300" s="4">
        <v>2021</v>
      </c>
      <c r="D300" s="4">
        <v>10</v>
      </c>
      <c r="E300" s="14">
        <v>44495</v>
      </c>
      <c r="F300" s="4">
        <v>26</v>
      </c>
      <c r="G300">
        <v>56</v>
      </c>
      <c r="H300">
        <v>55</v>
      </c>
      <c r="I300" s="13">
        <v>0.98</v>
      </c>
      <c r="J300">
        <v>1</v>
      </c>
      <c r="K300" s="2">
        <v>3.0092592592592595E-4</v>
      </c>
      <c r="L300" s="11">
        <v>23.833333333333336</v>
      </c>
      <c r="M300" s="3">
        <v>0.43333333333333335</v>
      </c>
      <c r="N300" s="4">
        <v>26</v>
      </c>
      <c r="O300" s="2">
        <v>1.5162037037037036E-3</v>
      </c>
      <c r="P300" s="9">
        <v>120.08333333333333</v>
      </c>
      <c r="Q300" s="3">
        <v>2.1833333333333331</v>
      </c>
      <c r="R300" s="4">
        <v>131</v>
      </c>
      <c r="S300" s="3">
        <v>36</v>
      </c>
      <c r="T300" s="1">
        <v>0.66069999999999995</v>
      </c>
      <c r="U300" s="6">
        <v>36.338499999999996</v>
      </c>
    </row>
    <row r="301" spans="1:21" x14ac:dyDescent="0.35">
      <c r="A301">
        <v>300</v>
      </c>
      <c r="B301" s="5">
        <v>44496</v>
      </c>
      <c r="C301" s="4">
        <v>2021</v>
      </c>
      <c r="D301" s="4">
        <v>10</v>
      </c>
      <c r="E301" s="14">
        <v>44496</v>
      </c>
      <c r="F301" s="4">
        <v>27</v>
      </c>
      <c r="G301">
        <v>192</v>
      </c>
      <c r="H301">
        <v>176</v>
      </c>
      <c r="I301" s="13">
        <v>0.91</v>
      </c>
      <c r="J301">
        <v>16</v>
      </c>
      <c r="K301" s="2">
        <v>2.6620370370370372E-4</v>
      </c>
      <c r="L301" s="11">
        <v>67.466666666666669</v>
      </c>
      <c r="M301" s="3">
        <v>0.38333333333333336</v>
      </c>
      <c r="N301" s="4">
        <v>23</v>
      </c>
      <c r="O301" s="2">
        <v>1.4467592592592592E-3</v>
      </c>
      <c r="P301" s="9">
        <v>366.66666666666669</v>
      </c>
      <c r="Q301" s="3">
        <v>2.0833333333333335</v>
      </c>
      <c r="R301" s="4">
        <v>125.00000000000001</v>
      </c>
      <c r="S301" s="3">
        <v>120</v>
      </c>
      <c r="T301" s="1">
        <v>0.68279999999999996</v>
      </c>
      <c r="U301" s="6">
        <v>120.1728</v>
      </c>
    </row>
    <row r="302" spans="1:21" x14ac:dyDescent="0.35">
      <c r="A302">
        <v>301</v>
      </c>
      <c r="B302" s="5">
        <v>44497</v>
      </c>
      <c r="C302" s="4">
        <v>2021</v>
      </c>
      <c r="D302" s="4">
        <v>10</v>
      </c>
      <c r="E302" s="14">
        <v>44497</v>
      </c>
      <c r="F302" s="4">
        <v>28</v>
      </c>
      <c r="G302">
        <v>382</v>
      </c>
      <c r="H302">
        <v>365</v>
      </c>
      <c r="I302" s="13">
        <v>0.95</v>
      </c>
      <c r="J302">
        <v>17</v>
      </c>
      <c r="K302" s="2">
        <v>2.3148148148148149E-4</v>
      </c>
      <c r="L302" s="11">
        <v>121.66666666666666</v>
      </c>
      <c r="M302" s="3">
        <v>0.33333333333333331</v>
      </c>
      <c r="N302" s="4">
        <v>20</v>
      </c>
      <c r="O302" s="2">
        <v>1.0995370370370371E-3</v>
      </c>
      <c r="P302" s="9">
        <v>577.91666666666674</v>
      </c>
      <c r="Q302" s="3">
        <v>1.5833333333333335</v>
      </c>
      <c r="R302" s="4">
        <v>95.000000000000014</v>
      </c>
      <c r="S302" s="3">
        <v>266</v>
      </c>
      <c r="T302" s="1">
        <v>0.73140000000000005</v>
      </c>
      <c r="U302" s="6">
        <v>266.96100000000001</v>
      </c>
    </row>
    <row r="303" spans="1:21" x14ac:dyDescent="0.35">
      <c r="A303">
        <v>302</v>
      </c>
      <c r="B303" s="5">
        <v>44498</v>
      </c>
      <c r="C303" s="4">
        <v>2021</v>
      </c>
      <c r="D303" s="4">
        <v>10</v>
      </c>
      <c r="E303" s="14">
        <v>44498</v>
      </c>
      <c r="F303" s="4">
        <v>29</v>
      </c>
      <c r="G303">
        <v>246</v>
      </c>
      <c r="H303">
        <v>223</v>
      </c>
      <c r="I303" s="13">
        <v>0.9</v>
      </c>
      <c r="J303">
        <v>23</v>
      </c>
      <c r="K303" s="2">
        <v>2.8935185185185184E-4</v>
      </c>
      <c r="L303" s="11">
        <v>92.916666666666671</v>
      </c>
      <c r="M303" s="3">
        <v>0.41666666666666669</v>
      </c>
      <c r="N303" s="4">
        <v>25</v>
      </c>
      <c r="O303" s="2">
        <v>1.5509259259259259E-3</v>
      </c>
      <c r="P303" s="9">
        <v>498.03333333333336</v>
      </c>
      <c r="Q303" s="3">
        <v>2.2333333333333334</v>
      </c>
      <c r="R303" s="4">
        <v>134</v>
      </c>
      <c r="S303" s="3">
        <v>159</v>
      </c>
      <c r="T303" s="1">
        <v>0.7167</v>
      </c>
      <c r="U303" s="6">
        <v>159.82409999999999</v>
      </c>
    </row>
    <row r="304" spans="1:21" x14ac:dyDescent="0.35">
      <c r="A304">
        <v>303</v>
      </c>
      <c r="B304" s="5">
        <v>44499</v>
      </c>
      <c r="C304" s="4">
        <v>2021</v>
      </c>
      <c r="D304" s="4">
        <v>10</v>
      </c>
      <c r="E304" s="14">
        <v>44499</v>
      </c>
      <c r="F304" s="4">
        <v>30</v>
      </c>
      <c r="G304">
        <v>48</v>
      </c>
      <c r="H304">
        <v>46</v>
      </c>
      <c r="I304" s="13">
        <v>0.95</v>
      </c>
      <c r="J304">
        <v>2</v>
      </c>
      <c r="K304" s="2">
        <v>3.0092592592592595E-4</v>
      </c>
      <c r="L304" s="11">
        <v>19.933333333333334</v>
      </c>
      <c r="M304" s="3">
        <v>0.43333333333333335</v>
      </c>
      <c r="N304" s="4">
        <v>26</v>
      </c>
      <c r="O304" s="2">
        <v>1.5509259259259259E-3</v>
      </c>
      <c r="P304" s="9">
        <v>102.73333333333333</v>
      </c>
      <c r="Q304" s="3">
        <v>2.2333333333333334</v>
      </c>
      <c r="R304" s="4">
        <v>134</v>
      </c>
      <c r="S304" s="3">
        <v>33</v>
      </c>
      <c r="T304" s="1">
        <v>0.72340000000000004</v>
      </c>
      <c r="U304" s="6">
        <v>33.276400000000002</v>
      </c>
    </row>
    <row r="305" spans="1:21" x14ac:dyDescent="0.35">
      <c r="A305">
        <v>304</v>
      </c>
      <c r="B305" s="5">
        <v>44500</v>
      </c>
      <c r="C305" s="4">
        <v>2021</v>
      </c>
      <c r="D305" s="4">
        <v>10</v>
      </c>
      <c r="E305" s="14">
        <v>44500</v>
      </c>
      <c r="F305" s="4">
        <v>31</v>
      </c>
      <c r="G305">
        <v>221</v>
      </c>
      <c r="H305">
        <v>205</v>
      </c>
      <c r="I305" s="13">
        <v>0.92</v>
      </c>
      <c r="J305">
        <v>16</v>
      </c>
      <c r="K305" s="2">
        <v>3.0092592592592595E-4</v>
      </c>
      <c r="L305" s="11">
        <v>88.833333333333343</v>
      </c>
      <c r="M305" s="3">
        <v>0.43333333333333335</v>
      </c>
      <c r="N305" s="4">
        <v>26</v>
      </c>
      <c r="O305" s="2">
        <v>1.5625000000000001E-3</v>
      </c>
      <c r="P305" s="9">
        <v>461.25</v>
      </c>
      <c r="Q305" s="3">
        <v>2.25</v>
      </c>
      <c r="R305" s="4">
        <v>135</v>
      </c>
      <c r="S305" s="3">
        <v>129</v>
      </c>
      <c r="T305" s="1">
        <v>0.63080000000000003</v>
      </c>
      <c r="U305" s="6">
        <v>129.31399999999999</v>
      </c>
    </row>
    <row r="306" spans="1:21" x14ac:dyDescent="0.35">
      <c r="A306">
        <v>305</v>
      </c>
      <c r="B306" s="5">
        <v>44501</v>
      </c>
      <c r="C306" s="4">
        <v>2021</v>
      </c>
      <c r="D306" s="4">
        <v>11</v>
      </c>
      <c r="E306" s="14">
        <v>44501</v>
      </c>
      <c r="F306" s="4">
        <v>1</v>
      </c>
      <c r="G306">
        <v>275</v>
      </c>
      <c r="H306">
        <v>261</v>
      </c>
      <c r="I306" s="13">
        <v>0.94</v>
      </c>
      <c r="J306">
        <v>14</v>
      </c>
      <c r="K306" s="2">
        <v>3.8194444444444446E-4</v>
      </c>
      <c r="L306" s="11">
        <v>143.55000000000001</v>
      </c>
      <c r="M306" s="3">
        <v>0.55000000000000004</v>
      </c>
      <c r="N306" s="4">
        <v>33</v>
      </c>
      <c r="O306" s="2">
        <v>1.6087962962962963E-3</v>
      </c>
      <c r="P306" s="9">
        <v>604.65</v>
      </c>
      <c r="Q306" s="3">
        <v>2.3166666666666664</v>
      </c>
      <c r="R306" s="4">
        <v>139</v>
      </c>
      <c r="S306" s="3">
        <v>152</v>
      </c>
      <c r="T306" s="1">
        <v>0.58520000000000005</v>
      </c>
      <c r="U306" s="6">
        <v>152.7372</v>
      </c>
    </row>
    <row r="307" spans="1:21" x14ac:dyDescent="0.35">
      <c r="A307">
        <v>306</v>
      </c>
      <c r="B307" s="5">
        <v>44502</v>
      </c>
      <c r="C307" s="4">
        <v>2021</v>
      </c>
      <c r="D307" s="4">
        <v>11</v>
      </c>
      <c r="E307" s="14">
        <v>44502</v>
      </c>
      <c r="F307" s="4">
        <v>2</v>
      </c>
      <c r="G307">
        <v>39</v>
      </c>
      <c r="H307">
        <v>36</v>
      </c>
      <c r="I307" s="13">
        <v>0.92</v>
      </c>
      <c r="J307">
        <v>3</v>
      </c>
      <c r="K307" s="2">
        <v>2.199074074074074E-4</v>
      </c>
      <c r="L307" s="11">
        <v>11.399999999999999</v>
      </c>
      <c r="M307" s="3">
        <v>0.31666666666666665</v>
      </c>
      <c r="N307" s="4">
        <v>19</v>
      </c>
      <c r="O307" s="2">
        <v>1.3078703703703703E-3</v>
      </c>
      <c r="P307" s="9">
        <v>67.8</v>
      </c>
      <c r="Q307" s="3">
        <v>1.8833333333333333</v>
      </c>
      <c r="R307" s="4">
        <v>113</v>
      </c>
      <c r="S307" s="3">
        <v>28</v>
      </c>
      <c r="T307" s="1">
        <v>0.77780000000000005</v>
      </c>
      <c r="U307" s="6">
        <v>28.000800000000002</v>
      </c>
    </row>
    <row r="308" spans="1:21" x14ac:dyDescent="0.35">
      <c r="A308">
        <v>307</v>
      </c>
      <c r="B308" s="5">
        <v>44503</v>
      </c>
      <c r="C308" s="4">
        <v>2021</v>
      </c>
      <c r="D308" s="4">
        <v>11</v>
      </c>
      <c r="E308" s="14">
        <v>44503</v>
      </c>
      <c r="F308" s="4">
        <v>3</v>
      </c>
      <c r="G308">
        <v>250</v>
      </c>
      <c r="H308">
        <v>236</v>
      </c>
      <c r="I308" s="13">
        <v>0.94</v>
      </c>
      <c r="J308">
        <v>14</v>
      </c>
      <c r="K308" s="2">
        <v>3.3564814814814812E-4</v>
      </c>
      <c r="L308" s="11">
        <v>114.06666666666666</v>
      </c>
      <c r="M308" s="3">
        <v>0.48333333333333334</v>
      </c>
      <c r="N308" s="4">
        <v>29</v>
      </c>
      <c r="O308" s="2">
        <v>1.4814814814814814E-3</v>
      </c>
      <c r="P308" s="9">
        <v>503.46666666666664</v>
      </c>
      <c r="Q308" s="3">
        <v>2.1333333333333333</v>
      </c>
      <c r="R308" s="4">
        <v>128</v>
      </c>
      <c r="S308" s="3">
        <v>139</v>
      </c>
      <c r="T308" s="1">
        <v>0.59040000000000004</v>
      </c>
      <c r="U308" s="6">
        <v>139.33440000000002</v>
      </c>
    </row>
    <row r="309" spans="1:21" x14ac:dyDescent="0.35">
      <c r="A309">
        <v>308</v>
      </c>
      <c r="B309" s="5">
        <v>44504</v>
      </c>
      <c r="C309" s="4">
        <v>2021</v>
      </c>
      <c r="D309" s="4">
        <v>11</v>
      </c>
      <c r="E309" s="14">
        <v>44504</v>
      </c>
      <c r="F309" s="4">
        <v>4</v>
      </c>
      <c r="G309">
        <v>197</v>
      </c>
      <c r="H309">
        <v>184</v>
      </c>
      <c r="I309" s="13">
        <v>0.93</v>
      </c>
      <c r="J309">
        <v>13</v>
      </c>
      <c r="K309" s="2">
        <v>3.3564814814814812E-4</v>
      </c>
      <c r="L309" s="11">
        <v>88.933333333333337</v>
      </c>
      <c r="M309" s="3">
        <v>0.48333333333333334</v>
      </c>
      <c r="N309" s="4">
        <v>29</v>
      </c>
      <c r="O309" s="2">
        <v>1.6550925925925926E-3</v>
      </c>
      <c r="P309" s="9">
        <v>438.5333333333333</v>
      </c>
      <c r="Q309" s="3">
        <v>2.3833333333333333</v>
      </c>
      <c r="R309" s="4">
        <v>143</v>
      </c>
      <c r="S309" s="3">
        <v>102</v>
      </c>
      <c r="T309" s="1">
        <v>0.55610000000000004</v>
      </c>
      <c r="U309" s="6">
        <v>102.3224</v>
      </c>
    </row>
    <row r="310" spans="1:21" x14ac:dyDescent="0.35">
      <c r="A310">
        <v>309</v>
      </c>
      <c r="B310" s="5">
        <v>44505</v>
      </c>
      <c r="C310" s="4">
        <v>2021</v>
      </c>
      <c r="D310" s="4">
        <v>11</v>
      </c>
      <c r="E310" s="14">
        <v>44505</v>
      </c>
      <c r="F310" s="4">
        <v>5</v>
      </c>
      <c r="G310">
        <v>223</v>
      </c>
      <c r="H310">
        <v>208</v>
      </c>
      <c r="I310" s="13">
        <v>0.93</v>
      </c>
      <c r="J310">
        <v>15</v>
      </c>
      <c r="K310" s="2">
        <v>3.2407407407407406E-4</v>
      </c>
      <c r="L310" s="11">
        <v>97.066666666666663</v>
      </c>
      <c r="M310" s="3">
        <v>0.46666666666666667</v>
      </c>
      <c r="N310" s="4">
        <v>28</v>
      </c>
      <c r="O310" s="2">
        <v>1.6319444444444445E-3</v>
      </c>
      <c r="P310" s="9">
        <v>488.8</v>
      </c>
      <c r="Q310" s="3">
        <v>2.35</v>
      </c>
      <c r="R310" s="4">
        <v>141</v>
      </c>
      <c r="S310" s="3">
        <v>150</v>
      </c>
      <c r="T310" s="1">
        <v>0.72270000000000001</v>
      </c>
      <c r="U310" s="6">
        <v>150.32159999999999</v>
      </c>
    </row>
    <row r="311" spans="1:21" x14ac:dyDescent="0.35">
      <c r="A311">
        <v>310</v>
      </c>
      <c r="B311" s="5">
        <v>44506</v>
      </c>
      <c r="C311" s="4">
        <v>2021</v>
      </c>
      <c r="D311" s="4">
        <v>11</v>
      </c>
      <c r="E311" s="14">
        <v>44506</v>
      </c>
      <c r="F311" s="4">
        <v>6</v>
      </c>
      <c r="G311">
        <v>240</v>
      </c>
      <c r="H311">
        <v>236</v>
      </c>
      <c r="I311" s="13">
        <v>0.98</v>
      </c>
      <c r="J311">
        <v>4</v>
      </c>
      <c r="K311" s="2">
        <v>2.0833333333333335E-4</v>
      </c>
      <c r="L311" s="11">
        <v>70.8</v>
      </c>
      <c r="M311" s="3">
        <v>0.3</v>
      </c>
      <c r="N311" s="4">
        <v>18</v>
      </c>
      <c r="O311" s="2">
        <v>1.5509259259259259E-3</v>
      </c>
      <c r="P311" s="9">
        <v>527.06666666666672</v>
      </c>
      <c r="Q311" s="3">
        <v>2.2333333333333334</v>
      </c>
      <c r="R311" s="4">
        <v>134</v>
      </c>
      <c r="S311" s="3">
        <v>183</v>
      </c>
      <c r="T311" s="1">
        <v>0.7792</v>
      </c>
      <c r="U311" s="6">
        <v>183.8912</v>
      </c>
    </row>
    <row r="312" spans="1:21" x14ac:dyDescent="0.35">
      <c r="A312">
        <v>311</v>
      </c>
      <c r="B312" s="5">
        <v>44507</v>
      </c>
      <c r="C312" s="4">
        <v>2021</v>
      </c>
      <c r="D312" s="4">
        <v>11</v>
      </c>
      <c r="E312" s="14">
        <v>44507</v>
      </c>
      <c r="F312" s="4">
        <v>7</v>
      </c>
      <c r="G312">
        <v>55</v>
      </c>
      <c r="H312">
        <v>52</v>
      </c>
      <c r="I312" s="13">
        <v>0.94</v>
      </c>
      <c r="J312">
        <v>3</v>
      </c>
      <c r="K312" s="2">
        <v>1.8518518518518518E-4</v>
      </c>
      <c r="L312" s="11">
        <v>13.866666666666667</v>
      </c>
      <c r="M312" s="3">
        <v>0.26666666666666666</v>
      </c>
      <c r="N312" s="4">
        <v>16</v>
      </c>
      <c r="O312" s="2">
        <v>1.6087962962962963E-3</v>
      </c>
      <c r="P312" s="9">
        <v>120.46666666666665</v>
      </c>
      <c r="Q312" s="3">
        <v>2.3166666666666664</v>
      </c>
      <c r="R312" s="4">
        <v>139</v>
      </c>
      <c r="S312" s="3">
        <v>40</v>
      </c>
      <c r="T312" s="1">
        <v>0.78180000000000005</v>
      </c>
      <c r="U312" s="6">
        <v>40.653600000000004</v>
      </c>
    </row>
    <row r="313" spans="1:21" x14ac:dyDescent="0.35">
      <c r="A313">
        <v>312</v>
      </c>
      <c r="B313" s="5">
        <v>44508</v>
      </c>
      <c r="C313" s="4">
        <v>2021</v>
      </c>
      <c r="D313" s="4">
        <v>11</v>
      </c>
      <c r="E313" s="14">
        <v>44508</v>
      </c>
      <c r="F313" s="4">
        <v>8</v>
      </c>
      <c r="G313">
        <v>59</v>
      </c>
      <c r="H313">
        <v>54</v>
      </c>
      <c r="I313" s="13">
        <v>0.91</v>
      </c>
      <c r="J313">
        <v>5</v>
      </c>
      <c r="K313" s="2">
        <v>9.2592592592592588E-5</v>
      </c>
      <c r="L313" s="11">
        <v>7.2</v>
      </c>
      <c r="M313" s="3">
        <v>0.13333333333333333</v>
      </c>
      <c r="N313" s="4">
        <v>8</v>
      </c>
      <c r="O313" s="2">
        <v>1.4583333333333334E-3</v>
      </c>
      <c r="P313" s="9">
        <v>113.4</v>
      </c>
      <c r="Q313" s="3">
        <v>2.1</v>
      </c>
      <c r="R313" s="4">
        <v>126</v>
      </c>
      <c r="S313" s="3">
        <v>45</v>
      </c>
      <c r="T313" s="1">
        <v>0.84750000000000003</v>
      </c>
      <c r="U313" s="6">
        <v>45.765000000000001</v>
      </c>
    </row>
    <row r="314" spans="1:21" x14ac:dyDescent="0.35">
      <c r="A314">
        <v>313</v>
      </c>
      <c r="B314" s="5">
        <v>44509</v>
      </c>
      <c r="C314" s="4">
        <v>2021</v>
      </c>
      <c r="D314" s="4">
        <v>11</v>
      </c>
      <c r="E314" s="14">
        <v>44509</v>
      </c>
      <c r="F314" s="4">
        <v>9</v>
      </c>
      <c r="G314">
        <v>36</v>
      </c>
      <c r="H314">
        <v>31</v>
      </c>
      <c r="I314" s="13">
        <v>0.86</v>
      </c>
      <c r="J314">
        <v>5</v>
      </c>
      <c r="K314" s="2">
        <v>1.273148148148148E-4</v>
      </c>
      <c r="L314" s="11">
        <v>5.6833333333333327</v>
      </c>
      <c r="M314" s="3">
        <v>0.18333333333333332</v>
      </c>
      <c r="N314" s="4">
        <v>11</v>
      </c>
      <c r="O314" s="2">
        <v>1.6435185185185185E-3</v>
      </c>
      <c r="P314" s="9">
        <v>73.366666666666674</v>
      </c>
      <c r="Q314" s="3">
        <v>2.3666666666666667</v>
      </c>
      <c r="R314" s="4">
        <v>142</v>
      </c>
      <c r="S314" s="3">
        <v>22</v>
      </c>
      <c r="T314" s="1">
        <v>0.72219999999999995</v>
      </c>
      <c r="U314" s="6">
        <v>22.388199999999998</v>
      </c>
    </row>
    <row r="315" spans="1:21" x14ac:dyDescent="0.35">
      <c r="A315">
        <v>314</v>
      </c>
      <c r="B315" s="5">
        <v>44510</v>
      </c>
      <c r="C315" s="4">
        <v>2021</v>
      </c>
      <c r="D315" s="4">
        <v>11</v>
      </c>
      <c r="E315" s="14">
        <v>44510</v>
      </c>
      <c r="F315" s="4">
        <v>10</v>
      </c>
      <c r="G315">
        <v>229</v>
      </c>
      <c r="H315">
        <v>219</v>
      </c>
      <c r="I315" s="13">
        <v>0.95</v>
      </c>
      <c r="J315">
        <v>10</v>
      </c>
      <c r="K315" s="2">
        <v>1.5046296296296297E-4</v>
      </c>
      <c r="L315" s="11">
        <v>47.45</v>
      </c>
      <c r="M315" s="3">
        <v>0.21666666666666667</v>
      </c>
      <c r="N315" s="4">
        <v>13</v>
      </c>
      <c r="O315" s="2">
        <v>1.4699074074074074E-3</v>
      </c>
      <c r="P315" s="9">
        <v>463.55</v>
      </c>
      <c r="Q315" s="3">
        <v>2.1166666666666667</v>
      </c>
      <c r="R315" s="4">
        <v>127</v>
      </c>
      <c r="S315" s="3">
        <v>185</v>
      </c>
      <c r="T315" s="1">
        <v>0.84889999999999999</v>
      </c>
      <c r="U315" s="6">
        <v>185.9091</v>
      </c>
    </row>
    <row r="316" spans="1:21" x14ac:dyDescent="0.35">
      <c r="A316">
        <v>315</v>
      </c>
      <c r="B316" s="5">
        <v>44511</v>
      </c>
      <c r="C316" s="4">
        <v>2021</v>
      </c>
      <c r="D316" s="4">
        <v>11</v>
      </c>
      <c r="E316" s="14">
        <v>44511</v>
      </c>
      <c r="F316" s="4">
        <v>11</v>
      </c>
      <c r="G316">
        <v>206</v>
      </c>
      <c r="H316">
        <v>189</v>
      </c>
      <c r="I316" s="13">
        <v>0.91</v>
      </c>
      <c r="J316">
        <v>17</v>
      </c>
      <c r="K316" s="2">
        <v>1.7361111111111112E-4</v>
      </c>
      <c r="L316" s="11">
        <v>47.25</v>
      </c>
      <c r="M316" s="3">
        <v>0.25</v>
      </c>
      <c r="N316" s="4">
        <v>15</v>
      </c>
      <c r="O316" s="2">
        <v>1.6087962962962963E-3</v>
      </c>
      <c r="P316" s="9">
        <v>437.84999999999997</v>
      </c>
      <c r="Q316" s="3">
        <v>2.3166666666666664</v>
      </c>
      <c r="R316" s="4">
        <v>139</v>
      </c>
      <c r="S316" s="3">
        <v>156</v>
      </c>
      <c r="T316" s="1">
        <v>0.82830000000000004</v>
      </c>
      <c r="U316" s="6">
        <v>156.5487</v>
      </c>
    </row>
    <row r="317" spans="1:21" x14ac:dyDescent="0.35">
      <c r="A317">
        <v>316</v>
      </c>
      <c r="B317" s="5">
        <v>44512</v>
      </c>
      <c r="C317" s="4">
        <v>2021</v>
      </c>
      <c r="D317" s="4">
        <v>11</v>
      </c>
      <c r="E317" s="14">
        <v>44512</v>
      </c>
      <c r="F317" s="4">
        <v>12</v>
      </c>
      <c r="G317">
        <v>225</v>
      </c>
      <c r="H317">
        <v>200</v>
      </c>
      <c r="I317" s="13">
        <v>0.88</v>
      </c>
      <c r="J317">
        <v>25</v>
      </c>
      <c r="K317" s="2">
        <v>2.4305555555555555E-4</v>
      </c>
      <c r="L317" s="11">
        <v>70</v>
      </c>
      <c r="M317" s="3">
        <v>0.35</v>
      </c>
      <c r="N317" s="4">
        <v>21</v>
      </c>
      <c r="O317" s="2">
        <v>1.6319444444444445E-3</v>
      </c>
      <c r="P317" s="9">
        <v>470</v>
      </c>
      <c r="Q317" s="3">
        <v>2.35</v>
      </c>
      <c r="R317" s="4">
        <v>141</v>
      </c>
      <c r="S317" s="3">
        <v>146</v>
      </c>
      <c r="T317" s="1">
        <v>0.73109999999999997</v>
      </c>
      <c r="U317" s="6">
        <v>146.22</v>
      </c>
    </row>
    <row r="318" spans="1:21" x14ac:dyDescent="0.35">
      <c r="A318">
        <v>317</v>
      </c>
      <c r="B318" s="5">
        <v>44513</v>
      </c>
      <c r="C318" s="4">
        <v>2021</v>
      </c>
      <c r="D318" s="4">
        <v>11</v>
      </c>
      <c r="E318" s="14">
        <v>44513</v>
      </c>
      <c r="F318" s="4">
        <v>13</v>
      </c>
      <c r="G318">
        <v>200</v>
      </c>
      <c r="H318">
        <v>193</v>
      </c>
      <c r="I318" s="13">
        <v>0.96</v>
      </c>
      <c r="J318">
        <v>7</v>
      </c>
      <c r="K318" s="2">
        <v>1.9675925925925926E-4</v>
      </c>
      <c r="L318" s="11">
        <v>54.68333333333333</v>
      </c>
      <c r="M318" s="3">
        <v>0.28333333333333333</v>
      </c>
      <c r="N318" s="4">
        <v>17</v>
      </c>
      <c r="O318" s="2">
        <v>1.6550925925925926E-3</v>
      </c>
      <c r="P318" s="9">
        <v>459.98333333333335</v>
      </c>
      <c r="Q318" s="3">
        <v>2.3833333333333333</v>
      </c>
      <c r="R318" s="4">
        <v>143</v>
      </c>
      <c r="S318" s="3">
        <v>153</v>
      </c>
      <c r="T318" s="1">
        <v>0.79290000000000005</v>
      </c>
      <c r="U318" s="6">
        <v>153.02970000000002</v>
      </c>
    </row>
    <row r="319" spans="1:21" x14ac:dyDescent="0.35">
      <c r="A319">
        <v>318</v>
      </c>
      <c r="B319" s="5">
        <v>44514</v>
      </c>
      <c r="C319" s="4">
        <v>2021</v>
      </c>
      <c r="D319" s="4">
        <v>11</v>
      </c>
      <c r="E319" s="14">
        <v>44514</v>
      </c>
      <c r="F319" s="4">
        <v>14</v>
      </c>
      <c r="G319">
        <v>189</v>
      </c>
      <c r="H319">
        <v>179</v>
      </c>
      <c r="I319" s="13">
        <v>0.94</v>
      </c>
      <c r="J319">
        <v>10</v>
      </c>
      <c r="K319" s="2">
        <v>2.5462962962962961E-4</v>
      </c>
      <c r="L319" s="11">
        <v>65.633333333333326</v>
      </c>
      <c r="M319" s="3">
        <v>0.36666666666666664</v>
      </c>
      <c r="N319" s="4">
        <v>22</v>
      </c>
      <c r="O319" s="2">
        <v>1.5046296296296296E-3</v>
      </c>
      <c r="P319" s="9">
        <v>387.83333333333331</v>
      </c>
      <c r="Q319" s="3">
        <v>2.1666666666666665</v>
      </c>
      <c r="R319" s="4">
        <v>130</v>
      </c>
      <c r="S319" s="3">
        <v>139</v>
      </c>
      <c r="T319" s="1">
        <v>0.78069999999999995</v>
      </c>
      <c r="U319" s="6">
        <v>139.74529999999999</v>
      </c>
    </row>
    <row r="320" spans="1:21" x14ac:dyDescent="0.35">
      <c r="A320">
        <v>319</v>
      </c>
      <c r="B320" s="5">
        <v>44515</v>
      </c>
      <c r="C320" s="4">
        <v>2021</v>
      </c>
      <c r="D320" s="4">
        <v>11</v>
      </c>
      <c r="E320" s="14">
        <v>44515</v>
      </c>
      <c r="F320" s="4">
        <v>15</v>
      </c>
      <c r="G320">
        <v>169</v>
      </c>
      <c r="H320">
        <v>159</v>
      </c>
      <c r="I320" s="13">
        <v>0.94</v>
      </c>
      <c r="J320">
        <v>10</v>
      </c>
      <c r="K320" s="2">
        <v>2.5462962962962961E-4</v>
      </c>
      <c r="L320" s="11">
        <v>58.3</v>
      </c>
      <c r="M320" s="3">
        <v>0.36666666666666664</v>
      </c>
      <c r="N320" s="4">
        <v>22</v>
      </c>
      <c r="O320" s="2">
        <v>1.6550925925925926E-3</v>
      </c>
      <c r="P320" s="9">
        <v>378.95</v>
      </c>
      <c r="Q320" s="3">
        <v>2.3833333333333333</v>
      </c>
      <c r="R320" s="4">
        <v>143</v>
      </c>
      <c r="S320" s="3">
        <v>117</v>
      </c>
      <c r="T320" s="1">
        <v>0.73650000000000004</v>
      </c>
      <c r="U320" s="6">
        <v>117.10350000000001</v>
      </c>
    </row>
    <row r="321" spans="1:21" x14ac:dyDescent="0.35">
      <c r="A321">
        <v>320</v>
      </c>
      <c r="B321" s="5">
        <v>44516</v>
      </c>
      <c r="C321" s="4">
        <v>2021</v>
      </c>
      <c r="D321" s="4">
        <v>11</v>
      </c>
      <c r="E321" s="14">
        <v>44516</v>
      </c>
      <c r="F321" s="4">
        <v>16</v>
      </c>
      <c r="G321">
        <v>41</v>
      </c>
      <c r="H321">
        <v>40</v>
      </c>
      <c r="I321" s="13">
        <v>0.97</v>
      </c>
      <c r="J321">
        <v>1</v>
      </c>
      <c r="K321" s="2">
        <v>2.8935185185185184E-4</v>
      </c>
      <c r="L321" s="11">
        <v>16.666666666666668</v>
      </c>
      <c r="M321" s="3">
        <v>0.41666666666666669</v>
      </c>
      <c r="N321" s="4">
        <v>25</v>
      </c>
      <c r="O321" s="2">
        <v>1.7592592592592592E-3</v>
      </c>
      <c r="P321" s="9">
        <v>101.33333333333333</v>
      </c>
      <c r="Q321" s="3">
        <v>2.5333333333333332</v>
      </c>
      <c r="R321" s="4">
        <v>152</v>
      </c>
      <c r="S321" s="3">
        <v>27</v>
      </c>
      <c r="T321" s="1">
        <v>0.68289999999999995</v>
      </c>
      <c r="U321" s="6">
        <v>27.315999999999999</v>
      </c>
    </row>
    <row r="322" spans="1:21" x14ac:dyDescent="0.35">
      <c r="A322">
        <v>321</v>
      </c>
      <c r="B322" s="5">
        <v>44517</v>
      </c>
      <c r="C322" s="4">
        <v>2021</v>
      </c>
      <c r="D322" s="4">
        <v>11</v>
      </c>
      <c r="E322" s="14">
        <v>44517</v>
      </c>
      <c r="F322" s="4">
        <v>17</v>
      </c>
      <c r="G322">
        <v>218</v>
      </c>
      <c r="H322">
        <v>187</v>
      </c>
      <c r="I322" s="13">
        <v>0.85</v>
      </c>
      <c r="J322">
        <v>31</v>
      </c>
      <c r="K322" s="2">
        <v>5.5555555555555556E-4</v>
      </c>
      <c r="L322" s="11">
        <v>149.6</v>
      </c>
      <c r="M322" s="3">
        <v>0.8</v>
      </c>
      <c r="N322" s="4">
        <v>48</v>
      </c>
      <c r="O322" s="2">
        <v>1.5625000000000001E-3</v>
      </c>
      <c r="P322" s="9">
        <v>420.75</v>
      </c>
      <c r="Q322" s="3">
        <v>2.25</v>
      </c>
      <c r="R322" s="4">
        <v>135</v>
      </c>
      <c r="S322" s="3">
        <v>97</v>
      </c>
      <c r="T322" s="1">
        <v>0.52110000000000001</v>
      </c>
      <c r="U322" s="6">
        <v>97.445700000000002</v>
      </c>
    </row>
    <row r="323" spans="1:21" x14ac:dyDescent="0.35">
      <c r="A323">
        <v>322</v>
      </c>
      <c r="B323" s="5">
        <v>44518</v>
      </c>
      <c r="C323" s="4">
        <v>2021</v>
      </c>
      <c r="D323" s="4">
        <v>11</v>
      </c>
      <c r="E323" s="14">
        <v>44518</v>
      </c>
      <c r="F323" s="4">
        <v>18</v>
      </c>
      <c r="G323">
        <v>194</v>
      </c>
      <c r="H323">
        <v>185</v>
      </c>
      <c r="I323" s="13">
        <v>0.95</v>
      </c>
      <c r="J323">
        <v>9</v>
      </c>
      <c r="K323" s="2">
        <v>2.4305555555555555E-4</v>
      </c>
      <c r="L323" s="11">
        <v>64.75</v>
      </c>
      <c r="M323" s="3">
        <v>0.35</v>
      </c>
      <c r="N323" s="4">
        <v>21</v>
      </c>
      <c r="O323" s="2">
        <v>1.5046296296296296E-3</v>
      </c>
      <c r="P323" s="9">
        <v>400.83333333333331</v>
      </c>
      <c r="Q323" s="3">
        <v>2.1666666666666665</v>
      </c>
      <c r="R323" s="4">
        <v>130</v>
      </c>
      <c r="S323" s="3">
        <v>132</v>
      </c>
      <c r="T323" s="1">
        <v>0.71579999999999999</v>
      </c>
      <c r="U323" s="6">
        <v>132.423</v>
      </c>
    </row>
    <row r="324" spans="1:21" x14ac:dyDescent="0.35">
      <c r="A324">
        <v>323</v>
      </c>
      <c r="B324" s="5">
        <v>44519</v>
      </c>
      <c r="C324" s="4">
        <v>2021</v>
      </c>
      <c r="D324" s="4">
        <v>11</v>
      </c>
      <c r="E324" s="14">
        <v>44519</v>
      </c>
      <c r="F324" s="4">
        <v>19</v>
      </c>
      <c r="G324">
        <v>176</v>
      </c>
      <c r="H324">
        <v>172</v>
      </c>
      <c r="I324" s="13">
        <v>0.97</v>
      </c>
      <c r="J324">
        <v>4</v>
      </c>
      <c r="K324" s="2">
        <v>1.8518518518518518E-4</v>
      </c>
      <c r="L324" s="11">
        <v>45.866666666666667</v>
      </c>
      <c r="M324" s="3">
        <v>0.26666666666666666</v>
      </c>
      <c r="N324" s="4">
        <v>16</v>
      </c>
      <c r="O324" s="2">
        <v>1.6203703703703703E-3</v>
      </c>
      <c r="P324" s="9">
        <v>401.33333333333337</v>
      </c>
      <c r="Q324" s="3">
        <v>2.3333333333333335</v>
      </c>
      <c r="R324" s="4">
        <v>140</v>
      </c>
      <c r="S324" s="3">
        <v>141</v>
      </c>
      <c r="T324" s="1">
        <v>0.82079999999999997</v>
      </c>
      <c r="U324" s="6">
        <v>141.17759999999998</v>
      </c>
    </row>
    <row r="325" spans="1:21" x14ac:dyDescent="0.35">
      <c r="A325">
        <v>324</v>
      </c>
      <c r="B325" s="5">
        <v>44520</v>
      </c>
      <c r="C325" s="4">
        <v>2021</v>
      </c>
      <c r="D325" s="4">
        <v>11</v>
      </c>
      <c r="E325" s="14">
        <v>44520</v>
      </c>
      <c r="F325" s="4">
        <v>20</v>
      </c>
      <c r="G325">
        <v>181</v>
      </c>
      <c r="H325">
        <v>179</v>
      </c>
      <c r="I325" s="13">
        <v>0.98</v>
      </c>
      <c r="J325">
        <v>2</v>
      </c>
      <c r="K325" s="2">
        <v>2.0833333333333335E-4</v>
      </c>
      <c r="L325" s="11">
        <v>53.699999999999996</v>
      </c>
      <c r="M325" s="3">
        <v>0.3</v>
      </c>
      <c r="N325" s="4">
        <v>18</v>
      </c>
      <c r="O325" s="2">
        <v>1.6319444444444445E-3</v>
      </c>
      <c r="P325" s="9">
        <v>420.65000000000003</v>
      </c>
      <c r="Q325" s="3">
        <v>2.35</v>
      </c>
      <c r="R325" s="4">
        <v>141</v>
      </c>
      <c r="S325" s="3">
        <v>144</v>
      </c>
      <c r="T325" s="1">
        <v>0.80559999999999998</v>
      </c>
      <c r="U325" s="6">
        <v>144.20239999999998</v>
      </c>
    </row>
    <row r="326" spans="1:21" x14ac:dyDescent="0.35">
      <c r="A326">
        <v>325</v>
      </c>
      <c r="B326" s="5">
        <v>44521</v>
      </c>
      <c r="C326" s="4">
        <v>2021</v>
      </c>
      <c r="D326" s="4">
        <v>11</v>
      </c>
      <c r="E326" s="14">
        <v>44521</v>
      </c>
      <c r="F326" s="4">
        <v>21</v>
      </c>
      <c r="G326">
        <v>159</v>
      </c>
      <c r="H326">
        <v>151</v>
      </c>
      <c r="I326" s="13">
        <v>0.94</v>
      </c>
      <c r="J326">
        <v>8</v>
      </c>
      <c r="K326" s="2">
        <v>3.3564814814814812E-4</v>
      </c>
      <c r="L326" s="11">
        <v>72.983333333333334</v>
      </c>
      <c r="M326" s="3">
        <v>0.48333333333333334</v>
      </c>
      <c r="N326" s="4">
        <v>29</v>
      </c>
      <c r="O326" s="2">
        <v>1.3773148148148147E-3</v>
      </c>
      <c r="P326" s="9">
        <v>299.48333333333335</v>
      </c>
      <c r="Q326" s="3">
        <v>1.9833333333333334</v>
      </c>
      <c r="R326" s="4">
        <v>119</v>
      </c>
      <c r="S326" s="3">
        <v>92</v>
      </c>
      <c r="T326" s="1">
        <v>0.61009999999999998</v>
      </c>
      <c r="U326" s="6">
        <v>92.125100000000003</v>
      </c>
    </row>
    <row r="327" spans="1:21" x14ac:dyDescent="0.35">
      <c r="A327">
        <v>326</v>
      </c>
      <c r="B327" s="5">
        <v>44522</v>
      </c>
      <c r="C327" s="4">
        <v>2021</v>
      </c>
      <c r="D327" s="4">
        <v>11</v>
      </c>
      <c r="E327" s="14">
        <v>44522</v>
      </c>
      <c r="F327" s="4">
        <v>22</v>
      </c>
      <c r="G327">
        <v>144</v>
      </c>
      <c r="H327">
        <v>135</v>
      </c>
      <c r="I327" s="13">
        <v>0.93</v>
      </c>
      <c r="J327">
        <v>9</v>
      </c>
      <c r="K327" s="2">
        <v>2.7777777777777778E-4</v>
      </c>
      <c r="L327" s="11">
        <v>54</v>
      </c>
      <c r="M327" s="3">
        <v>0.4</v>
      </c>
      <c r="N327" s="4">
        <v>24</v>
      </c>
      <c r="O327" s="2">
        <v>1.5277777777777779E-3</v>
      </c>
      <c r="P327" s="9">
        <v>297</v>
      </c>
      <c r="Q327" s="3">
        <v>2.2000000000000002</v>
      </c>
      <c r="R327" s="4">
        <v>132</v>
      </c>
      <c r="S327" s="3">
        <v>95</v>
      </c>
      <c r="T327" s="1">
        <v>0.70630000000000004</v>
      </c>
      <c r="U327" s="6">
        <v>95.350500000000011</v>
      </c>
    </row>
    <row r="328" spans="1:21" x14ac:dyDescent="0.35">
      <c r="A328">
        <v>327</v>
      </c>
      <c r="B328" s="5">
        <v>44523</v>
      </c>
      <c r="C328" s="4">
        <v>2021</v>
      </c>
      <c r="D328" s="4">
        <v>11</v>
      </c>
      <c r="E328" s="14">
        <v>44523</v>
      </c>
      <c r="F328" s="4">
        <v>23</v>
      </c>
      <c r="G328">
        <v>30</v>
      </c>
      <c r="H328">
        <v>29</v>
      </c>
      <c r="I328" s="13">
        <v>0.96</v>
      </c>
      <c r="J328">
        <v>1</v>
      </c>
      <c r="K328" s="2">
        <v>3.8194444444444446E-4</v>
      </c>
      <c r="L328" s="11">
        <v>15.950000000000001</v>
      </c>
      <c r="M328" s="3">
        <v>0.55000000000000004</v>
      </c>
      <c r="N328" s="4">
        <v>33</v>
      </c>
      <c r="O328" s="2">
        <v>2.0601851851851853E-3</v>
      </c>
      <c r="P328" s="9">
        <v>86.033333333333331</v>
      </c>
      <c r="Q328" s="3">
        <v>2.9666666666666668</v>
      </c>
      <c r="R328" s="4">
        <v>178</v>
      </c>
      <c r="S328" s="3">
        <v>17</v>
      </c>
      <c r="T328" s="1">
        <v>0.6</v>
      </c>
      <c r="U328" s="6">
        <v>17.399999999999999</v>
      </c>
    </row>
    <row r="329" spans="1:21" x14ac:dyDescent="0.35">
      <c r="A329">
        <v>328</v>
      </c>
      <c r="B329" s="5">
        <v>44524</v>
      </c>
      <c r="C329" s="4">
        <v>2021</v>
      </c>
      <c r="D329" s="4">
        <v>11</v>
      </c>
      <c r="E329" s="14">
        <v>44524</v>
      </c>
      <c r="F329" s="4">
        <v>24</v>
      </c>
      <c r="G329">
        <v>197</v>
      </c>
      <c r="H329">
        <v>185</v>
      </c>
      <c r="I329" s="13">
        <v>0.93</v>
      </c>
      <c r="J329">
        <v>12</v>
      </c>
      <c r="K329" s="2">
        <v>2.7777777777777778E-4</v>
      </c>
      <c r="L329" s="11">
        <v>74</v>
      </c>
      <c r="M329" s="3">
        <v>0.4</v>
      </c>
      <c r="N329" s="4">
        <v>24</v>
      </c>
      <c r="O329" s="2">
        <v>1.5972222222222223E-3</v>
      </c>
      <c r="P329" s="9">
        <v>425.49999999999994</v>
      </c>
      <c r="Q329" s="3">
        <v>2.2999999999999998</v>
      </c>
      <c r="R329" s="4">
        <v>138</v>
      </c>
      <c r="S329" s="3">
        <v>126</v>
      </c>
      <c r="T329" s="1">
        <v>0.68230000000000002</v>
      </c>
      <c r="U329" s="6">
        <v>126.2255</v>
      </c>
    </row>
    <row r="330" spans="1:21" x14ac:dyDescent="0.35">
      <c r="A330">
        <v>329</v>
      </c>
      <c r="B330" s="5">
        <v>44525</v>
      </c>
      <c r="C330" s="4">
        <v>2021</v>
      </c>
      <c r="D330" s="4">
        <v>11</v>
      </c>
      <c r="E330" s="14">
        <v>44525</v>
      </c>
      <c r="F330" s="4">
        <v>25</v>
      </c>
      <c r="G330">
        <v>56</v>
      </c>
      <c r="H330">
        <v>47</v>
      </c>
      <c r="I330" s="13">
        <v>0.83</v>
      </c>
      <c r="J330">
        <v>9</v>
      </c>
      <c r="K330" s="2">
        <v>2.7777777777777778E-4</v>
      </c>
      <c r="L330" s="11">
        <v>18.8</v>
      </c>
      <c r="M330" s="3">
        <v>0.4</v>
      </c>
      <c r="N330" s="4">
        <v>24</v>
      </c>
      <c r="O330" s="2">
        <v>1.6435185185185185E-3</v>
      </c>
      <c r="P330" s="9">
        <v>111.23333333333333</v>
      </c>
      <c r="Q330" s="3">
        <v>2.3666666666666667</v>
      </c>
      <c r="R330" s="4">
        <v>142</v>
      </c>
      <c r="S330" s="3">
        <v>27</v>
      </c>
      <c r="T330" s="1">
        <v>0.58930000000000005</v>
      </c>
      <c r="U330" s="6">
        <v>27.697100000000002</v>
      </c>
    </row>
    <row r="331" spans="1:21" x14ac:dyDescent="0.35">
      <c r="A331">
        <v>330</v>
      </c>
      <c r="B331" s="5">
        <v>44526</v>
      </c>
      <c r="C331" s="4">
        <v>2021</v>
      </c>
      <c r="D331" s="4">
        <v>11</v>
      </c>
      <c r="E331" s="14">
        <v>44526</v>
      </c>
      <c r="F331" s="4">
        <v>26</v>
      </c>
      <c r="G331">
        <v>182</v>
      </c>
      <c r="H331">
        <v>153</v>
      </c>
      <c r="I331" s="13">
        <v>0.84</v>
      </c>
      <c r="J331">
        <v>29</v>
      </c>
      <c r="K331" s="2">
        <v>4.3981481481481481E-4</v>
      </c>
      <c r="L331" s="11">
        <v>96.899999999999991</v>
      </c>
      <c r="M331" s="3">
        <v>0.6333333333333333</v>
      </c>
      <c r="N331" s="4">
        <v>38</v>
      </c>
      <c r="O331" s="2">
        <v>1.5856481481481481E-3</v>
      </c>
      <c r="P331" s="9">
        <v>349.34999999999997</v>
      </c>
      <c r="Q331" s="3">
        <v>2.2833333333333332</v>
      </c>
      <c r="R331" s="4">
        <v>137</v>
      </c>
      <c r="S331" s="3">
        <v>82</v>
      </c>
      <c r="T331" s="1">
        <v>0.53890000000000005</v>
      </c>
      <c r="U331" s="6">
        <v>82.451700000000002</v>
      </c>
    </row>
    <row r="332" spans="1:21" x14ac:dyDescent="0.35">
      <c r="A332">
        <v>331</v>
      </c>
      <c r="B332" s="5">
        <v>44527</v>
      </c>
      <c r="C332" s="4">
        <v>2021</v>
      </c>
      <c r="D332" s="4">
        <v>11</v>
      </c>
      <c r="E332" s="14">
        <v>44527</v>
      </c>
      <c r="F332" s="4">
        <v>27</v>
      </c>
      <c r="G332">
        <v>178</v>
      </c>
      <c r="H332">
        <v>166</v>
      </c>
      <c r="I332" s="13">
        <v>0.93</v>
      </c>
      <c r="J332">
        <v>12</v>
      </c>
      <c r="K332" s="2">
        <v>3.4722222222222224E-4</v>
      </c>
      <c r="L332" s="11">
        <v>83</v>
      </c>
      <c r="M332" s="3">
        <v>0.5</v>
      </c>
      <c r="N332" s="4">
        <v>30</v>
      </c>
      <c r="O332" s="2">
        <v>1.6666666666666668E-3</v>
      </c>
      <c r="P332" s="9">
        <v>398.4</v>
      </c>
      <c r="Q332" s="3">
        <v>2.4</v>
      </c>
      <c r="R332" s="4">
        <v>144</v>
      </c>
      <c r="S332" s="3">
        <v>103</v>
      </c>
      <c r="T332" s="1">
        <v>0.62070000000000003</v>
      </c>
      <c r="U332" s="6">
        <v>103.03620000000001</v>
      </c>
    </row>
    <row r="333" spans="1:21" x14ac:dyDescent="0.35">
      <c r="A333">
        <v>332</v>
      </c>
      <c r="B333" s="5">
        <v>44528</v>
      </c>
      <c r="C333" s="4">
        <v>2021</v>
      </c>
      <c r="D333" s="4">
        <v>11</v>
      </c>
      <c r="E333" s="14">
        <v>44528</v>
      </c>
      <c r="F333" s="4">
        <v>28</v>
      </c>
      <c r="G333">
        <v>183</v>
      </c>
      <c r="H333">
        <v>164</v>
      </c>
      <c r="I333" s="13">
        <v>0.89</v>
      </c>
      <c r="J333">
        <v>19</v>
      </c>
      <c r="K333" s="2">
        <v>2.8935185185185184E-4</v>
      </c>
      <c r="L333" s="11">
        <v>68.333333333333343</v>
      </c>
      <c r="M333" s="3">
        <v>0.41666666666666669</v>
      </c>
      <c r="N333" s="4">
        <v>25</v>
      </c>
      <c r="O333" s="2">
        <v>1.4351851851851852E-3</v>
      </c>
      <c r="P333" s="9">
        <v>338.93333333333339</v>
      </c>
      <c r="Q333" s="3">
        <v>2.0666666666666669</v>
      </c>
      <c r="R333" s="4">
        <v>124.00000000000001</v>
      </c>
      <c r="S333" s="3">
        <v>108</v>
      </c>
      <c r="T333" s="1">
        <v>0.65910000000000002</v>
      </c>
      <c r="U333" s="6">
        <v>108.0924</v>
      </c>
    </row>
    <row r="334" spans="1:21" x14ac:dyDescent="0.35">
      <c r="A334">
        <v>333</v>
      </c>
      <c r="B334" s="5">
        <v>44529</v>
      </c>
      <c r="C334" s="4">
        <v>2021</v>
      </c>
      <c r="D334" s="4">
        <v>11</v>
      </c>
      <c r="E334" s="14">
        <v>44529</v>
      </c>
      <c r="F334" s="4">
        <v>29</v>
      </c>
      <c r="G334">
        <v>197</v>
      </c>
      <c r="H334">
        <v>182</v>
      </c>
      <c r="I334" s="13">
        <v>0.92</v>
      </c>
      <c r="J334">
        <v>15</v>
      </c>
      <c r="K334" s="2">
        <v>3.2407407407407406E-4</v>
      </c>
      <c r="L334" s="11">
        <v>84.933333333333337</v>
      </c>
      <c r="M334" s="3">
        <v>0.46666666666666667</v>
      </c>
      <c r="N334" s="4">
        <v>28</v>
      </c>
      <c r="O334" s="2">
        <v>1.6782407407407408E-3</v>
      </c>
      <c r="P334" s="9">
        <v>439.83333333333331</v>
      </c>
      <c r="Q334" s="3">
        <v>2.4166666666666665</v>
      </c>
      <c r="R334" s="4">
        <v>145</v>
      </c>
      <c r="S334" s="3">
        <v>117</v>
      </c>
      <c r="T334" s="1">
        <v>0.64800000000000002</v>
      </c>
      <c r="U334" s="6">
        <v>117.93600000000001</v>
      </c>
    </row>
    <row r="335" spans="1:21" x14ac:dyDescent="0.35">
      <c r="A335">
        <v>334</v>
      </c>
      <c r="B335" s="5">
        <v>44530</v>
      </c>
      <c r="C335" s="4">
        <v>2021</v>
      </c>
      <c r="D335" s="4">
        <v>11</v>
      </c>
      <c r="E335" s="14">
        <v>44530</v>
      </c>
      <c r="F335" s="4">
        <v>30</v>
      </c>
      <c r="G335">
        <v>60</v>
      </c>
      <c r="H335">
        <v>58</v>
      </c>
      <c r="I335" s="13">
        <v>0.96</v>
      </c>
      <c r="J335">
        <v>2</v>
      </c>
      <c r="K335" s="2">
        <v>4.2824074074074075E-4</v>
      </c>
      <c r="L335" s="11">
        <v>35.766666666666666</v>
      </c>
      <c r="M335" s="3">
        <v>0.6166666666666667</v>
      </c>
      <c r="N335" s="4">
        <v>37</v>
      </c>
      <c r="O335" s="2">
        <v>1.8055555555555555E-3</v>
      </c>
      <c r="P335" s="9">
        <v>150.80000000000001</v>
      </c>
      <c r="Q335" s="3">
        <v>2.6</v>
      </c>
      <c r="R335" s="4">
        <v>156</v>
      </c>
      <c r="S335" s="3">
        <v>31</v>
      </c>
      <c r="T335" s="1">
        <v>0.54239999999999999</v>
      </c>
      <c r="U335" s="6">
        <v>31.459199999999999</v>
      </c>
    </row>
    <row r="336" spans="1:21" x14ac:dyDescent="0.35">
      <c r="A336">
        <v>335</v>
      </c>
      <c r="B336" s="5">
        <v>44531</v>
      </c>
      <c r="C336" s="4">
        <v>2021</v>
      </c>
      <c r="D336" s="4">
        <v>12</v>
      </c>
      <c r="E336" s="14">
        <v>44531</v>
      </c>
      <c r="F336" s="4">
        <v>1</v>
      </c>
      <c r="G336">
        <v>241</v>
      </c>
      <c r="H336">
        <v>224</v>
      </c>
      <c r="I336" s="13">
        <v>0.92</v>
      </c>
      <c r="J336">
        <v>17</v>
      </c>
      <c r="K336" s="2">
        <v>2.6620370370370372E-4</v>
      </c>
      <c r="L336" s="11">
        <v>85.866666666666674</v>
      </c>
      <c r="M336" s="3">
        <v>0.38333333333333336</v>
      </c>
      <c r="N336" s="4">
        <v>23</v>
      </c>
      <c r="O336" s="2">
        <v>1.6782407407407408E-3</v>
      </c>
      <c r="P336" s="9">
        <v>541.33333333333326</v>
      </c>
      <c r="Q336" s="3">
        <v>2.4166666666666665</v>
      </c>
      <c r="R336" s="4">
        <v>145</v>
      </c>
      <c r="S336" s="3">
        <v>157</v>
      </c>
      <c r="T336" s="1">
        <v>0.7046</v>
      </c>
      <c r="U336" s="6">
        <v>157.8304</v>
      </c>
    </row>
    <row r="337" spans="1:21" x14ac:dyDescent="0.35">
      <c r="A337">
        <v>336</v>
      </c>
      <c r="B337" s="5">
        <v>44532</v>
      </c>
      <c r="C337" s="4">
        <v>2021</v>
      </c>
      <c r="D337" s="4">
        <v>12</v>
      </c>
      <c r="E337" s="14">
        <v>44532</v>
      </c>
      <c r="F337" s="4">
        <v>2</v>
      </c>
      <c r="G337">
        <v>307</v>
      </c>
      <c r="H337">
        <v>295</v>
      </c>
      <c r="I337" s="13">
        <v>0.96</v>
      </c>
      <c r="J337">
        <v>12</v>
      </c>
      <c r="K337" s="2">
        <v>3.3564814814814812E-4</v>
      </c>
      <c r="L337" s="11">
        <v>142.58333333333334</v>
      </c>
      <c r="M337" s="3">
        <v>0.48333333333333334</v>
      </c>
      <c r="N337" s="4">
        <v>29</v>
      </c>
      <c r="O337" s="2">
        <v>1.5740740740740741E-3</v>
      </c>
      <c r="P337" s="9">
        <v>668.66666666666663</v>
      </c>
      <c r="Q337" s="3">
        <v>2.2666666666666666</v>
      </c>
      <c r="R337" s="4">
        <v>136</v>
      </c>
      <c r="S337" s="3">
        <v>178</v>
      </c>
      <c r="T337" s="1">
        <v>0.60460000000000003</v>
      </c>
      <c r="U337" s="6">
        <v>178.357</v>
      </c>
    </row>
    <row r="338" spans="1:21" x14ac:dyDescent="0.35">
      <c r="A338">
        <v>337</v>
      </c>
      <c r="B338" s="5">
        <v>44533</v>
      </c>
      <c r="C338" s="4">
        <v>2021</v>
      </c>
      <c r="D338" s="4">
        <v>12</v>
      </c>
      <c r="E338" s="14">
        <v>44533</v>
      </c>
      <c r="F338" s="4">
        <v>3</v>
      </c>
      <c r="G338">
        <v>295</v>
      </c>
      <c r="H338">
        <v>289</v>
      </c>
      <c r="I338" s="13">
        <v>0.97</v>
      </c>
      <c r="J338">
        <v>6</v>
      </c>
      <c r="K338" s="2">
        <v>3.0092592592592595E-4</v>
      </c>
      <c r="L338" s="11">
        <v>125.23333333333333</v>
      </c>
      <c r="M338" s="3">
        <v>0.43333333333333335</v>
      </c>
      <c r="N338" s="4">
        <v>26</v>
      </c>
      <c r="O338" s="2">
        <v>1.6550925925925926E-3</v>
      </c>
      <c r="P338" s="9">
        <v>688.7833333333333</v>
      </c>
      <c r="Q338" s="3">
        <v>2.3833333333333333</v>
      </c>
      <c r="R338" s="4">
        <v>143</v>
      </c>
      <c r="S338" s="3">
        <v>204</v>
      </c>
      <c r="T338" s="1">
        <v>0.70689999999999997</v>
      </c>
      <c r="U338" s="6">
        <v>204.29409999999999</v>
      </c>
    </row>
    <row r="339" spans="1:21" x14ac:dyDescent="0.35">
      <c r="A339">
        <v>338</v>
      </c>
      <c r="B339" s="5">
        <v>44534</v>
      </c>
      <c r="C339" s="4">
        <v>2021</v>
      </c>
      <c r="D339" s="4">
        <v>12</v>
      </c>
      <c r="E339" s="14">
        <v>44534</v>
      </c>
      <c r="F339" s="4">
        <v>4</v>
      </c>
      <c r="G339">
        <v>239</v>
      </c>
      <c r="H339">
        <v>230</v>
      </c>
      <c r="I339" s="13">
        <v>0.96</v>
      </c>
      <c r="J339">
        <v>9</v>
      </c>
      <c r="K339" s="2">
        <v>3.0092592592592595E-4</v>
      </c>
      <c r="L339" s="11">
        <v>99.666666666666671</v>
      </c>
      <c r="M339" s="3">
        <v>0.43333333333333335</v>
      </c>
      <c r="N339" s="4">
        <v>26</v>
      </c>
      <c r="O339" s="2">
        <v>1.5509259259259259E-3</v>
      </c>
      <c r="P339" s="9">
        <v>513.66666666666663</v>
      </c>
      <c r="Q339" s="3">
        <v>2.2333333333333334</v>
      </c>
      <c r="R339" s="4">
        <v>134</v>
      </c>
      <c r="S339" s="3">
        <v>158</v>
      </c>
      <c r="T339" s="1">
        <v>0.68910000000000005</v>
      </c>
      <c r="U339" s="6">
        <v>158.49300000000002</v>
      </c>
    </row>
    <row r="340" spans="1:21" x14ac:dyDescent="0.35">
      <c r="A340">
        <v>339</v>
      </c>
      <c r="B340" s="5">
        <v>44535</v>
      </c>
      <c r="C340" s="4">
        <v>2021</v>
      </c>
      <c r="D340" s="4">
        <v>12</v>
      </c>
      <c r="E340" s="14">
        <v>44535</v>
      </c>
      <c r="F340" s="4">
        <v>5</v>
      </c>
      <c r="G340">
        <v>241</v>
      </c>
      <c r="H340">
        <v>231</v>
      </c>
      <c r="I340" s="13">
        <v>0.95</v>
      </c>
      <c r="J340">
        <v>10</v>
      </c>
      <c r="K340" s="2">
        <v>2.6620370370370372E-4</v>
      </c>
      <c r="L340" s="11">
        <v>88.550000000000011</v>
      </c>
      <c r="M340" s="3">
        <v>0.38333333333333336</v>
      </c>
      <c r="N340" s="4">
        <v>23</v>
      </c>
      <c r="O340" s="2">
        <v>1.6782407407407408E-3</v>
      </c>
      <c r="P340" s="9">
        <v>558.25</v>
      </c>
      <c r="Q340" s="3">
        <v>2.4166666666666665</v>
      </c>
      <c r="R340" s="4">
        <v>145</v>
      </c>
      <c r="S340" s="3">
        <v>167</v>
      </c>
      <c r="T340" s="1">
        <v>0.72460000000000002</v>
      </c>
      <c r="U340" s="6">
        <v>167.3826</v>
      </c>
    </row>
    <row r="341" spans="1:21" x14ac:dyDescent="0.35">
      <c r="A341">
        <v>340</v>
      </c>
      <c r="B341" s="5">
        <v>44536</v>
      </c>
      <c r="C341" s="4">
        <v>2021</v>
      </c>
      <c r="D341" s="4">
        <v>12</v>
      </c>
      <c r="E341" s="14">
        <v>44536</v>
      </c>
      <c r="F341" s="4">
        <v>6</v>
      </c>
      <c r="G341">
        <v>211</v>
      </c>
      <c r="H341">
        <v>195</v>
      </c>
      <c r="I341" s="13">
        <v>0.92</v>
      </c>
      <c r="J341">
        <v>16</v>
      </c>
      <c r="K341" s="2">
        <v>3.8194444444444446E-4</v>
      </c>
      <c r="L341" s="11">
        <v>107.25000000000001</v>
      </c>
      <c r="M341" s="3">
        <v>0.55000000000000004</v>
      </c>
      <c r="N341" s="4">
        <v>33</v>
      </c>
      <c r="O341" s="2">
        <v>1.8749999999999999E-3</v>
      </c>
      <c r="P341" s="9">
        <v>526.5</v>
      </c>
      <c r="Q341" s="3">
        <v>2.7</v>
      </c>
      <c r="R341" s="4">
        <v>162</v>
      </c>
      <c r="S341" s="3">
        <v>102</v>
      </c>
      <c r="T341" s="1">
        <v>0.52400000000000002</v>
      </c>
      <c r="U341" s="6">
        <v>102.18</v>
      </c>
    </row>
    <row r="342" spans="1:21" x14ac:dyDescent="0.35">
      <c r="A342">
        <v>341</v>
      </c>
      <c r="B342" s="5">
        <v>44537</v>
      </c>
      <c r="C342" s="4">
        <v>2021</v>
      </c>
      <c r="D342" s="4">
        <v>12</v>
      </c>
      <c r="E342" s="14">
        <v>44537</v>
      </c>
      <c r="F342" s="4">
        <v>7</v>
      </c>
      <c r="G342">
        <v>40</v>
      </c>
      <c r="H342">
        <v>35</v>
      </c>
      <c r="I342" s="13">
        <v>0.87</v>
      </c>
      <c r="J342">
        <v>5</v>
      </c>
      <c r="K342" s="2">
        <v>4.6296296296296298E-4</v>
      </c>
      <c r="L342" s="11">
        <v>23.333333333333332</v>
      </c>
      <c r="M342" s="3">
        <v>0.66666666666666663</v>
      </c>
      <c r="N342" s="4">
        <v>40</v>
      </c>
      <c r="O342" s="2">
        <v>1.7939814814814815E-3</v>
      </c>
      <c r="P342" s="9">
        <v>90.416666666666671</v>
      </c>
      <c r="Q342" s="3">
        <v>2.5833333333333335</v>
      </c>
      <c r="R342" s="4">
        <v>155</v>
      </c>
      <c r="S342" s="3">
        <v>16</v>
      </c>
      <c r="T342" s="1">
        <v>0.47499999999999998</v>
      </c>
      <c r="U342" s="6">
        <v>16.625</v>
      </c>
    </row>
    <row r="343" spans="1:21" x14ac:dyDescent="0.35">
      <c r="A343">
        <v>342</v>
      </c>
      <c r="B343" s="5">
        <v>44538</v>
      </c>
      <c r="C343" s="4">
        <v>2021</v>
      </c>
      <c r="D343" s="4">
        <v>12</v>
      </c>
      <c r="E343" s="14">
        <v>44538</v>
      </c>
      <c r="F343" s="4">
        <v>8</v>
      </c>
      <c r="G343">
        <v>192</v>
      </c>
      <c r="H343">
        <v>174</v>
      </c>
      <c r="I343" s="13">
        <v>0.9</v>
      </c>
      <c r="J343">
        <v>18</v>
      </c>
      <c r="K343" s="2">
        <v>3.7037037037037035E-4</v>
      </c>
      <c r="L343" s="11">
        <v>92.8</v>
      </c>
      <c r="M343" s="3">
        <v>0.53333333333333333</v>
      </c>
      <c r="N343" s="4">
        <v>32</v>
      </c>
      <c r="O343" s="2">
        <v>1.5740740740740741E-3</v>
      </c>
      <c r="P343" s="9">
        <v>394.4</v>
      </c>
      <c r="Q343" s="3">
        <v>2.2666666666666666</v>
      </c>
      <c r="R343" s="4">
        <v>136</v>
      </c>
      <c r="S343" s="3">
        <v>97</v>
      </c>
      <c r="T343" s="1">
        <v>0.55789999999999995</v>
      </c>
      <c r="U343" s="6">
        <v>97.07459999999999</v>
      </c>
    </row>
    <row r="344" spans="1:21" x14ac:dyDescent="0.35">
      <c r="A344">
        <v>343</v>
      </c>
      <c r="B344" s="5">
        <v>44539</v>
      </c>
      <c r="C344" s="4">
        <v>2021</v>
      </c>
      <c r="D344" s="4">
        <v>12</v>
      </c>
      <c r="E344" s="14">
        <v>44539</v>
      </c>
      <c r="F344" s="4">
        <v>9</v>
      </c>
      <c r="G344">
        <v>201</v>
      </c>
      <c r="H344">
        <v>179</v>
      </c>
      <c r="I344" s="13">
        <v>0.89</v>
      </c>
      <c r="J344">
        <v>22</v>
      </c>
      <c r="K344" s="2">
        <v>4.0509259259259258E-4</v>
      </c>
      <c r="L344" s="11">
        <v>104.41666666666667</v>
      </c>
      <c r="M344" s="3">
        <v>0.58333333333333337</v>
      </c>
      <c r="N344" s="4">
        <v>35</v>
      </c>
      <c r="O344" s="2">
        <v>1.5972222222222223E-3</v>
      </c>
      <c r="P344" s="9">
        <v>411.7</v>
      </c>
      <c r="Q344" s="3">
        <v>2.2999999999999998</v>
      </c>
      <c r="R344" s="4">
        <v>138</v>
      </c>
      <c r="S344" s="3">
        <v>102</v>
      </c>
      <c r="T344" s="1">
        <v>0.57289999999999996</v>
      </c>
      <c r="U344" s="6">
        <v>102.5491</v>
      </c>
    </row>
    <row r="345" spans="1:21" x14ac:dyDescent="0.35">
      <c r="A345">
        <v>344</v>
      </c>
      <c r="B345" s="5">
        <v>44540</v>
      </c>
      <c r="C345" s="4">
        <v>2021</v>
      </c>
      <c r="D345" s="4">
        <v>12</v>
      </c>
      <c r="E345" s="14">
        <v>44540</v>
      </c>
      <c r="F345" s="4">
        <v>10</v>
      </c>
      <c r="G345">
        <v>274</v>
      </c>
      <c r="H345">
        <v>247</v>
      </c>
      <c r="I345" s="13">
        <v>0.9</v>
      </c>
      <c r="J345">
        <v>27</v>
      </c>
      <c r="K345" s="2">
        <v>3.2407407407407406E-4</v>
      </c>
      <c r="L345" s="11">
        <v>115.26666666666667</v>
      </c>
      <c r="M345" s="3">
        <v>0.46666666666666667</v>
      </c>
      <c r="N345" s="4">
        <v>28</v>
      </c>
      <c r="O345" s="2">
        <v>1.5046296296296296E-3</v>
      </c>
      <c r="P345" s="9">
        <v>535.16666666666663</v>
      </c>
      <c r="Q345" s="3">
        <v>2.1666666666666665</v>
      </c>
      <c r="R345" s="4">
        <v>130</v>
      </c>
      <c r="S345" s="3">
        <v>157</v>
      </c>
      <c r="T345" s="1">
        <v>0.63939999999999997</v>
      </c>
      <c r="U345" s="6">
        <v>157.93179999999998</v>
      </c>
    </row>
    <row r="346" spans="1:21" x14ac:dyDescent="0.35">
      <c r="A346">
        <v>345</v>
      </c>
      <c r="B346" s="5">
        <v>44541</v>
      </c>
      <c r="C346" s="4">
        <v>2021</v>
      </c>
      <c r="D346" s="4">
        <v>12</v>
      </c>
      <c r="E346" s="14">
        <v>44541</v>
      </c>
      <c r="F346" s="4">
        <v>11</v>
      </c>
      <c r="G346">
        <v>205</v>
      </c>
      <c r="H346">
        <v>176</v>
      </c>
      <c r="I346" s="13">
        <v>0.85</v>
      </c>
      <c r="J346">
        <v>29</v>
      </c>
      <c r="K346" s="2">
        <v>4.7453703703703704E-4</v>
      </c>
      <c r="L346" s="11">
        <v>120.26666666666667</v>
      </c>
      <c r="M346" s="3">
        <v>0.68333333333333335</v>
      </c>
      <c r="N346" s="4">
        <v>41</v>
      </c>
      <c r="O346" s="2">
        <v>1.5740740740740741E-3</v>
      </c>
      <c r="P346" s="9">
        <v>398.93333333333334</v>
      </c>
      <c r="Q346" s="3">
        <v>2.2666666666666666</v>
      </c>
      <c r="R346" s="4">
        <v>136</v>
      </c>
      <c r="S346" s="3">
        <v>81</v>
      </c>
      <c r="T346" s="1">
        <v>0.46229999999999999</v>
      </c>
      <c r="U346" s="6">
        <v>81.364800000000002</v>
      </c>
    </row>
    <row r="347" spans="1:21" x14ac:dyDescent="0.35">
      <c r="A347">
        <v>346</v>
      </c>
      <c r="B347" s="5">
        <v>44542</v>
      </c>
      <c r="C347" s="4">
        <v>2021</v>
      </c>
      <c r="D347" s="4">
        <v>12</v>
      </c>
      <c r="E347" s="14">
        <v>44542</v>
      </c>
      <c r="F347" s="4">
        <v>12</v>
      </c>
      <c r="G347">
        <v>177</v>
      </c>
      <c r="H347">
        <v>160</v>
      </c>
      <c r="I347" s="13">
        <v>0.9</v>
      </c>
      <c r="J347">
        <v>17</v>
      </c>
      <c r="K347" s="2">
        <v>3.2407407407407406E-4</v>
      </c>
      <c r="L347" s="11">
        <v>74.666666666666671</v>
      </c>
      <c r="M347" s="3">
        <v>0.46666666666666667</v>
      </c>
      <c r="N347" s="4">
        <v>28</v>
      </c>
      <c r="O347" s="2">
        <v>1.6203703703703703E-3</v>
      </c>
      <c r="P347" s="9">
        <v>373.33333333333337</v>
      </c>
      <c r="Q347" s="3">
        <v>2.3333333333333335</v>
      </c>
      <c r="R347" s="4">
        <v>140</v>
      </c>
      <c r="S347" s="3">
        <v>94</v>
      </c>
      <c r="T347" s="1">
        <v>0.59199999999999997</v>
      </c>
      <c r="U347" s="6">
        <v>94.72</v>
      </c>
    </row>
    <row r="348" spans="1:21" x14ac:dyDescent="0.35">
      <c r="A348">
        <v>347</v>
      </c>
      <c r="B348" s="5">
        <v>44543</v>
      </c>
      <c r="C348" s="4">
        <v>2021</v>
      </c>
      <c r="D348" s="4">
        <v>12</v>
      </c>
      <c r="E348" s="14">
        <v>44543</v>
      </c>
      <c r="F348" s="4">
        <v>13</v>
      </c>
      <c r="G348">
        <v>159</v>
      </c>
      <c r="H348">
        <v>151</v>
      </c>
      <c r="I348" s="13">
        <v>0.94</v>
      </c>
      <c r="J348">
        <v>8</v>
      </c>
      <c r="K348" s="2">
        <v>2.5462962962962961E-4</v>
      </c>
      <c r="L348" s="11">
        <v>55.36666666666666</v>
      </c>
      <c r="M348" s="3">
        <v>0.36666666666666664</v>
      </c>
      <c r="N348" s="4">
        <v>22</v>
      </c>
      <c r="O348" s="2">
        <v>1.4814814814814814E-3</v>
      </c>
      <c r="P348" s="9">
        <v>322.13333333333333</v>
      </c>
      <c r="Q348" s="3">
        <v>2.1333333333333333</v>
      </c>
      <c r="R348" s="4">
        <v>128</v>
      </c>
      <c r="S348" s="3">
        <v>110</v>
      </c>
      <c r="T348" s="1">
        <v>0.73250000000000004</v>
      </c>
      <c r="U348" s="6">
        <v>110.6075</v>
      </c>
    </row>
    <row r="349" spans="1:21" x14ac:dyDescent="0.35">
      <c r="A349">
        <v>348</v>
      </c>
      <c r="B349" s="5">
        <v>44544</v>
      </c>
      <c r="C349" s="4">
        <v>2021</v>
      </c>
      <c r="D349" s="4">
        <v>12</v>
      </c>
      <c r="E349" s="14">
        <v>44544</v>
      </c>
      <c r="F349" s="4">
        <v>14</v>
      </c>
      <c r="G349">
        <v>33</v>
      </c>
      <c r="H349">
        <v>28</v>
      </c>
      <c r="I349" s="13">
        <v>0.84</v>
      </c>
      <c r="J349">
        <v>5</v>
      </c>
      <c r="K349" s="2">
        <v>1.5046296296296297E-4</v>
      </c>
      <c r="L349" s="11">
        <v>6.0666666666666664</v>
      </c>
      <c r="M349" s="3">
        <v>0.21666666666666667</v>
      </c>
      <c r="N349" s="4">
        <v>13</v>
      </c>
      <c r="O349" s="2">
        <v>1.736111111111111E-3</v>
      </c>
      <c r="P349" s="9">
        <v>70</v>
      </c>
      <c r="Q349" s="3">
        <v>2.5</v>
      </c>
      <c r="R349" s="4">
        <v>150</v>
      </c>
      <c r="S349" s="3">
        <v>18</v>
      </c>
      <c r="T349" s="1">
        <v>0.66669999999999996</v>
      </c>
      <c r="U349" s="6">
        <v>18.6676</v>
      </c>
    </row>
    <row r="350" spans="1:21" x14ac:dyDescent="0.35">
      <c r="A350">
        <v>349</v>
      </c>
      <c r="B350" s="5">
        <v>44545</v>
      </c>
      <c r="C350" s="4">
        <v>2021</v>
      </c>
      <c r="D350" s="4">
        <v>12</v>
      </c>
      <c r="E350" s="14">
        <v>44545</v>
      </c>
      <c r="F350" s="4">
        <v>15</v>
      </c>
      <c r="G350">
        <v>228</v>
      </c>
      <c r="H350">
        <v>210</v>
      </c>
      <c r="I350" s="13">
        <v>0.92</v>
      </c>
      <c r="J350">
        <v>18</v>
      </c>
      <c r="K350" s="2">
        <v>2.6620370370370372E-4</v>
      </c>
      <c r="L350" s="11">
        <v>80.5</v>
      </c>
      <c r="M350" s="3">
        <v>0.38333333333333336</v>
      </c>
      <c r="N350" s="4">
        <v>23</v>
      </c>
      <c r="O350" s="2">
        <v>1.4814814814814814E-3</v>
      </c>
      <c r="P350" s="9">
        <v>448</v>
      </c>
      <c r="Q350" s="3">
        <v>2.1333333333333333</v>
      </c>
      <c r="R350" s="4">
        <v>128</v>
      </c>
      <c r="S350" s="3">
        <v>140</v>
      </c>
      <c r="T350" s="1">
        <v>0.66669999999999996</v>
      </c>
      <c r="U350" s="6">
        <v>140.00700000000001</v>
      </c>
    </row>
    <row r="351" spans="1:21" x14ac:dyDescent="0.35">
      <c r="A351">
        <v>350</v>
      </c>
      <c r="B351" s="5">
        <v>44546</v>
      </c>
      <c r="C351" s="4">
        <v>2021</v>
      </c>
      <c r="D351" s="4">
        <v>12</v>
      </c>
      <c r="E351" s="14">
        <v>44546</v>
      </c>
      <c r="F351" s="4">
        <v>16</v>
      </c>
      <c r="G351">
        <v>177</v>
      </c>
      <c r="H351">
        <v>172</v>
      </c>
      <c r="I351" s="13">
        <v>0.97</v>
      </c>
      <c r="J351">
        <v>5</v>
      </c>
      <c r="K351" s="2">
        <v>2.8935185185185184E-4</v>
      </c>
      <c r="L351" s="11">
        <v>71.666666666666671</v>
      </c>
      <c r="M351" s="3">
        <v>0.41666666666666669</v>
      </c>
      <c r="N351" s="4">
        <v>25</v>
      </c>
      <c r="O351" s="2">
        <v>1.5625000000000001E-3</v>
      </c>
      <c r="P351" s="9">
        <v>387</v>
      </c>
      <c r="Q351" s="3">
        <v>2.25</v>
      </c>
      <c r="R351" s="4">
        <v>135</v>
      </c>
      <c r="S351" s="3">
        <v>118</v>
      </c>
      <c r="T351" s="1">
        <v>0.69140000000000001</v>
      </c>
      <c r="U351" s="6">
        <v>118.9208</v>
      </c>
    </row>
    <row r="352" spans="1:21" x14ac:dyDescent="0.35">
      <c r="A352">
        <v>351</v>
      </c>
      <c r="B352" s="5">
        <v>44547</v>
      </c>
      <c r="C352" s="4">
        <v>2021</v>
      </c>
      <c r="D352" s="4">
        <v>12</v>
      </c>
      <c r="E352" s="14">
        <v>44547</v>
      </c>
      <c r="F352" s="4">
        <v>17</v>
      </c>
      <c r="G352">
        <v>197</v>
      </c>
      <c r="H352">
        <v>169</v>
      </c>
      <c r="I352" s="13">
        <v>0.85</v>
      </c>
      <c r="J352">
        <v>28</v>
      </c>
      <c r="K352" s="2">
        <v>3.9351851851851852E-4</v>
      </c>
      <c r="L352" s="11">
        <v>95.766666666666666</v>
      </c>
      <c r="M352" s="3">
        <v>0.56666666666666665</v>
      </c>
      <c r="N352" s="4">
        <v>34</v>
      </c>
      <c r="O352" s="2">
        <v>1.736111111111111E-3</v>
      </c>
      <c r="P352" s="9">
        <v>422.5</v>
      </c>
      <c r="Q352" s="3">
        <v>2.5</v>
      </c>
      <c r="R352" s="4">
        <v>150</v>
      </c>
      <c r="S352" s="3">
        <v>94</v>
      </c>
      <c r="T352" s="1">
        <v>0.55669999999999997</v>
      </c>
      <c r="U352" s="6">
        <v>94.082299999999989</v>
      </c>
    </row>
    <row r="353" spans="1:21" x14ac:dyDescent="0.35">
      <c r="A353">
        <v>352</v>
      </c>
      <c r="B353" s="5">
        <v>44548</v>
      </c>
      <c r="C353" s="4">
        <v>2021</v>
      </c>
      <c r="D353" s="4">
        <v>12</v>
      </c>
      <c r="E353" s="14">
        <v>44548</v>
      </c>
      <c r="F353" s="4">
        <v>18</v>
      </c>
      <c r="G353">
        <v>721</v>
      </c>
      <c r="H353">
        <v>616</v>
      </c>
      <c r="I353" s="13">
        <v>0.85</v>
      </c>
      <c r="J353">
        <v>105</v>
      </c>
      <c r="K353" s="2">
        <v>6.5972222222222224E-4</v>
      </c>
      <c r="L353" s="11">
        <v>585.19999999999993</v>
      </c>
      <c r="M353" s="3">
        <v>0.95</v>
      </c>
      <c r="N353" s="4">
        <v>57</v>
      </c>
      <c r="O353" s="2">
        <v>1.3310185185185185E-3</v>
      </c>
      <c r="P353" s="9">
        <v>1180.6666666666665</v>
      </c>
      <c r="Q353" s="3">
        <v>1.9166666666666665</v>
      </c>
      <c r="R353" s="4">
        <v>114.99999999999999</v>
      </c>
      <c r="S353" s="3">
        <v>174</v>
      </c>
      <c r="T353" s="1">
        <v>0.28310000000000002</v>
      </c>
      <c r="U353" s="6">
        <v>174.3896</v>
      </c>
    </row>
    <row r="354" spans="1:21" x14ac:dyDescent="0.35">
      <c r="A354">
        <v>353</v>
      </c>
      <c r="B354" s="5">
        <v>44549</v>
      </c>
      <c r="C354" s="4">
        <v>2021</v>
      </c>
      <c r="D354" s="4">
        <v>12</v>
      </c>
      <c r="E354" s="14">
        <v>44549</v>
      </c>
      <c r="F354" s="4">
        <v>19</v>
      </c>
      <c r="G354">
        <v>301</v>
      </c>
      <c r="H354">
        <v>270</v>
      </c>
      <c r="I354" s="13">
        <v>0.89</v>
      </c>
      <c r="J354">
        <v>31</v>
      </c>
      <c r="K354" s="2">
        <v>4.861111111111111E-4</v>
      </c>
      <c r="L354" s="11">
        <v>189</v>
      </c>
      <c r="M354" s="3">
        <v>0.7</v>
      </c>
      <c r="N354" s="4">
        <v>42</v>
      </c>
      <c r="O354" s="2">
        <v>1.4467592592592592E-3</v>
      </c>
      <c r="P354" s="9">
        <v>562.5</v>
      </c>
      <c r="Q354" s="3">
        <v>2.0833333333333335</v>
      </c>
      <c r="R354" s="4">
        <v>125.00000000000001</v>
      </c>
      <c r="S354" s="3">
        <v>114</v>
      </c>
      <c r="T354" s="1">
        <v>0.42470000000000002</v>
      </c>
      <c r="U354" s="6">
        <v>114.66900000000001</v>
      </c>
    </row>
    <row r="355" spans="1:21" x14ac:dyDescent="0.35">
      <c r="A355">
        <v>354</v>
      </c>
      <c r="B355" s="5">
        <v>44550</v>
      </c>
      <c r="C355" s="4">
        <v>2021</v>
      </c>
      <c r="D355" s="4">
        <v>12</v>
      </c>
      <c r="E355" s="14">
        <v>44550</v>
      </c>
      <c r="F355" s="4">
        <v>20</v>
      </c>
      <c r="G355">
        <v>179</v>
      </c>
      <c r="H355">
        <v>175</v>
      </c>
      <c r="I355" s="13">
        <v>0.97</v>
      </c>
      <c r="J355">
        <v>4</v>
      </c>
      <c r="K355" s="2">
        <v>2.7777777777777778E-4</v>
      </c>
      <c r="L355" s="11">
        <v>70</v>
      </c>
      <c r="M355" s="3">
        <v>0.4</v>
      </c>
      <c r="N355" s="4">
        <v>24</v>
      </c>
      <c r="O355" s="2">
        <v>1.6319444444444445E-3</v>
      </c>
      <c r="P355" s="9">
        <v>411.25</v>
      </c>
      <c r="Q355" s="3">
        <v>2.35</v>
      </c>
      <c r="R355" s="4">
        <v>141</v>
      </c>
      <c r="S355" s="3">
        <v>124</v>
      </c>
      <c r="T355" s="1">
        <v>0.71350000000000002</v>
      </c>
      <c r="U355" s="6">
        <v>124.8625</v>
      </c>
    </row>
    <row r="356" spans="1:21" x14ac:dyDescent="0.35">
      <c r="A356">
        <v>355</v>
      </c>
      <c r="B356" s="5">
        <v>44551</v>
      </c>
      <c r="C356" s="4">
        <v>2021</v>
      </c>
      <c r="D356" s="4">
        <v>12</v>
      </c>
      <c r="E356" s="14">
        <v>44551</v>
      </c>
      <c r="F356" s="4">
        <v>21</v>
      </c>
      <c r="G356">
        <v>45</v>
      </c>
      <c r="H356">
        <v>45</v>
      </c>
      <c r="I356" s="13">
        <v>1</v>
      </c>
      <c r="J356">
        <v>0</v>
      </c>
      <c r="K356" s="2">
        <v>1.8518518518518518E-4</v>
      </c>
      <c r="L356" s="11">
        <v>12</v>
      </c>
      <c r="M356" s="3">
        <v>0.26666666666666666</v>
      </c>
      <c r="N356" s="4">
        <v>16</v>
      </c>
      <c r="O356" s="2">
        <v>1.5162037037037036E-3</v>
      </c>
      <c r="P356" s="9">
        <v>98.249999999999986</v>
      </c>
      <c r="Q356" s="3">
        <v>2.1833333333333331</v>
      </c>
      <c r="R356" s="4">
        <v>131</v>
      </c>
      <c r="S356" s="3">
        <v>39</v>
      </c>
      <c r="T356" s="1">
        <v>0.86670000000000003</v>
      </c>
      <c r="U356" s="6">
        <v>39.0015</v>
      </c>
    </row>
    <row r="357" spans="1:21" x14ac:dyDescent="0.35">
      <c r="A357">
        <v>356</v>
      </c>
      <c r="B357" s="5">
        <v>44552</v>
      </c>
      <c r="C357" s="4">
        <v>2021</v>
      </c>
      <c r="D357" s="4">
        <v>12</v>
      </c>
      <c r="E357" s="14">
        <v>44552</v>
      </c>
      <c r="F357" s="4">
        <v>22</v>
      </c>
      <c r="G357">
        <v>180</v>
      </c>
      <c r="H357">
        <v>164</v>
      </c>
      <c r="I357" s="13">
        <v>0.91</v>
      </c>
      <c r="J357">
        <v>16</v>
      </c>
      <c r="K357" s="2">
        <v>2.8935185185185184E-4</v>
      </c>
      <c r="L357" s="11">
        <v>68.333333333333343</v>
      </c>
      <c r="M357" s="3">
        <v>0.41666666666666669</v>
      </c>
      <c r="N357" s="4">
        <v>25</v>
      </c>
      <c r="O357" s="2">
        <v>1.6435185185185185E-3</v>
      </c>
      <c r="P357" s="9">
        <v>388.13333333333333</v>
      </c>
      <c r="Q357" s="3">
        <v>2.3666666666666667</v>
      </c>
      <c r="R357" s="4">
        <v>142</v>
      </c>
      <c r="S357" s="3">
        <v>101</v>
      </c>
      <c r="T357" s="1">
        <v>0.61799999999999999</v>
      </c>
      <c r="U357" s="6">
        <v>101.352</v>
      </c>
    </row>
    <row r="358" spans="1:21" x14ac:dyDescent="0.35">
      <c r="A358">
        <v>357</v>
      </c>
      <c r="B358" s="5">
        <v>44553</v>
      </c>
      <c r="C358" s="4">
        <v>2021</v>
      </c>
      <c r="D358" s="4">
        <v>12</v>
      </c>
      <c r="E358" s="14">
        <v>44553</v>
      </c>
      <c r="F358" s="4">
        <v>23</v>
      </c>
      <c r="G358">
        <v>206</v>
      </c>
      <c r="H358">
        <v>200</v>
      </c>
      <c r="I358" s="13">
        <v>0.97</v>
      </c>
      <c r="J358">
        <v>6</v>
      </c>
      <c r="K358" s="2">
        <v>2.5462962962962961E-4</v>
      </c>
      <c r="L358" s="11">
        <v>73.333333333333329</v>
      </c>
      <c r="M358" s="3">
        <v>0.36666666666666664</v>
      </c>
      <c r="N358" s="4">
        <v>22</v>
      </c>
      <c r="O358" s="2">
        <v>1.6087962962962963E-3</v>
      </c>
      <c r="P358" s="9">
        <v>463.33333333333326</v>
      </c>
      <c r="Q358" s="3">
        <v>2.3166666666666664</v>
      </c>
      <c r="R358" s="4">
        <v>139</v>
      </c>
      <c r="S358" s="3">
        <v>149</v>
      </c>
      <c r="T358" s="1">
        <v>0.74629999999999996</v>
      </c>
      <c r="U358" s="6">
        <v>149.26</v>
      </c>
    </row>
    <row r="359" spans="1:21" x14ac:dyDescent="0.35">
      <c r="A359">
        <v>358</v>
      </c>
      <c r="B359" s="5">
        <v>44554</v>
      </c>
      <c r="C359" s="4">
        <v>2021</v>
      </c>
      <c r="D359" s="4">
        <v>12</v>
      </c>
      <c r="E359" s="14">
        <v>44554</v>
      </c>
      <c r="F359" s="4">
        <v>24</v>
      </c>
      <c r="G359">
        <v>187</v>
      </c>
      <c r="H359">
        <v>181</v>
      </c>
      <c r="I359" s="13">
        <v>0.96</v>
      </c>
      <c r="J359">
        <v>6</v>
      </c>
      <c r="K359" s="2">
        <v>3.7037037037037035E-4</v>
      </c>
      <c r="L359" s="11">
        <v>96.533333333333331</v>
      </c>
      <c r="M359" s="3">
        <v>0.53333333333333333</v>
      </c>
      <c r="N359" s="4">
        <v>32</v>
      </c>
      <c r="O359" s="2">
        <v>1.736111111111111E-3</v>
      </c>
      <c r="P359" s="9">
        <v>452.5</v>
      </c>
      <c r="Q359" s="3">
        <v>2.5</v>
      </c>
      <c r="R359" s="4">
        <v>150</v>
      </c>
      <c r="S359" s="3">
        <v>113</v>
      </c>
      <c r="T359" s="1">
        <v>0.627</v>
      </c>
      <c r="U359" s="6">
        <v>113.48699999999999</v>
      </c>
    </row>
    <row r="360" spans="1:21" x14ac:dyDescent="0.35">
      <c r="A360">
        <v>359</v>
      </c>
      <c r="B360" s="5">
        <v>44555</v>
      </c>
      <c r="C360" s="4">
        <v>2021</v>
      </c>
      <c r="D360" s="4">
        <v>12</v>
      </c>
      <c r="E360" s="14">
        <v>44555</v>
      </c>
      <c r="F360" s="4">
        <v>25</v>
      </c>
      <c r="G360">
        <v>186</v>
      </c>
      <c r="H360">
        <v>177</v>
      </c>
      <c r="I360" s="13">
        <v>0.95</v>
      </c>
      <c r="J360">
        <v>9</v>
      </c>
      <c r="K360" s="2">
        <v>3.2407407407407406E-4</v>
      </c>
      <c r="L360" s="11">
        <v>82.6</v>
      </c>
      <c r="M360" s="3">
        <v>0.46666666666666667</v>
      </c>
      <c r="N360" s="4">
        <v>28</v>
      </c>
      <c r="O360" s="2">
        <v>1.6435185185185185E-3</v>
      </c>
      <c r="P360" s="9">
        <v>418.9</v>
      </c>
      <c r="Q360" s="3">
        <v>2.3666666666666667</v>
      </c>
      <c r="R360" s="4">
        <v>142</v>
      </c>
      <c r="S360" s="3">
        <v>120</v>
      </c>
      <c r="T360" s="1">
        <v>0.67930000000000001</v>
      </c>
      <c r="U360" s="6">
        <v>120.23610000000001</v>
      </c>
    </row>
    <row r="361" spans="1:21" x14ac:dyDescent="0.35">
      <c r="A361">
        <v>360</v>
      </c>
      <c r="B361" s="5">
        <v>44556</v>
      </c>
      <c r="C361" s="4">
        <v>2021</v>
      </c>
      <c r="D361" s="4">
        <v>12</v>
      </c>
      <c r="E361" s="14">
        <v>44556</v>
      </c>
      <c r="F361" s="4">
        <v>26</v>
      </c>
      <c r="G361">
        <v>189</v>
      </c>
      <c r="H361">
        <v>180</v>
      </c>
      <c r="I361" s="13">
        <v>0.95</v>
      </c>
      <c r="J361">
        <v>9</v>
      </c>
      <c r="K361" s="2">
        <v>4.0509259259259258E-4</v>
      </c>
      <c r="L361" s="11">
        <v>105</v>
      </c>
      <c r="M361" s="3">
        <v>0.58333333333333337</v>
      </c>
      <c r="N361" s="4">
        <v>35</v>
      </c>
      <c r="O361" s="2">
        <v>1.5625000000000001E-3</v>
      </c>
      <c r="P361" s="9">
        <v>405</v>
      </c>
      <c r="Q361" s="3">
        <v>2.25</v>
      </c>
      <c r="R361" s="4">
        <v>135</v>
      </c>
      <c r="S361" s="3">
        <v>101</v>
      </c>
      <c r="T361" s="1">
        <v>0.5645</v>
      </c>
      <c r="U361" s="6">
        <v>101.61</v>
      </c>
    </row>
    <row r="362" spans="1:21" x14ac:dyDescent="0.35">
      <c r="A362">
        <v>361</v>
      </c>
      <c r="B362" s="5">
        <v>44557</v>
      </c>
      <c r="C362" s="4">
        <v>2021</v>
      </c>
      <c r="D362" s="4">
        <v>12</v>
      </c>
      <c r="E362" s="14">
        <v>44557</v>
      </c>
      <c r="F362" s="4">
        <v>27</v>
      </c>
      <c r="G362">
        <v>127</v>
      </c>
      <c r="H362">
        <v>116</v>
      </c>
      <c r="I362" s="13">
        <v>0.91</v>
      </c>
      <c r="J362">
        <v>11</v>
      </c>
      <c r="K362" s="2">
        <v>3.9351851851851852E-4</v>
      </c>
      <c r="L362" s="11">
        <v>65.733333333333334</v>
      </c>
      <c r="M362" s="3">
        <v>0.56666666666666665</v>
      </c>
      <c r="N362" s="4">
        <v>34</v>
      </c>
      <c r="O362" s="2">
        <v>1.6782407407407408E-3</v>
      </c>
      <c r="P362" s="9">
        <v>280.33333333333331</v>
      </c>
      <c r="Q362" s="3">
        <v>2.4166666666666665</v>
      </c>
      <c r="R362" s="4">
        <v>145</v>
      </c>
      <c r="S362" s="3">
        <v>65</v>
      </c>
      <c r="T362" s="1">
        <v>0.5645</v>
      </c>
      <c r="U362" s="6">
        <v>65.481999999999999</v>
      </c>
    </row>
    <row r="363" spans="1:21" x14ac:dyDescent="0.35">
      <c r="A363">
        <v>362</v>
      </c>
      <c r="B363" s="5">
        <v>44558</v>
      </c>
      <c r="C363" s="4">
        <v>2021</v>
      </c>
      <c r="D363" s="4">
        <v>12</v>
      </c>
      <c r="E363" s="14">
        <v>44558</v>
      </c>
      <c r="F363" s="4">
        <v>28</v>
      </c>
      <c r="G363">
        <v>93</v>
      </c>
      <c r="H363">
        <v>90</v>
      </c>
      <c r="I363" s="13">
        <v>0.96</v>
      </c>
      <c r="J363">
        <v>3</v>
      </c>
      <c r="K363" s="2">
        <v>3.0092592592592595E-4</v>
      </c>
      <c r="L363" s="11">
        <v>39</v>
      </c>
      <c r="M363" s="3">
        <v>0.43333333333333335</v>
      </c>
      <c r="N363" s="4">
        <v>26</v>
      </c>
      <c r="O363" s="2">
        <v>1.3541666666666667E-3</v>
      </c>
      <c r="P363" s="9">
        <v>175.5</v>
      </c>
      <c r="Q363" s="3">
        <v>1.95</v>
      </c>
      <c r="R363" s="4">
        <v>117</v>
      </c>
      <c r="S363" s="3">
        <v>57</v>
      </c>
      <c r="T363" s="1">
        <v>0.63439999999999996</v>
      </c>
      <c r="U363" s="6">
        <v>57.095999999999997</v>
      </c>
    </row>
    <row r="364" spans="1:21" x14ac:dyDescent="0.35">
      <c r="A364">
        <v>363</v>
      </c>
      <c r="B364" s="5">
        <v>44559</v>
      </c>
      <c r="C364" s="4">
        <v>2021</v>
      </c>
      <c r="D364" s="4">
        <v>12</v>
      </c>
      <c r="E364" s="14">
        <v>44559</v>
      </c>
      <c r="F364" s="4">
        <v>29</v>
      </c>
      <c r="G364">
        <v>328</v>
      </c>
      <c r="H364">
        <v>292</v>
      </c>
      <c r="I364" s="13">
        <v>0.89</v>
      </c>
      <c r="J364">
        <v>36</v>
      </c>
      <c r="K364" s="2">
        <v>4.2824074074074075E-4</v>
      </c>
      <c r="L364" s="11">
        <v>180.06666666666666</v>
      </c>
      <c r="M364" s="3">
        <v>0.6166666666666667</v>
      </c>
      <c r="N364" s="4">
        <v>37</v>
      </c>
      <c r="O364" s="2">
        <v>1.5856481481481481E-3</v>
      </c>
      <c r="P364" s="9">
        <v>666.73333333333335</v>
      </c>
      <c r="Q364" s="3">
        <v>2.2833333333333332</v>
      </c>
      <c r="R364" s="4">
        <v>137</v>
      </c>
      <c r="S364" s="3">
        <v>145</v>
      </c>
      <c r="T364" s="1">
        <v>0.49680000000000002</v>
      </c>
      <c r="U364" s="6">
        <v>145.06560000000002</v>
      </c>
    </row>
    <row r="365" spans="1:21" x14ac:dyDescent="0.35">
      <c r="A365">
        <v>364</v>
      </c>
      <c r="B365" s="5">
        <v>44560</v>
      </c>
      <c r="C365" s="4">
        <v>2021</v>
      </c>
      <c r="D365" s="4">
        <v>12</v>
      </c>
      <c r="E365" s="14">
        <v>44560</v>
      </c>
      <c r="F365" s="4">
        <v>30</v>
      </c>
      <c r="G365">
        <v>238</v>
      </c>
      <c r="H365">
        <v>223</v>
      </c>
      <c r="I365" s="13">
        <v>0.93</v>
      </c>
      <c r="J365">
        <v>15</v>
      </c>
      <c r="K365" s="2">
        <v>3.8194444444444446E-4</v>
      </c>
      <c r="L365" s="11">
        <v>122.65</v>
      </c>
      <c r="M365" s="3">
        <v>0.55000000000000004</v>
      </c>
      <c r="N365" s="4">
        <v>33</v>
      </c>
      <c r="O365" s="2">
        <v>1.6550925925925926E-3</v>
      </c>
      <c r="P365" s="9">
        <v>531.48333333333335</v>
      </c>
      <c r="Q365" s="3">
        <v>2.3833333333333333</v>
      </c>
      <c r="R365" s="4">
        <v>143</v>
      </c>
      <c r="S365" s="3">
        <v>132</v>
      </c>
      <c r="T365" s="1">
        <v>0.59230000000000005</v>
      </c>
      <c r="U365" s="6">
        <v>132.08290000000002</v>
      </c>
    </row>
    <row r="366" spans="1:21" x14ac:dyDescent="0.35">
      <c r="A366">
        <v>365</v>
      </c>
      <c r="B366" s="5">
        <v>44561</v>
      </c>
      <c r="C366" s="4">
        <v>2021</v>
      </c>
      <c r="D366" s="4">
        <v>12</v>
      </c>
      <c r="E366" s="14">
        <v>44561</v>
      </c>
      <c r="F366" s="4">
        <v>31</v>
      </c>
      <c r="G366">
        <v>237</v>
      </c>
      <c r="H366">
        <v>222</v>
      </c>
      <c r="I366" s="13">
        <v>0.93</v>
      </c>
      <c r="J366">
        <v>15</v>
      </c>
      <c r="K366" s="2">
        <v>3.9351851851851852E-4</v>
      </c>
      <c r="L366" s="11">
        <v>125.8</v>
      </c>
      <c r="M366" s="3">
        <v>0.56666666666666665</v>
      </c>
      <c r="N366" s="4">
        <v>34</v>
      </c>
      <c r="O366" s="2">
        <v>1.6666666666666668E-3</v>
      </c>
      <c r="P366" s="9">
        <v>532.79999999999995</v>
      </c>
      <c r="Q366" s="3">
        <v>2.4</v>
      </c>
      <c r="R366" s="4">
        <v>144</v>
      </c>
      <c r="S366" s="3">
        <v>119</v>
      </c>
      <c r="T366" s="1">
        <v>0.53849999999999998</v>
      </c>
      <c r="U366" s="6">
        <v>119.547</v>
      </c>
    </row>
    <row r="367" spans="1:21" x14ac:dyDescent="0.35">
      <c r="A367">
        <v>366</v>
      </c>
      <c r="B367" s="5">
        <v>44562</v>
      </c>
      <c r="C367" s="4">
        <v>2022</v>
      </c>
      <c r="D367" s="4">
        <v>1</v>
      </c>
      <c r="E367" s="14">
        <v>44562</v>
      </c>
      <c r="F367" s="4">
        <v>1</v>
      </c>
      <c r="G367">
        <v>257</v>
      </c>
      <c r="H367">
        <v>235</v>
      </c>
      <c r="I367" s="13">
        <v>0.91</v>
      </c>
      <c r="J367">
        <v>22</v>
      </c>
      <c r="K367" s="2">
        <v>5.2083333333333333E-4</v>
      </c>
      <c r="L367" s="11">
        <v>176.25</v>
      </c>
      <c r="M367" s="3">
        <v>0.75</v>
      </c>
      <c r="N367" s="4">
        <v>45</v>
      </c>
      <c r="O367" s="2">
        <v>1.7476851851851852E-3</v>
      </c>
      <c r="P367" s="9">
        <v>591.41666666666663</v>
      </c>
      <c r="Q367" s="3">
        <v>2.5166666666666666</v>
      </c>
      <c r="R367" s="4">
        <v>151</v>
      </c>
      <c r="S367" s="3">
        <v>104</v>
      </c>
      <c r="T367" s="1">
        <v>0.4466</v>
      </c>
      <c r="U367" s="6">
        <v>104.95099999999999</v>
      </c>
    </row>
    <row r="368" spans="1:21" x14ac:dyDescent="0.35">
      <c r="A368">
        <v>367</v>
      </c>
      <c r="B368" s="5">
        <v>44563</v>
      </c>
      <c r="C368" s="4">
        <v>2022</v>
      </c>
      <c r="D368" s="4">
        <v>1</v>
      </c>
      <c r="E368" s="14">
        <v>44563</v>
      </c>
      <c r="F368" s="4">
        <v>2</v>
      </c>
      <c r="G368">
        <v>238</v>
      </c>
      <c r="H368">
        <v>223</v>
      </c>
      <c r="I368" s="13">
        <v>0.93</v>
      </c>
      <c r="J368">
        <v>15</v>
      </c>
      <c r="K368" s="2">
        <v>3.7037037037037035E-4</v>
      </c>
      <c r="L368" s="11">
        <v>118.93333333333334</v>
      </c>
      <c r="M368" s="3">
        <v>0.53333333333333333</v>
      </c>
      <c r="N368" s="4">
        <v>32</v>
      </c>
      <c r="O368" s="2">
        <v>1.5856481481481481E-3</v>
      </c>
      <c r="P368" s="9">
        <v>509.18333333333328</v>
      </c>
      <c r="Q368" s="3">
        <v>2.2833333333333332</v>
      </c>
      <c r="R368" s="4">
        <v>137</v>
      </c>
      <c r="S368" s="3">
        <v>121</v>
      </c>
      <c r="T368" s="1">
        <v>0.54700000000000004</v>
      </c>
      <c r="U368" s="6">
        <v>121.98100000000001</v>
      </c>
    </row>
    <row r="369" spans="1:21" x14ac:dyDescent="0.35">
      <c r="A369">
        <v>368</v>
      </c>
      <c r="B369" s="5">
        <v>44564</v>
      </c>
      <c r="C369" s="4">
        <v>2022</v>
      </c>
      <c r="D369" s="4">
        <v>1</v>
      </c>
      <c r="E369" s="14">
        <v>44564</v>
      </c>
      <c r="F369" s="4">
        <v>3</v>
      </c>
      <c r="G369">
        <v>199</v>
      </c>
      <c r="H369">
        <v>164</v>
      </c>
      <c r="I369" s="13">
        <v>0.82</v>
      </c>
      <c r="J369">
        <v>35</v>
      </c>
      <c r="K369" s="2">
        <v>3.7037037037037035E-4</v>
      </c>
      <c r="L369" s="11">
        <v>87.466666666666669</v>
      </c>
      <c r="M369" s="3">
        <v>0.53333333333333333</v>
      </c>
      <c r="N369" s="4">
        <v>32</v>
      </c>
      <c r="O369" s="2">
        <v>1.5393518518518519E-3</v>
      </c>
      <c r="P369" s="9">
        <v>363.53333333333336</v>
      </c>
      <c r="Q369" s="3">
        <v>2.2166666666666668</v>
      </c>
      <c r="R369" s="4">
        <v>133</v>
      </c>
      <c r="S369" s="3">
        <v>97</v>
      </c>
      <c r="T369" s="1">
        <v>0.59179999999999999</v>
      </c>
      <c r="U369" s="6">
        <v>97.055199999999999</v>
      </c>
    </row>
    <row r="370" spans="1:21" x14ac:dyDescent="0.35">
      <c r="A370">
        <v>369</v>
      </c>
      <c r="B370" s="5">
        <v>44565</v>
      </c>
      <c r="C370" s="4">
        <v>2022</v>
      </c>
      <c r="D370" s="4">
        <v>1</v>
      </c>
      <c r="E370" s="14">
        <v>44565</v>
      </c>
      <c r="F370" s="4">
        <v>4</v>
      </c>
      <c r="G370">
        <v>30</v>
      </c>
      <c r="H370">
        <v>27</v>
      </c>
      <c r="I370" s="13">
        <v>0.9</v>
      </c>
      <c r="J370">
        <v>3</v>
      </c>
      <c r="K370" s="2">
        <v>3.7037037037037035E-4</v>
      </c>
      <c r="L370" s="11">
        <v>14.4</v>
      </c>
      <c r="M370" s="3">
        <v>0.53333333333333333</v>
      </c>
      <c r="N370" s="4">
        <v>32</v>
      </c>
      <c r="O370" s="2">
        <v>1.7824074074074075E-3</v>
      </c>
      <c r="P370" s="9">
        <v>69.3</v>
      </c>
      <c r="Q370" s="3">
        <v>2.5666666666666664</v>
      </c>
      <c r="R370" s="4">
        <v>154</v>
      </c>
      <c r="S370" s="3">
        <v>16</v>
      </c>
      <c r="T370" s="1">
        <v>0.60709999999999997</v>
      </c>
      <c r="U370" s="6">
        <v>16.3917</v>
      </c>
    </row>
    <row r="371" spans="1:21" x14ac:dyDescent="0.35">
      <c r="A371">
        <v>370</v>
      </c>
      <c r="B371" s="5">
        <v>44566</v>
      </c>
      <c r="C371" s="4">
        <v>2022</v>
      </c>
      <c r="D371" s="4">
        <v>1</v>
      </c>
      <c r="E371" s="14">
        <v>44566</v>
      </c>
      <c r="F371" s="4">
        <v>5</v>
      </c>
      <c r="G371">
        <v>176</v>
      </c>
      <c r="H371">
        <v>163</v>
      </c>
      <c r="I371" s="13">
        <v>0.92</v>
      </c>
      <c r="J371">
        <v>13</v>
      </c>
      <c r="K371" s="2">
        <v>4.3981481481481481E-4</v>
      </c>
      <c r="L371" s="11">
        <v>103.23333333333333</v>
      </c>
      <c r="M371" s="3">
        <v>0.6333333333333333</v>
      </c>
      <c r="N371" s="4">
        <v>38</v>
      </c>
      <c r="O371" s="2">
        <v>1.4467592592592592E-3</v>
      </c>
      <c r="P371" s="9">
        <v>339.58333333333337</v>
      </c>
      <c r="Q371" s="3">
        <v>2.0833333333333335</v>
      </c>
      <c r="R371" s="4">
        <v>125.00000000000001</v>
      </c>
      <c r="S371" s="3">
        <v>88</v>
      </c>
      <c r="T371" s="1">
        <v>0.54290000000000005</v>
      </c>
      <c r="U371" s="6">
        <v>88.492700000000013</v>
      </c>
    </row>
    <row r="372" spans="1:21" x14ac:dyDescent="0.35">
      <c r="A372">
        <v>371</v>
      </c>
      <c r="B372" s="5">
        <v>44567</v>
      </c>
      <c r="C372" s="4">
        <v>2022</v>
      </c>
      <c r="D372" s="4">
        <v>1</v>
      </c>
      <c r="E372" s="14">
        <v>44567</v>
      </c>
      <c r="F372" s="4">
        <v>6</v>
      </c>
      <c r="G372">
        <v>162</v>
      </c>
      <c r="H372">
        <v>144</v>
      </c>
      <c r="I372" s="13">
        <v>0.88</v>
      </c>
      <c r="J372">
        <v>18</v>
      </c>
      <c r="K372" s="2">
        <v>4.7453703703703704E-4</v>
      </c>
      <c r="L372" s="11">
        <v>98.4</v>
      </c>
      <c r="M372" s="3">
        <v>0.68333333333333335</v>
      </c>
      <c r="N372" s="4">
        <v>41</v>
      </c>
      <c r="O372" s="2">
        <v>1.6782407407407408E-3</v>
      </c>
      <c r="P372" s="9">
        <v>348</v>
      </c>
      <c r="Q372" s="3">
        <v>2.4166666666666665</v>
      </c>
      <c r="R372" s="4">
        <v>145</v>
      </c>
      <c r="S372" s="3">
        <v>72</v>
      </c>
      <c r="T372" s="1">
        <v>0.50309999999999999</v>
      </c>
      <c r="U372" s="6">
        <v>72.446399999999997</v>
      </c>
    </row>
    <row r="373" spans="1:21" x14ac:dyDescent="0.35">
      <c r="A373">
        <v>372</v>
      </c>
      <c r="B373" s="5">
        <v>44568</v>
      </c>
      <c r="C373" s="4">
        <v>2022</v>
      </c>
      <c r="D373" s="4">
        <v>1</v>
      </c>
      <c r="E373" s="14">
        <v>44568</v>
      </c>
      <c r="F373" s="4">
        <v>7</v>
      </c>
      <c r="G373">
        <v>169</v>
      </c>
      <c r="H373">
        <v>157</v>
      </c>
      <c r="I373" s="13">
        <v>0.92</v>
      </c>
      <c r="J373">
        <v>12</v>
      </c>
      <c r="K373" s="2">
        <v>3.3564814814814812E-4</v>
      </c>
      <c r="L373" s="11">
        <v>75.88333333333334</v>
      </c>
      <c r="M373" s="3">
        <v>0.48333333333333334</v>
      </c>
      <c r="N373" s="4">
        <v>29</v>
      </c>
      <c r="O373" s="2">
        <v>1.724537037037037E-3</v>
      </c>
      <c r="P373" s="9">
        <v>389.88333333333333</v>
      </c>
      <c r="Q373" s="3">
        <v>2.4833333333333334</v>
      </c>
      <c r="R373" s="4">
        <v>149</v>
      </c>
      <c r="S373" s="3">
        <v>84</v>
      </c>
      <c r="T373" s="1">
        <v>0.53890000000000005</v>
      </c>
      <c r="U373" s="6">
        <v>84.607300000000009</v>
      </c>
    </row>
    <row r="374" spans="1:21" x14ac:dyDescent="0.35">
      <c r="A374">
        <v>373</v>
      </c>
      <c r="B374" s="5">
        <v>44569</v>
      </c>
      <c r="C374" s="4">
        <v>2022</v>
      </c>
      <c r="D374" s="4">
        <v>1</v>
      </c>
      <c r="E374" s="14">
        <v>44569</v>
      </c>
      <c r="F374" s="4">
        <v>8</v>
      </c>
      <c r="G374">
        <v>155</v>
      </c>
      <c r="H374">
        <v>146</v>
      </c>
      <c r="I374" s="13">
        <v>0.94</v>
      </c>
      <c r="J374">
        <v>9</v>
      </c>
      <c r="K374" s="2">
        <v>3.4722222222222224E-4</v>
      </c>
      <c r="L374" s="11">
        <v>73</v>
      </c>
      <c r="M374" s="3">
        <v>0.5</v>
      </c>
      <c r="N374" s="4">
        <v>30</v>
      </c>
      <c r="O374" s="2">
        <v>1.5972222222222223E-3</v>
      </c>
      <c r="P374" s="9">
        <v>335.79999999999995</v>
      </c>
      <c r="Q374" s="3">
        <v>2.2999999999999998</v>
      </c>
      <c r="R374" s="4">
        <v>138</v>
      </c>
      <c r="S374" s="3">
        <v>74</v>
      </c>
      <c r="T374" s="1">
        <v>0.50980000000000003</v>
      </c>
      <c r="U374" s="6">
        <v>74.430800000000005</v>
      </c>
    </row>
    <row r="375" spans="1:21" x14ac:dyDescent="0.35">
      <c r="A375">
        <v>374</v>
      </c>
      <c r="B375" s="5">
        <v>44570</v>
      </c>
      <c r="C375" s="4">
        <v>2022</v>
      </c>
      <c r="D375" s="4">
        <v>1</v>
      </c>
      <c r="E375" s="14">
        <v>44570</v>
      </c>
      <c r="F375" s="4">
        <v>9</v>
      </c>
      <c r="G375">
        <v>247</v>
      </c>
      <c r="H375">
        <v>205</v>
      </c>
      <c r="I375" s="13">
        <v>0.82</v>
      </c>
      <c r="J375">
        <v>42</v>
      </c>
      <c r="K375" s="2">
        <v>5.6712962962962967E-4</v>
      </c>
      <c r="L375" s="11">
        <v>167.41666666666666</v>
      </c>
      <c r="M375" s="3">
        <v>0.81666666666666665</v>
      </c>
      <c r="N375" s="4">
        <v>49</v>
      </c>
      <c r="O375" s="2">
        <v>1.6898148148148148E-3</v>
      </c>
      <c r="P375" s="9">
        <v>498.83333333333337</v>
      </c>
      <c r="Q375" s="3">
        <v>2.4333333333333336</v>
      </c>
      <c r="R375" s="4">
        <v>146</v>
      </c>
      <c r="S375" s="3">
        <v>78</v>
      </c>
      <c r="T375" s="1">
        <v>0.38490000000000002</v>
      </c>
      <c r="U375" s="6">
        <v>78.904499999999999</v>
      </c>
    </row>
    <row r="376" spans="1:21" x14ac:dyDescent="0.35">
      <c r="A376">
        <v>375</v>
      </c>
      <c r="B376" s="5">
        <v>44571</v>
      </c>
      <c r="C376" s="4">
        <v>2022</v>
      </c>
      <c r="D376" s="4">
        <v>1</v>
      </c>
      <c r="E376" s="14">
        <v>44571</v>
      </c>
      <c r="F376" s="4">
        <v>10</v>
      </c>
      <c r="G376">
        <v>191</v>
      </c>
      <c r="H376">
        <v>186</v>
      </c>
      <c r="I376" s="13">
        <v>0.97</v>
      </c>
      <c r="J376">
        <v>5</v>
      </c>
      <c r="K376" s="2">
        <v>2.7777777777777778E-4</v>
      </c>
      <c r="L376" s="11">
        <v>74.400000000000006</v>
      </c>
      <c r="M376" s="3">
        <v>0.4</v>
      </c>
      <c r="N376" s="4">
        <v>24</v>
      </c>
      <c r="O376" s="2">
        <v>1.5509259259259259E-3</v>
      </c>
      <c r="P376" s="9">
        <v>415.40000000000003</v>
      </c>
      <c r="Q376" s="3">
        <v>2.2333333333333334</v>
      </c>
      <c r="R376" s="4">
        <v>134</v>
      </c>
      <c r="S376" s="3">
        <v>131</v>
      </c>
      <c r="T376" s="1">
        <v>0.70530000000000004</v>
      </c>
      <c r="U376" s="6">
        <v>131.1858</v>
      </c>
    </row>
    <row r="377" spans="1:21" x14ac:dyDescent="0.35">
      <c r="A377">
        <v>376</v>
      </c>
      <c r="B377" s="5">
        <v>44572</v>
      </c>
      <c r="C377" s="4">
        <v>2022</v>
      </c>
      <c r="D377" s="4">
        <v>1</v>
      </c>
      <c r="E377" s="14">
        <v>44572</v>
      </c>
      <c r="F377" s="4">
        <v>11</v>
      </c>
      <c r="G377">
        <v>30</v>
      </c>
      <c r="H377">
        <v>29</v>
      </c>
      <c r="I377" s="13">
        <v>0.96</v>
      </c>
      <c r="J377">
        <v>1</v>
      </c>
      <c r="K377" s="2">
        <v>6.9444444444444444E-5</v>
      </c>
      <c r="L377" s="11">
        <v>2.9000000000000004</v>
      </c>
      <c r="M377" s="3">
        <v>0.1</v>
      </c>
      <c r="N377" s="4">
        <v>6</v>
      </c>
      <c r="O377" s="2">
        <v>1.5625000000000001E-3</v>
      </c>
      <c r="P377" s="9">
        <v>65.25</v>
      </c>
      <c r="Q377" s="3">
        <v>2.25</v>
      </c>
      <c r="R377" s="4">
        <v>135</v>
      </c>
      <c r="S377" s="3">
        <v>27</v>
      </c>
      <c r="T377" s="1">
        <v>0.93330000000000002</v>
      </c>
      <c r="U377" s="6">
        <v>27.0657</v>
      </c>
    </row>
    <row r="378" spans="1:21" x14ac:dyDescent="0.35">
      <c r="A378">
        <v>377</v>
      </c>
      <c r="B378" s="5">
        <v>44573</v>
      </c>
      <c r="C378" s="4">
        <v>2022</v>
      </c>
      <c r="D378" s="4">
        <v>1</v>
      </c>
      <c r="E378" s="14">
        <v>44573</v>
      </c>
      <c r="F378" s="4">
        <v>12</v>
      </c>
      <c r="G378">
        <v>316</v>
      </c>
      <c r="H378">
        <v>290</v>
      </c>
      <c r="I378" s="13">
        <v>0.91</v>
      </c>
      <c r="J378">
        <v>26</v>
      </c>
      <c r="K378" s="2">
        <v>3.5879629629629629E-4</v>
      </c>
      <c r="L378" s="11">
        <v>149.83333333333334</v>
      </c>
      <c r="M378" s="3">
        <v>0.51666666666666672</v>
      </c>
      <c r="N378" s="4">
        <v>31.000000000000004</v>
      </c>
      <c r="O378" s="2">
        <v>1.6319444444444445E-3</v>
      </c>
      <c r="P378" s="9">
        <v>681.5</v>
      </c>
      <c r="Q378" s="3">
        <v>2.35</v>
      </c>
      <c r="R378" s="4">
        <v>141</v>
      </c>
      <c r="S378" s="3">
        <v>171</v>
      </c>
      <c r="T378" s="1">
        <v>0.59160000000000001</v>
      </c>
      <c r="U378" s="6">
        <v>171.56399999999999</v>
      </c>
    </row>
    <row r="379" spans="1:21" x14ac:dyDescent="0.35">
      <c r="A379">
        <v>378</v>
      </c>
      <c r="B379" s="5">
        <v>44574</v>
      </c>
      <c r="C379" s="4">
        <v>2022</v>
      </c>
      <c r="D379" s="4">
        <v>1</v>
      </c>
      <c r="E379" s="14">
        <v>44574</v>
      </c>
      <c r="F379" s="4">
        <v>13</v>
      </c>
      <c r="G379">
        <v>211</v>
      </c>
      <c r="H379">
        <v>195</v>
      </c>
      <c r="I379" s="13">
        <v>0.92</v>
      </c>
      <c r="J379">
        <v>16</v>
      </c>
      <c r="K379" s="2">
        <v>3.9351851851851852E-4</v>
      </c>
      <c r="L379" s="11">
        <v>110.5</v>
      </c>
      <c r="M379" s="3">
        <v>0.56666666666666665</v>
      </c>
      <c r="N379" s="4">
        <v>34</v>
      </c>
      <c r="O379" s="2">
        <v>1.6319444444444445E-3</v>
      </c>
      <c r="P379" s="9">
        <v>458.25</v>
      </c>
      <c r="Q379" s="3">
        <v>2.35</v>
      </c>
      <c r="R379" s="4">
        <v>141</v>
      </c>
      <c r="S379" s="3">
        <v>108</v>
      </c>
      <c r="T379" s="1">
        <v>0.55769999999999997</v>
      </c>
      <c r="U379" s="6">
        <v>108.75149999999999</v>
      </c>
    </row>
    <row r="380" spans="1:21" x14ac:dyDescent="0.35">
      <c r="A380">
        <v>379</v>
      </c>
      <c r="B380" s="5">
        <v>44575</v>
      </c>
      <c r="C380" s="4">
        <v>2022</v>
      </c>
      <c r="D380" s="4">
        <v>1</v>
      </c>
      <c r="E380" s="14">
        <v>44575</v>
      </c>
      <c r="F380" s="4">
        <v>14</v>
      </c>
      <c r="G380">
        <v>208</v>
      </c>
      <c r="H380">
        <v>169</v>
      </c>
      <c r="I380" s="13">
        <v>0.81</v>
      </c>
      <c r="J380">
        <v>39</v>
      </c>
      <c r="K380" s="2">
        <v>5.2083333333333333E-4</v>
      </c>
      <c r="L380" s="11">
        <v>126.75</v>
      </c>
      <c r="M380" s="3">
        <v>0.75</v>
      </c>
      <c r="N380" s="4">
        <v>45</v>
      </c>
      <c r="O380" s="2">
        <v>1.5972222222222223E-3</v>
      </c>
      <c r="P380" s="9">
        <v>388.7</v>
      </c>
      <c r="Q380" s="3">
        <v>2.2999999999999998</v>
      </c>
      <c r="R380" s="4">
        <v>138</v>
      </c>
      <c r="S380" s="3">
        <v>77</v>
      </c>
      <c r="T380" s="1">
        <v>0.45850000000000002</v>
      </c>
      <c r="U380" s="6">
        <v>77.486500000000007</v>
      </c>
    </row>
    <row r="381" spans="1:21" x14ac:dyDescent="0.35">
      <c r="A381">
        <v>380</v>
      </c>
      <c r="B381" s="5">
        <v>44576</v>
      </c>
      <c r="C381" s="4">
        <v>2022</v>
      </c>
      <c r="D381" s="4">
        <v>1</v>
      </c>
      <c r="E381" s="14">
        <v>44576</v>
      </c>
      <c r="F381" s="4">
        <v>15</v>
      </c>
      <c r="G381">
        <v>130</v>
      </c>
      <c r="H381">
        <v>124</v>
      </c>
      <c r="I381" s="13">
        <v>0.95</v>
      </c>
      <c r="J381">
        <v>6</v>
      </c>
      <c r="K381" s="2">
        <v>2.5462962962962961E-4</v>
      </c>
      <c r="L381" s="11">
        <v>45.466666666666661</v>
      </c>
      <c r="M381" s="3">
        <v>0.36666666666666664</v>
      </c>
      <c r="N381" s="4">
        <v>22</v>
      </c>
      <c r="O381" s="2">
        <v>1.5856481481481481E-3</v>
      </c>
      <c r="P381" s="9">
        <v>283.13333333333333</v>
      </c>
      <c r="Q381" s="3">
        <v>2.2833333333333332</v>
      </c>
      <c r="R381" s="4">
        <v>137</v>
      </c>
      <c r="S381" s="3">
        <v>85</v>
      </c>
      <c r="T381" s="1">
        <v>0.68989999999999996</v>
      </c>
      <c r="U381" s="6">
        <v>85.547599999999989</v>
      </c>
    </row>
    <row r="382" spans="1:21" x14ac:dyDescent="0.35">
      <c r="A382">
        <v>381</v>
      </c>
      <c r="B382" s="5">
        <v>44577</v>
      </c>
      <c r="C382" s="4">
        <v>2022</v>
      </c>
      <c r="D382" s="4">
        <v>1</v>
      </c>
      <c r="E382" s="14">
        <v>44577</v>
      </c>
      <c r="F382" s="4">
        <v>16</v>
      </c>
      <c r="G382">
        <v>134</v>
      </c>
      <c r="H382">
        <v>129</v>
      </c>
      <c r="I382" s="13">
        <v>0.96</v>
      </c>
      <c r="J382">
        <v>5</v>
      </c>
      <c r="K382" s="2">
        <v>2.7777777777777778E-4</v>
      </c>
      <c r="L382" s="11">
        <v>51.6</v>
      </c>
      <c r="M382" s="3">
        <v>0.4</v>
      </c>
      <c r="N382" s="4">
        <v>24</v>
      </c>
      <c r="O382" s="2">
        <v>1.5277777777777779E-3</v>
      </c>
      <c r="P382" s="9">
        <v>283.8</v>
      </c>
      <c r="Q382" s="3">
        <v>2.2000000000000002</v>
      </c>
      <c r="R382" s="4">
        <v>132</v>
      </c>
      <c r="S382" s="3">
        <v>91</v>
      </c>
      <c r="T382" s="1">
        <v>0.70899999999999996</v>
      </c>
      <c r="U382" s="6">
        <v>91.460999999999999</v>
      </c>
    </row>
    <row r="383" spans="1:21" x14ac:dyDescent="0.35">
      <c r="A383">
        <v>382</v>
      </c>
      <c r="B383" s="5">
        <v>44578</v>
      </c>
      <c r="C383" s="4">
        <v>2022</v>
      </c>
      <c r="D383" s="4">
        <v>1</v>
      </c>
      <c r="E383" s="14">
        <v>44578</v>
      </c>
      <c r="F383" s="4">
        <v>17</v>
      </c>
      <c r="G383">
        <v>124</v>
      </c>
      <c r="H383">
        <v>121</v>
      </c>
      <c r="I383" s="13">
        <v>0.97</v>
      </c>
      <c r="J383">
        <v>3</v>
      </c>
      <c r="K383" s="2">
        <v>3.1250000000000001E-4</v>
      </c>
      <c r="L383" s="11">
        <v>54.45</v>
      </c>
      <c r="M383" s="3">
        <v>0.45</v>
      </c>
      <c r="N383" s="4">
        <v>27</v>
      </c>
      <c r="O383" s="2">
        <v>1.6087962962962963E-3</v>
      </c>
      <c r="P383" s="9">
        <v>280.31666666666666</v>
      </c>
      <c r="Q383" s="3">
        <v>2.3166666666666664</v>
      </c>
      <c r="R383" s="4">
        <v>139</v>
      </c>
      <c r="S383" s="3">
        <v>85</v>
      </c>
      <c r="T383" s="1">
        <v>0.70730000000000004</v>
      </c>
      <c r="U383" s="6">
        <v>85.583300000000008</v>
      </c>
    </row>
    <row r="384" spans="1:21" x14ac:dyDescent="0.35">
      <c r="A384">
        <v>383</v>
      </c>
      <c r="B384" s="5">
        <v>44579</v>
      </c>
      <c r="C384" s="4">
        <v>2022</v>
      </c>
      <c r="D384" s="4">
        <v>1</v>
      </c>
      <c r="E384" s="14">
        <v>44579</v>
      </c>
      <c r="F384" s="4">
        <v>18</v>
      </c>
      <c r="G384">
        <v>47</v>
      </c>
      <c r="H384">
        <v>43</v>
      </c>
      <c r="I384" s="13">
        <v>0.91</v>
      </c>
      <c r="J384">
        <v>4</v>
      </c>
      <c r="K384" s="2">
        <v>4.2824074074074075E-4</v>
      </c>
      <c r="L384" s="11">
        <v>26.516666666666669</v>
      </c>
      <c r="M384" s="3">
        <v>0.6166666666666667</v>
      </c>
      <c r="N384" s="4">
        <v>37</v>
      </c>
      <c r="O384" s="2">
        <v>1.5972222222222223E-3</v>
      </c>
      <c r="P384" s="9">
        <v>98.899999999999991</v>
      </c>
      <c r="Q384" s="3">
        <v>2.2999999999999998</v>
      </c>
      <c r="R384" s="4">
        <v>138</v>
      </c>
      <c r="S384" s="3">
        <v>23</v>
      </c>
      <c r="T384" s="1">
        <v>0.54349999999999998</v>
      </c>
      <c r="U384" s="6">
        <v>23.3705</v>
      </c>
    </row>
    <row r="385" spans="1:21" x14ac:dyDescent="0.35">
      <c r="A385">
        <v>384</v>
      </c>
      <c r="B385" s="5">
        <v>44580</v>
      </c>
      <c r="C385" s="4">
        <v>2022</v>
      </c>
      <c r="D385" s="4">
        <v>1</v>
      </c>
      <c r="E385" s="14">
        <v>44580</v>
      </c>
      <c r="F385" s="4">
        <v>19</v>
      </c>
      <c r="G385">
        <v>197</v>
      </c>
      <c r="H385">
        <v>186</v>
      </c>
      <c r="I385" s="13">
        <v>0.94</v>
      </c>
      <c r="J385">
        <v>11</v>
      </c>
      <c r="K385" s="2">
        <v>3.2407407407407406E-4</v>
      </c>
      <c r="L385" s="11">
        <v>86.8</v>
      </c>
      <c r="M385" s="3">
        <v>0.46666666666666667</v>
      </c>
      <c r="N385" s="4">
        <v>28</v>
      </c>
      <c r="O385" s="2">
        <v>1.5972222222222223E-3</v>
      </c>
      <c r="P385" s="9">
        <v>427.79999999999995</v>
      </c>
      <c r="Q385" s="3">
        <v>2.2999999999999998</v>
      </c>
      <c r="R385" s="4">
        <v>138</v>
      </c>
      <c r="S385" s="3">
        <v>118</v>
      </c>
      <c r="T385" s="1">
        <v>0.63829999999999998</v>
      </c>
      <c r="U385" s="6">
        <v>118.7238</v>
      </c>
    </row>
    <row r="386" spans="1:21" x14ac:dyDescent="0.35">
      <c r="A386">
        <v>385</v>
      </c>
      <c r="B386" s="5">
        <v>44581</v>
      </c>
      <c r="C386" s="4">
        <v>2022</v>
      </c>
      <c r="D386" s="4">
        <v>1</v>
      </c>
      <c r="E386" s="14">
        <v>44581</v>
      </c>
      <c r="F386" s="4">
        <v>20</v>
      </c>
      <c r="G386">
        <v>158</v>
      </c>
      <c r="H386">
        <v>146</v>
      </c>
      <c r="I386" s="13">
        <v>0.92</v>
      </c>
      <c r="J386">
        <v>12</v>
      </c>
      <c r="K386" s="2">
        <v>3.5879629629629629E-4</v>
      </c>
      <c r="L386" s="11">
        <v>75.433333333333337</v>
      </c>
      <c r="M386" s="3">
        <v>0.51666666666666672</v>
      </c>
      <c r="N386" s="4">
        <v>31.000000000000004</v>
      </c>
      <c r="O386" s="2">
        <v>1.6666666666666668E-3</v>
      </c>
      <c r="P386" s="9">
        <v>350.4</v>
      </c>
      <c r="Q386" s="3">
        <v>2.4</v>
      </c>
      <c r="R386" s="4">
        <v>144</v>
      </c>
      <c r="S386" s="3">
        <v>83</v>
      </c>
      <c r="T386" s="1">
        <v>0.5696</v>
      </c>
      <c r="U386" s="6">
        <v>83.161599999999993</v>
      </c>
    </row>
    <row r="387" spans="1:21" x14ac:dyDescent="0.35">
      <c r="A387">
        <v>386</v>
      </c>
      <c r="B387" s="5">
        <v>44582</v>
      </c>
      <c r="C387" s="4">
        <v>2022</v>
      </c>
      <c r="D387" s="4">
        <v>1</v>
      </c>
      <c r="E387" s="14">
        <v>44582</v>
      </c>
      <c r="F387" s="4">
        <v>21</v>
      </c>
      <c r="G387">
        <v>163</v>
      </c>
      <c r="H387">
        <v>151</v>
      </c>
      <c r="I387" s="13">
        <v>0.92</v>
      </c>
      <c r="J387">
        <v>12</v>
      </c>
      <c r="K387" s="2">
        <v>3.2407407407407406E-4</v>
      </c>
      <c r="L387" s="11">
        <v>70.466666666666669</v>
      </c>
      <c r="M387" s="3">
        <v>0.46666666666666667</v>
      </c>
      <c r="N387" s="4">
        <v>28</v>
      </c>
      <c r="O387" s="2">
        <v>1.5393518518518519E-3</v>
      </c>
      <c r="P387" s="9">
        <v>334.7166666666667</v>
      </c>
      <c r="Q387" s="3">
        <v>2.2166666666666668</v>
      </c>
      <c r="R387" s="4">
        <v>133</v>
      </c>
      <c r="S387" s="3">
        <v>96</v>
      </c>
      <c r="T387" s="1">
        <v>0.63749999999999996</v>
      </c>
      <c r="U387" s="6">
        <v>96.262499999999989</v>
      </c>
    </row>
    <row r="388" spans="1:21" x14ac:dyDescent="0.35">
      <c r="A388">
        <v>387</v>
      </c>
      <c r="B388" s="5">
        <v>44583</v>
      </c>
      <c r="C388" s="4">
        <v>2022</v>
      </c>
      <c r="D388" s="4">
        <v>1</v>
      </c>
      <c r="E388" s="14">
        <v>44583</v>
      </c>
      <c r="F388" s="4">
        <v>22</v>
      </c>
      <c r="G388">
        <v>178</v>
      </c>
      <c r="H388">
        <v>160</v>
      </c>
      <c r="I388" s="13">
        <v>0.89</v>
      </c>
      <c r="J388">
        <v>18</v>
      </c>
      <c r="K388" s="2">
        <v>4.0509259259259258E-4</v>
      </c>
      <c r="L388" s="11">
        <v>93.333333333333343</v>
      </c>
      <c r="M388" s="3">
        <v>0.58333333333333337</v>
      </c>
      <c r="N388" s="4">
        <v>35</v>
      </c>
      <c r="O388" s="2">
        <v>1.8402777777777777E-3</v>
      </c>
      <c r="P388" s="9">
        <v>424</v>
      </c>
      <c r="Q388" s="3">
        <v>2.65</v>
      </c>
      <c r="R388" s="4">
        <v>159</v>
      </c>
      <c r="S388" s="3">
        <v>87</v>
      </c>
      <c r="T388" s="1">
        <v>0.54490000000000005</v>
      </c>
      <c r="U388" s="6">
        <v>87.184000000000012</v>
      </c>
    </row>
    <row r="389" spans="1:21" x14ac:dyDescent="0.35">
      <c r="A389">
        <v>388</v>
      </c>
      <c r="B389" s="5">
        <v>44584</v>
      </c>
      <c r="C389" s="4">
        <v>2022</v>
      </c>
      <c r="D389" s="4">
        <v>1</v>
      </c>
      <c r="E389" s="14">
        <v>44584</v>
      </c>
      <c r="F389" s="4">
        <v>23</v>
      </c>
      <c r="G389">
        <v>151</v>
      </c>
      <c r="H389">
        <v>128</v>
      </c>
      <c r="I389" s="13">
        <v>0.84</v>
      </c>
      <c r="J389">
        <v>23</v>
      </c>
      <c r="K389" s="2">
        <v>4.0509259259259258E-4</v>
      </c>
      <c r="L389" s="11">
        <v>74.666666666666671</v>
      </c>
      <c r="M389" s="3">
        <v>0.58333333333333337</v>
      </c>
      <c r="N389" s="4">
        <v>35</v>
      </c>
      <c r="O389" s="2">
        <v>1.6550925925925926E-3</v>
      </c>
      <c r="P389" s="9">
        <v>305.06666666666666</v>
      </c>
      <c r="Q389" s="3">
        <v>2.3833333333333333</v>
      </c>
      <c r="R389" s="4">
        <v>143</v>
      </c>
      <c r="S389" s="3">
        <v>68</v>
      </c>
      <c r="T389" s="1">
        <v>0.53380000000000005</v>
      </c>
      <c r="U389" s="6">
        <v>68.326400000000007</v>
      </c>
    </row>
    <row r="390" spans="1:21" x14ac:dyDescent="0.35">
      <c r="A390">
        <v>389</v>
      </c>
      <c r="B390" s="5">
        <v>44585</v>
      </c>
      <c r="C390" s="4">
        <v>2022</v>
      </c>
      <c r="D390" s="4">
        <v>1</v>
      </c>
      <c r="E390" s="14">
        <v>44585</v>
      </c>
      <c r="F390" s="4">
        <v>24</v>
      </c>
      <c r="G390">
        <v>118</v>
      </c>
      <c r="H390">
        <v>106</v>
      </c>
      <c r="I390" s="13">
        <v>0.89</v>
      </c>
      <c r="J390">
        <v>12</v>
      </c>
      <c r="K390" s="2">
        <v>3.8194444444444446E-4</v>
      </c>
      <c r="L390" s="11">
        <v>58.300000000000004</v>
      </c>
      <c r="M390" s="3">
        <v>0.55000000000000004</v>
      </c>
      <c r="N390" s="4">
        <v>33</v>
      </c>
      <c r="O390" s="2">
        <v>1.6782407407407408E-3</v>
      </c>
      <c r="P390" s="9">
        <v>256.16666666666663</v>
      </c>
      <c r="Q390" s="3">
        <v>2.4166666666666665</v>
      </c>
      <c r="R390" s="4">
        <v>145</v>
      </c>
      <c r="S390" s="3">
        <v>58</v>
      </c>
      <c r="T390" s="1">
        <v>0.55169999999999997</v>
      </c>
      <c r="U390" s="6">
        <v>58.480199999999996</v>
      </c>
    </row>
    <row r="391" spans="1:21" x14ac:dyDescent="0.35">
      <c r="A391">
        <v>390</v>
      </c>
      <c r="B391" s="5">
        <v>44586</v>
      </c>
      <c r="C391" s="4">
        <v>2022</v>
      </c>
      <c r="D391" s="4">
        <v>1</v>
      </c>
      <c r="E391" s="14">
        <v>44586</v>
      </c>
      <c r="F391" s="4">
        <v>25</v>
      </c>
      <c r="G391">
        <v>31</v>
      </c>
      <c r="H391">
        <v>28</v>
      </c>
      <c r="I391" s="13">
        <v>0.9</v>
      </c>
      <c r="J391">
        <v>3</v>
      </c>
      <c r="K391" s="2">
        <v>4.6296296296296298E-4</v>
      </c>
      <c r="L391" s="11">
        <v>18.666666666666664</v>
      </c>
      <c r="M391" s="3">
        <v>0.66666666666666663</v>
      </c>
      <c r="N391" s="4">
        <v>40</v>
      </c>
      <c r="O391" s="2">
        <v>1.8518518518518519E-3</v>
      </c>
      <c r="P391" s="9">
        <v>74.666666666666657</v>
      </c>
      <c r="Q391" s="3">
        <v>2.6666666666666665</v>
      </c>
      <c r="R391" s="4">
        <v>160</v>
      </c>
      <c r="S391" s="3">
        <v>12</v>
      </c>
      <c r="T391" s="1">
        <v>0.43330000000000002</v>
      </c>
      <c r="U391" s="6">
        <v>12.132400000000001</v>
      </c>
    </row>
    <row r="392" spans="1:21" x14ac:dyDescent="0.35">
      <c r="A392">
        <v>391</v>
      </c>
      <c r="B392" s="5">
        <v>44587</v>
      </c>
      <c r="C392" s="4">
        <v>2022</v>
      </c>
      <c r="D392" s="4">
        <v>1</v>
      </c>
      <c r="E392" s="14">
        <v>44587</v>
      </c>
      <c r="F392" s="4">
        <v>26</v>
      </c>
      <c r="G392">
        <v>139</v>
      </c>
      <c r="H392">
        <v>134</v>
      </c>
      <c r="I392" s="13">
        <v>0.96</v>
      </c>
      <c r="J392">
        <v>5</v>
      </c>
      <c r="K392" s="2">
        <v>3.5879629629629629E-4</v>
      </c>
      <c r="L392" s="11">
        <v>69.233333333333334</v>
      </c>
      <c r="M392" s="3">
        <v>0.51666666666666672</v>
      </c>
      <c r="N392" s="4">
        <v>31.000000000000004</v>
      </c>
      <c r="O392" s="2">
        <v>1.6550925925925926E-3</v>
      </c>
      <c r="P392" s="9">
        <v>319.36666666666667</v>
      </c>
      <c r="Q392" s="3">
        <v>2.3833333333333333</v>
      </c>
      <c r="R392" s="4">
        <v>143</v>
      </c>
      <c r="S392" s="3">
        <v>79</v>
      </c>
      <c r="T392" s="1">
        <v>0.59419999999999995</v>
      </c>
      <c r="U392" s="6">
        <v>79.622799999999998</v>
      </c>
    </row>
    <row r="393" spans="1:21" x14ac:dyDescent="0.35">
      <c r="A393">
        <v>392</v>
      </c>
      <c r="B393" s="5">
        <v>44588</v>
      </c>
      <c r="C393" s="4">
        <v>2022</v>
      </c>
      <c r="D393" s="4">
        <v>1</v>
      </c>
      <c r="E393" s="14">
        <v>44588</v>
      </c>
      <c r="F393" s="4">
        <v>27</v>
      </c>
      <c r="G393">
        <v>171</v>
      </c>
      <c r="H393">
        <v>154</v>
      </c>
      <c r="I393" s="13">
        <v>0.9</v>
      </c>
      <c r="J393">
        <v>17</v>
      </c>
      <c r="K393" s="2">
        <v>3.1250000000000001E-4</v>
      </c>
      <c r="L393" s="11">
        <v>69.3</v>
      </c>
      <c r="M393" s="3">
        <v>0.45</v>
      </c>
      <c r="N393" s="4">
        <v>27</v>
      </c>
      <c r="O393" s="2">
        <v>1.6666666666666668E-3</v>
      </c>
      <c r="P393" s="9">
        <v>369.59999999999997</v>
      </c>
      <c r="Q393" s="3">
        <v>2.4</v>
      </c>
      <c r="R393" s="4">
        <v>144</v>
      </c>
      <c r="S393" s="3">
        <v>101</v>
      </c>
      <c r="T393" s="1">
        <v>0.65659999999999996</v>
      </c>
      <c r="U393" s="6">
        <v>101.1164</v>
      </c>
    </row>
    <row r="394" spans="1:21" x14ac:dyDescent="0.35">
      <c r="A394">
        <v>393</v>
      </c>
      <c r="B394" s="5">
        <v>44589</v>
      </c>
      <c r="C394" s="4">
        <v>2022</v>
      </c>
      <c r="D394" s="4">
        <v>1</v>
      </c>
      <c r="E394" s="14">
        <v>44589</v>
      </c>
      <c r="F394" s="4">
        <v>28</v>
      </c>
      <c r="G394">
        <v>160</v>
      </c>
      <c r="H394">
        <v>156</v>
      </c>
      <c r="I394" s="13">
        <v>0.97</v>
      </c>
      <c r="J394">
        <v>4</v>
      </c>
      <c r="K394" s="2">
        <v>3.1250000000000001E-4</v>
      </c>
      <c r="L394" s="11">
        <v>70.2</v>
      </c>
      <c r="M394" s="3">
        <v>0.45</v>
      </c>
      <c r="N394" s="4">
        <v>27</v>
      </c>
      <c r="O394" s="2">
        <v>1.5625000000000001E-3</v>
      </c>
      <c r="P394" s="9">
        <v>351</v>
      </c>
      <c r="Q394" s="3">
        <v>2.25</v>
      </c>
      <c r="R394" s="4">
        <v>135</v>
      </c>
      <c r="S394" s="3">
        <v>100</v>
      </c>
      <c r="T394" s="1">
        <v>0.64559999999999995</v>
      </c>
      <c r="U394" s="6">
        <v>100.71359999999999</v>
      </c>
    </row>
    <row r="395" spans="1:21" x14ac:dyDescent="0.35">
      <c r="A395">
        <v>394</v>
      </c>
      <c r="B395" s="5">
        <v>44590</v>
      </c>
      <c r="C395" s="4">
        <v>2022</v>
      </c>
      <c r="D395" s="4">
        <v>1</v>
      </c>
      <c r="E395" s="14">
        <v>44590</v>
      </c>
      <c r="F395" s="4">
        <v>29</v>
      </c>
      <c r="G395">
        <v>177</v>
      </c>
      <c r="H395">
        <v>169</v>
      </c>
      <c r="I395" s="13">
        <v>0.95</v>
      </c>
      <c r="J395">
        <v>8</v>
      </c>
      <c r="K395" s="2">
        <v>3.3564814814814812E-4</v>
      </c>
      <c r="L395" s="11">
        <v>81.683333333333337</v>
      </c>
      <c r="M395" s="3">
        <v>0.48333333333333334</v>
      </c>
      <c r="N395" s="4">
        <v>29</v>
      </c>
      <c r="O395" s="2">
        <v>1.7476851851851852E-3</v>
      </c>
      <c r="P395" s="9">
        <v>425.31666666666666</v>
      </c>
      <c r="Q395" s="3">
        <v>2.5166666666666666</v>
      </c>
      <c r="R395" s="4">
        <v>151</v>
      </c>
      <c r="S395" s="3">
        <v>108</v>
      </c>
      <c r="T395" s="1">
        <v>0.64370000000000005</v>
      </c>
      <c r="U395" s="6">
        <v>108.78530000000001</v>
      </c>
    </row>
    <row r="396" spans="1:21" x14ac:dyDescent="0.35">
      <c r="A396">
        <v>395</v>
      </c>
      <c r="B396" s="5">
        <v>44591</v>
      </c>
      <c r="C396" s="4">
        <v>2022</v>
      </c>
      <c r="D396" s="4">
        <v>1</v>
      </c>
      <c r="E396" s="14">
        <v>44591</v>
      </c>
      <c r="F396" s="4">
        <v>30</v>
      </c>
      <c r="G396">
        <v>187</v>
      </c>
      <c r="H396">
        <v>180</v>
      </c>
      <c r="I396" s="13">
        <v>0.96</v>
      </c>
      <c r="J396">
        <v>7</v>
      </c>
      <c r="K396" s="2">
        <v>3.0092592592592595E-4</v>
      </c>
      <c r="L396" s="11">
        <v>78</v>
      </c>
      <c r="M396" s="3">
        <v>0.43333333333333335</v>
      </c>
      <c r="N396" s="4">
        <v>26</v>
      </c>
      <c r="O396" s="2">
        <v>1.6435185185185185E-3</v>
      </c>
      <c r="P396" s="9">
        <v>426</v>
      </c>
      <c r="Q396" s="3">
        <v>2.3666666666666667</v>
      </c>
      <c r="R396" s="4">
        <v>142</v>
      </c>
      <c r="S396" s="3">
        <v>118</v>
      </c>
      <c r="T396" s="1">
        <v>0.65590000000000004</v>
      </c>
      <c r="U396" s="6">
        <v>118.06200000000001</v>
      </c>
    </row>
    <row r="397" spans="1:21" x14ac:dyDescent="0.35">
      <c r="A397">
        <v>396</v>
      </c>
      <c r="B397" s="5">
        <v>44592</v>
      </c>
      <c r="C397" s="4">
        <v>2022</v>
      </c>
      <c r="D397" s="4">
        <v>1</v>
      </c>
      <c r="E397" s="14">
        <v>44592</v>
      </c>
      <c r="F397" s="4">
        <v>31</v>
      </c>
      <c r="G397">
        <v>147</v>
      </c>
      <c r="H397">
        <v>138</v>
      </c>
      <c r="I397" s="13">
        <v>0.93</v>
      </c>
      <c r="J397">
        <v>9</v>
      </c>
      <c r="K397" s="2">
        <v>3.0092592592592595E-4</v>
      </c>
      <c r="L397" s="11">
        <v>59.800000000000004</v>
      </c>
      <c r="M397" s="3">
        <v>0.43333333333333335</v>
      </c>
      <c r="N397" s="4">
        <v>26</v>
      </c>
      <c r="O397" s="2">
        <v>1.6666666666666668E-3</v>
      </c>
      <c r="P397" s="9">
        <v>331.2</v>
      </c>
      <c r="Q397" s="3">
        <v>2.4</v>
      </c>
      <c r="R397" s="4">
        <v>144</v>
      </c>
      <c r="S397" s="3">
        <v>84</v>
      </c>
      <c r="T397" s="1">
        <v>0.61380000000000001</v>
      </c>
      <c r="U397" s="6">
        <v>84.704400000000007</v>
      </c>
    </row>
    <row r="398" spans="1:21" x14ac:dyDescent="0.35">
      <c r="A398">
        <v>397</v>
      </c>
      <c r="B398" s="5">
        <v>44593</v>
      </c>
      <c r="C398" s="4">
        <v>2022</v>
      </c>
      <c r="D398" s="4">
        <v>2</v>
      </c>
      <c r="E398" s="14">
        <v>44593</v>
      </c>
      <c r="F398" s="4">
        <v>1</v>
      </c>
      <c r="G398">
        <v>35</v>
      </c>
      <c r="H398">
        <v>35</v>
      </c>
      <c r="I398" s="13">
        <v>1</v>
      </c>
      <c r="J398">
        <v>0</v>
      </c>
      <c r="K398" s="2">
        <v>9.2592592592592588E-5</v>
      </c>
      <c r="L398" s="11">
        <v>4.666666666666667</v>
      </c>
      <c r="M398" s="3">
        <v>0.13333333333333333</v>
      </c>
      <c r="N398" s="4">
        <v>8</v>
      </c>
      <c r="O398" s="2">
        <v>1.5046296296296296E-3</v>
      </c>
      <c r="P398" s="9">
        <v>75.833333333333329</v>
      </c>
      <c r="Q398" s="3">
        <v>2.1666666666666665</v>
      </c>
      <c r="R398" s="4">
        <v>130</v>
      </c>
      <c r="S398" s="3">
        <v>30</v>
      </c>
      <c r="T398" s="1">
        <v>0.88570000000000004</v>
      </c>
      <c r="U398" s="6">
        <v>30.999500000000001</v>
      </c>
    </row>
    <row r="399" spans="1:21" x14ac:dyDescent="0.35">
      <c r="A399">
        <v>398</v>
      </c>
      <c r="B399" s="5">
        <v>44594</v>
      </c>
      <c r="C399" s="4">
        <v>2022</v>
      </c>
      <c r="D399" s="4">
        <v>2</v>
      </c>
      <c r="E399" s="14">
        <v>44594</v>
      </c>
      <c r="F399" s="4">
        <v>2</v>
      </c>
      <c r="G399">
        <v>208</v>
      </c>
      <c r="H399">
        <v>194</v>
      </c>
      <c r="I399" s="13">
        <v>0.93</v>
      </c>
      <c r="J399">
        <v>14</v>
      </c>
      <c r="K399" s="2">
        <v>4.0509259259259258E-4</v>
      </c>
      <c r="L399" s="11">
        <v>113.16666666666667</v>
      </c>
      <c r="M399" s="3">
        <v>0.58333333333333337</v>
      </c>
      <c r="N399" s="4">
        <v>35</v>
      </c>
      <c r="O399" s="2">
        <v>1.6898148148148148E-3</v>
      </c>
      <c r="P399" s="9">
        <v>472.06666666666672</v>
      </c>
      <c r="Q399" s="3">
        <v>2.4333333333333336</v>
      </c>
      <c r="R399" s="4">
        <v>146</v>
      </c>
      <c r="S399" s="3">
        <v>110</v>
      </c>
      <c r="T399" s="1">
        <v>0.56930000000000003</v>
      </c>
      <c r="U399" s="6">
        <v>110.44420000000001</v>
      </c>
    </row>
    <row r="400" spans="1:21" x14ac:dyDescent="0.35">
      <c r="A400">
        <v>399</v>
      </c>
      <c r="B400" s="5">
        <v>44595</v>
      </c>
      <c r="C400" s="4">
        <v>2022</v>
      </c>
      <c r="D400" s="4">
        <v>2</v>
      </c>
      <c r="E400" s="14">
        <v>44595</v>
      </c>
      <c r="F400" s="4">
        <v>3</v>
      </c>
      <c r="G400">
        <v>162</v>
      </c>
      <c r="H400">
        <v>155</v>
      </c>
      <c r="I400" s="13">
        <v>0.95</v>
      </c>
      <c r="J400">
        <v>7</v>
      </c>
      <c r="K400" s="2">
        <v>2.199074074074074E-4</v>
      </c>
      <c r="L400" s="11">
        <v>49.083333333333329</v>
      </c>
      <c r="M400" s="3">
        <v>0.31666666666666665</v>
      </c>
      <c r="N400" s="4">
        <v>19</v>
      </c>
      <c r="O400" s="2">
        <v>1.5856481481481481E-3</v>
      </c>
      <c r="P400" s="9">
        <v>353.91666666666663</v>
      </c>
      <c r="Q400" s="3">
        <v>2.2833333333333332</v>
      </c>
      <c r="R400" s="4">
        <v>137</v>
      </c>
      <c r="S400" s="3">
        <v>120</v>
      </c>
      <c r="T400" s="1">
        <v>0.77990000000000004</v>
      </c>
      <c r="U400" s="6">
        <v>120.8845</v>
      </c>
    </row>
    <row r="401" spans="1:21" x14ac:dyDescent="0.35">
      <c r="A401">
        <v>400</v>
      </c>
      <c r="B401" s="5">
        <v>44596</v>
      </c>
      <c r="C401" s="4">
        <v>2022</v>
      </c>
      <c r="D401" s="4">
        <v>2</v>
      </c>
      <c r="E401" s="14">
        <v>44596</v>
      </c>
      <c r="F401" s="4">
        <v>4</v>
      </c>
      <c r="G401">
        <v>152</v>
      </c>
      <c r="H401">
        <v>143</v>
      </c>
      <c r="I401" s="13">
        <v>0.94</v>
      </c>
      <c r="J401">
        <v>9</v>
      </c>
      <c r="K401" s="2">
        <v>2.5462962962962961E-4</v>
      </c>
      <c r="L401" s="11">
        <v>52.43333333333333</v>
      </c>
      <c r="M401" s="3">
        <v>0.36666666666666664</v>
      </c>
      <c r="N401" s="4">
        <v>22</v>
      </c>
      <c r="O401" s="2">
        <v>1.712962962962963E-3</v>
      </c>
      <c r="P401" s="9">
        <v>352.73333333333335</v>
      </c>
      <c r="Q401" s="3">
        <v>2.4666666666666668</v>
      </c>
      <c r="R401" s="4">
        <v>148</v>
      </c>
      <c r="S401" s="3">
        <v>100</v>
      </c>
      <c r="T401" s="1">
        <v>0.7</v>
      </c>
      <c r="U401" s="6">
        <v>100.1</v>
      </c>
    </row>
    <row r="402" spans="1:21" x14ac:dyDescent="0.35">
      <c r="A402">
        <v>401</v>
      </c>
      <c r="B402" s="5">
        <v>44597</v>
      </c>
      <c r="C402" s="4">
        <v>2022</v>
      </c>
      <c r="D402" s="4">
        <v>2</v>
      </c>
      <c r="E402" s="14">
        <v>44597</v>
      </c>
      <c r="F402" s="4">
        <v>5</v>
      </c>
      <c r="G402">
        <v>132</v>
      </c>
      <c r="H402">
        <v>125</v>
      </c>
      <c r="I402" s="13">
        <v>0.94</v>
      </c>
      <c r="J402">
        <v>7</v>
      </c>
      <c r="K402" s="2">
        <v>3.0092592592592595E-4</v>
      </c>
      <c r="L402" s="11">
        <v>54.166666666666671</v>
      </c>
      <c r="M402" s="3">
        <v>0.43333333333333335</v>
      </c>
      <c r="N402" s="4">
        <v>26</v>
      </c>
      <c r="O402" s="2">
        <v>1.4699074074074074E-3</v>
      </c>
      <c r="P402" s="9">
        <v>264.58333333333331</v>
      </c>
      <c r="Q402" s="3">
        <v>2.1166666666666667</v>
      </c>
      <c r="R402" s="4">
        <v>127</v>
      </c>
      <c r="S402" s="3">
        <v>86</v>
      </c>
      <c r="T402" s="1">
        <v>0.68940000000000001</v>
      </c>
      <c r="U402" s="6">
        <v>86.174999999999997</v>
      </c>
    </row>
    <row r="403" spans="1:21" x14ac:dyDescent="0.35">
      <c r="A403">
        <v>402</v>
      </c>
      <c r="B403" s="5">
        <v>44598</v>
      </c>
      <c r="C403" s="4">
        <v>2022</v>
      </c>
      <c r="D403" s="4">
        <v>2</v>
      </c>
      <c r="E403" s="14">
        <v>44598</v>
      </c>
      <c r="F403" s="4">
        <v>6</v>
      </c>
      <c r="G403">
        <v>133</v>
      </c>
      <c r="H403">
        <v>131</v>
      </c>
      <c r="I403" s="13">
        <v>0.98</v>
      </c>
      <c r="J403">
        <v>2</v>
      </c>
      <c r="K403" s="2">
        <v>1.3888888888888889E-4</v>
      </c>
      <c r="L403" s="11">
        <v>26.200000000000003</v>
      </c>
      <c r="M403" s="3">
        <v>0.2</v>
      </c>
      <c r="N403" s="4">
        <v>12</v>
      </c>
      <c r="O403" s="2">
        <v>1.6087962962962963E-3</v>
      </c>
      <c r="P403" s="9">
        <v>303.48333333333329</v>
      </c>
      <c r="Q403" s="3">
        <v>2.3166666666666664</v>
      </c>
      <c r="R403" s="4">
        <v>139</v>
      </c>
      <c r="S403" s="3">
        <v>114</v>
      </c>
      <c r="T403" s="1">
        <v>0.87119999999999997</v>
      </c>
      <c r="U403" s="6">
        <v>114.1272</v>
      </c>
    </row>
    <row r="404" spans="1:21" x14ac:dyDescent="0.35">
      <c r="A404">
        <v>403</v>
      </c>
      <c r="B404" s="5">
        <v>44599</v>
      </c>
      <c r="C404" s="4">
        <v>2022</v>
      </c>
      <c r="D404" s="4">
        <v>2</v>
      </c>
      <c r="E404" s="14">
        <v>44599</v>
      </c>
      <c r="F404" s="4">
        <v>7</v>
      </c>
      <c r="G404">
        <v>129</v>
      </c>
      <c r="H404">
        <v>121</v>
      </c>
      <c r="I404" s="13">
        <v>0.93</v>
      </c>
      <c r="J404">
        <v>8</v>
      </c>
      <c r="K404" s="2">
        <v>3.8194444444444446E-4</v>
      </c>
      <c r="L404" s="11">
        <v>66.550000000000011</v>
      </c>
      <c r="M404" s="3">
        <v>0.55000000000000004</v>
      </c>
      <c r="N404" s="4">
        <v>33</v>
      </c>
      <c r="O404" s="2">
        <v>1.8171296296296297E-3</v>
      </c>
      <c r="P404" s="9">
        <v>316.61666666666667</v>
      </c>
      <c r="Q404" s="3">
        <v>2.6166666666666667</v>
      </c>
      <c r="R404" s="4">
        <v>157</v>
      </c>
      <c r="S404" s="3">
        <v>74</v>
      </c>
      <c r="T404" s="1">
        <v>0.61419999999999997</v>
      </c>
      <c r="U404" s="6">
        <v>74.31819999999999</v>
      </c>
    </row>
    <row r="405" spans="1:21" x14ac:dyDescent="0.35">
      <c r="A405">
        <v>404</v>
      </c>
      <c r="B405" s="5">
        <v>44600</v>
      </c>
      <c r="C405" s="4">
        <v>2022</v>
      </c>
      <c r="D405" s="4">
        <v>2</v>
      </c>
      <c r="E405" s="14">
        <v>44600</v>
      </c>
      <c r="F405" s="4">
        <v>8</v>
      </c>
      <c r="G405">
        <v>37</v>
      </c>
      <c r="H405">
        <v>35</v>
      </c>
      <c r="I405" s="13">
        <v>0.94</v>
      </c>
      <c r="J405">
        <v>2</v>
      </c>
      <c r="K405" s="2">
        <v>2.199074074074074E-4</v>
      </c>
      <c r="L405" s="11">
        <v>11.083333333333332</v>
      </c>
      <c r="M405" s="3">
        <v>0.31666666666666665</v>
      </c>
      <c r="N405" s="4">
        <v>19</v>
      </c>
      <c r="O405" s="2">
        <v>1.6319444444444445E-3</v>
      </c>
      <c r="P405" s="9">
        <v>82.25</v>
      </c>
      <c r="Q405" s="3">
        <v>2.35</v>
      </c>
      <c r="R405" s="4">
        <v>141</v>
      </c>
      <c r="S405" s="3">
        <v>26</v>
      </c>
      <c r="T405" s="1">
        <v>0.75680000000000003</v>
      </c>
      <c r="U405" s="6">
        <v>26.488</v>
      </c>
    </row>
    <row r="406" spans="1:21" x14ac:dyDescent="0.35">
      <c r="A406">
        <v>405</v>
      </c>
      <c r="B406" s="5">
        <v>44601</v>
      </c>
      <c r="C406" s="4">
        <v>2022</v>
      </c>
      <c r="D406" s="4">
        <v>2</v>
      </c>
      <c r="E406" s="14">
        <v>44601</v>
      </c>
      <c r="F406" s="4">
        <v>9</v>
      </c>
      <c r="G406">
        <v>56</v>
      </c>
      <c r="H406">
        <v>54</v>
      </c>
      <c r="I406" s="13">
        <v>0.96</v>
      </c>
      <c r="J406">
        <v>2</v>
      </c>
      <c r="K406" s="2">
        <v>1.5046296296296297E-4</v>
      </c>
      <c r="L406" s="11">
        <v>11.700000000000001</v>
      </c>
      <c r="M406" s="3">
        <v>0.21666666666666667</v>
      </c>
      <c r="N406" s="4">
        <v>13</v>
      </c>
      <c r="O406" s="2">
        <v>1.7708333333333332E-3</v>
      </c>
      <c r="P406" s="9">
        <v>137.69999999999999</v>
      </c>
      <c r="Q406" s="3">
        <v>2.5499999999999998</v>
      </c>
      <c r="R406" s="4">
        <v>153</v>
      </c>
      <c r="S406" s="3">
        <v>47</v>
      </c>
      <c r="T406" s="1">
        <v>0.87270000000000003</v>
      </c>
      <c r="U406" s="6">
        <v>47.125799999999998</v>
      </c>
    </row>
    <row r="407" spans="1:21" x14ac:dyDescent="0.35">
      <c r="A407">
        <v>406</v>
      </c>
      <c r="B407" s="5">
        <v>44602</v>
      </c>
      <c r="C407" s="4">
        <v>2022</v>
      </c>
      <c r="D407" s="4">
        <v>2</v>
      </c>
      <c r="E407" s="14">
        <v>44602</v>
      </c>
      <c r="F407" s="4">
        <v>10</v>
      </c>
      <c r="G407">
        <v>215</v>
      </c>
      <c r="H407">
        <v>210</v>
      </c>
      <c r="I407" s="13">
        <v>0.97</v>
      </c>
      <c r="J407">
        <v>5</v>
      </c>
      <c r="K407" s="2">
        <v>1.3888888888888889E-4</v>
      </c>
      <c r="L407" s="11">
        <v>42</v>
      </c>
      <c r="M407" s="3">
        <v>0.2</v>
      </c>
      <c r="N407" s="4">
        <v>12</v>
      </c>
      <c r="O407" s="2">
        <v>1.0879629629629629E-3</v>
      </c>
      <c r="P407" s="9">
        <v>329</v>
      </c>
      <c r="Q407" s="3">
        <v>1.5666666666666667</v>
      </c>
      <c r="R407" s="4">
        <v>94</v>
      </c>
      <c r="S407" s="3">
        <v>184</v>
      </c>
      <c r="T407" s="1">
        <v>0.87739999999999996</v>
      </c>
      <c r="U407" s="6">
        <v>184.25399999999999</v>
      </c>
    </row>
    <row r="408" spans="1:21" x14ac:dyDescent="0.35">
      <c r="A408">
        <v>407</v>
      </c>
      <c r="B408" s="5">
        <v>44603</v>
      </c>
      <c r="C408" s="4">
        <v>2022</v>
      </c>
      <c r="D408" s="4">
        <v>2</v>
      </c>
      <c r="E408" s="14">
        <v>44603</v>
      </c>
      <c r="F408" s="4">
        <v>11</v>
      </c>
      <c r="G408">
        <v>50</v>
      </c>
      <c r="H408">
        <v>46</v>
      </c>
      <c r="I408" s="13">
        <v>0.92</v>
      </c>
      <c r="J408">
        <v>4</v>
      </c>
      <c r="K408" s="2">
        <v>1.6203703703703703E-4</v>
      </c>
      <c r="L408" s="11">
        <v>10.733333333333334</v>
      </c>
      <c r="M408" s="3">
        <v>0.23333333333333334</v>
      </c>
      <c r="N408" s="4">
        <v>14</v>
      </c>
      <c r="O408" s="2">
        <v>1.8749999999999999E-3</v>
      </c>
      <c r="P408" s="9">
        <v>124.2</v>
      </c>
      <c r="Q408" s="3">
        <v>2.7</v>
      </c>
      <c r="R408" s="4">
        <v>162</v>
      </c>
      <c r="S408" s="3">
        <v>33</v>
      </c>
      <c r="T408" s="1">
        <v>0.72</v>
      </c>
      <c r="U408" s="6">
        <v>33.119999999999997</v>
      </c>
    </row>
    <row r="409" spans="1:21" x14ac:dyDescent="0.35">
      <c r="A409">
        <v>408</v>
      </c>
      <c r="B409" s="5">
        <v>44604</v>
      </c>
      <c r="C409" s="4">
        <v>2022</v>
      </c>
      <c r="D409" s="4">
        <v>2</v>
      </c>
      <c r="E409" s="14">
        <v>44604</v>
      </c>
      <c r="F409" s="4">
        <v>12</v>
      </c>
      <c r="G409">
        <v>136</v>
      </c>
      <c r="H409">
        <v>129</v>
      </c>
      <c r="I409" s="13">
        <v>0.94</v>
      </c>
      <c r="J409">
        <v>7</v>
      </c>
      <c r="K409" s="2">
        <v>2.5462962962962961E-4</v>
      </c>
      <c r="L409" s="11">
        <v>47.3</v>
      </c>
      <c r="M409" s="3">
        <v>0.36666666666666664</v>
      </c>
      <c r="N409" s="4">
        <v>22</v>
      </c>
      <c r="O409" s="2">
        <v>1.6898148148148148E-3</v>
      </c>
      <c r="P409" s="9">
        <v>313.90000000000003</v>
      </c>
      <c r="Q409" s="3">
        <v>2.4333333333333336</v>
      </c>
      <c r="R409" s="4">
        <v>146</v>
      </c>
      <c r="S409" s="3">
        <v>85</v>
      </c>
      <c r="T409" s="1">
        <v>0.66420000000000001</v>
      </c>
      <c r="U409" s="6">
        <v>85.681799999999996</v>
      </c>
    </row>
    <row r="410" spans="1:21" x14ac:dyDescent="0.35">
      <c r="A410">
        <v>409</v>
      </c>
      <c r="B410" s="5">
        <v>44605</v>
      </c>
      <c r="C410" s="4">
        <v>2022</v>
      </c>
      <c r="D410" s="4">
        <v>2</v>
      </c>
      <c r="E410" s="14">
        <v>44605</v>
      </c>
      <c r="F410" s="4">
        <v>13</v>
      </c>
      <c r="G410">
        <v>160</v>
      </c>
      <c r="H410">
        <v>142</v>
      </c>
      <c r="I410" s="13">
        <v>0.88</v>
      </c>
      <c r="J410">
        <v>18</v>
      </c>
      <c r="K410" s="2">
        <v>4.0509259259259258E-4</v>
      </c>
      <c r="L410" s="11">
        <v>82.833333333333343</v>
      </c>
      <c r="M410" s="3">
        <v>0.58333333333333337</v>
      </c>
      <c r="N410" s="4">
        <v>35</v>
      </c>
      <c r="O410" s="2">
        <v>1.7824074074074075E-3</v>
      </c>
      <c r="P410" s="9">
        <v>364.46666666666664</v>
      </c>
      <c r="Q410" s="3">
        <v>2.5666666666666664</v>
      </c>
      <c r="R410" s="4">
        <v>154</v>
      </c>
      <c r="S410" s="3">
        <v>79</v>
      </c>
      <c r="T410" s="1">
        <v>0.55920000000000003</v>
      </c>
      <c r="U410" s="6">
        <v>79.406400000000005</v>
      </c>
    </row>
    <row r="411" spans="1:21" x14ac:dyDescent="0.35">
      <c r="A411">
        <v>410</v>
      </c>
      <c r="B411" s="5">
        <v>44606</v>
      </c>
      <c r="C411" s="4">
        <v>2022</v>
      </c>
      <c r="D411" s="4">
        <v>2</v>
      </c>
      <c r="E411" s="14">
        <v>44606</v>
      </c>
      <c r="F411" s="4">
        <v>14</v>
      </c>
      <c r="G411">
        <v>132</v>
      </c>
      <c r="H411">
        <v>115</v>
      </c>
      <c r="I411" s="13">
        <v>0.87</v>
      </c>
      <c r="J411">
        <v>17</v>
      </c>
      <c r="K411" s="2">
        <v>4.1666666666666669E-4</v>
      </c>
      <c r="L411" s="11">
        <v>69</v>
      </c>
      <c r="M411" s="3">
        <v>0.6</v>
      </c>
      <c r="N411" s="4">
        <v>36</v>
      </c>
      <c r="O411" s="2">
        <v>1.7013888888888888E-3</v>
      </c>
      <c r="P411" s="9">
        <v>281.75</v>
      </c>
      <c r="Q411" s="3">
        <v>2.4500000000000002</v>
      </c>
      <c r="R411" s="4">
        <v>147</v>
      </c>
      <c r="S411" s="3">
        <v>56</v>
      </c>
      <c r="T411" s="1">
        <v>0.4884</v>
      </c>
      <c r="U411" s="6">
        <v>56.165999999999997</v>
      </c>
    </row>
    <row r="412" spans="1:21" x14ac:dyDescent="0.35">
      <c r="A412">
        <v>411</v>
      </c>
      <c r="B412" s="5">
        <v>44607</v>
      </c>
      <c r="C412" s="4">
        <v>2022</v>
      </c>
      <c r="D412" s="4">
        <v>2</v>
      </c>
      <c r="E412" s="14">
        <v>44607</v>
      </c>
      <c r="F412" s="4">
        <v>15</v>
      </c>
      <c r="G412">
        <v>30</v>
      </c>
      <c r="H412">
        <v>28</v>
      </c>
      <c r="I412" s="13">
        <v>0.93</v>
      </c>
      <c r="J412">
        <v>2</v>
      </c>
      <c r="K412" s="2">
        <v>5.4398148148148144E-4</v>
      </c>
      <c r="L412" s="11">
        <v>21.933333333333334</v>
      </c>
      <c r="M412" s="3">
        <v>0.78333333333333333</v>
      </c>
      <c r="N412" s="4">
        <v>47</v>
      </c>
      <c r="O412" s="2">
        <v>1.8055555555555555E-3</v>
      </c>
      <c r="P412" s="9">
        <v>72.8</v>
      </c>
      <c r="Q412" s="3">
        <v>2.6</v>
      </c>
      <c r="R412" s="4">
        <v>156</v>
      </c>
      <c r="S412" s="3">
        <v>11</v>
      </c>
      <c r="T412" s="1">
        <v>0.4</v>
      </c>
      <c r="U412" s="6">
        <v>11.200000000000001</v>
      </c>
    </row>
    <row r="413" spans="1:21" x14ac:dyDescent="0.35">
      <c r="A413">
        <v>412</v>
      </c>
      <c r="B413" s="5">
        <v>44608</v>
      </c>
      <c r="C413" s="4">
        <v>2022</v>
      </c>
      <c r="D413" s="4">
        <v>2</v>
      </c>
      <c r="E413" s="14">
        <v>44608</v>
      </c>
      <c r="F413" s="4">
        <v>16</v>
      </c>
      <c r="G413">
        <v>150</v>
      </c>
      <c r="H413">
        <v>140</v>
      </c>
      <c r="I413" s="13">
        <v>0.93</v>
      </c>
      <c r="J413">
        <v>10</v>
      </c>
      <c r="K413" s="2">
        <v>3.3564814814814812E-4</v>
      </c>
      <c r="L413" s="11">
        <v>67.666666666666671</v>
      </c>
      <c r="M413" s="3">
        <v>0.48333333333333334</v>
      </c>
      <c r="N413" s="4">
        <v>29</v>
      </c>
      <c r="O413" s="2">
        <v>1.7592592592592592E-3</v>
      </c>
      <c r="P413" s="9">
        <v>354.66666666666663</v>
      </c>
      <c r="Q413" s="3">
        <v>2.5333333333333332</v>
      </c>
      <c r="R413" s="4">
        <v>152</v>
      </c>
      <c r="S413" s="3">
        <v>88</v>
      </c>
      <c r="T413" s="1">
        <v>0.63090000000000002</v>
      </c>
      <c r="U413" s="6">
        <v>88.326000000000008</v>
      </c>
    </row>
    <row r="414" spans="1:21" x14ac:dyDescent="0.35">
      <c r="A414">
        <v>413</v>
      </c>
      <c r="B414" s="5">
        <v>44609</v>
      </c>
      <c r="C414" s="4">
        <v>2022</v>
      </c>
      <c r="D414" s="4">
        <v>2</v>
      </c>
      <c r="E414" s="14">
        <v>44609</v>
      </c>
      <c r="F414" s="4">
        <v>17</v>
      </c>
      <c r="G414">
        <v>160</v>
      </c>
      <c r="H414">
        <v>144</v>
      </c>
      <c r="I414" s="13">
        <v>0.9</v>
      </c>
      <c r="J414">
        <v>16</v>
      </c>
      <c r="K414" s="2">
        <v>5.3240740740740744E-4</v>
      </c>
      <c r="L414" s="11">
        <v>110.4</v>
      </c>
      <c r="M414" s="3">
        <v>0.76666666666666672</v>
      </c>
      <c r="N414" s="4">
        <v>46</v>
      </c>
      <c r="O414" s="2">
        <v>1.8402777777777777E-3</v>
      </c>
      <c r="P414" s="9">
        <v>381.59999999999997</v>
      </c>
      <c r="Q414" s="3">
        <v>2.65</v>
      </c>
      <c r="R414" s="4">
        <v>159</v>
      </c>
      <c r="S414" s="3">
        <v>71</v>
      </c>
      <c r="T414" s="1">
        <v>0.49680000000000002</v>
      </c>
      <c r="U414" s="6">
        <v>71.539200000000008</v>
      </c>
    </row>
    <row r="415" spans="1:21" x14ac:dyDescent="0.35">
      <c r="A415">
        <v>414</v>
      </c>
      <c r="B415" s="5">
        <v>44610</v>
      </c>
      <c r="C415" s="4">
        <v>2022</v>
      </c>
      <c r="D415" s="4">
        <v>2</v>
      </c>
      <c r="E415" s="14">
        <v>44610</v>
      </c>
      <c r="F415" s="4">
        <v>18</v>
      </c>
      <c r="G415">
        <v>132</v>
      </c>
      <c r="H415">
        <v>122</v>
      </c>
      <c r="I415" s="13">
        <v>0.92</v>
      </c>
      <c r="J415">
        <v>10</v>
      </c>
      <c r="K415" s="2">
        <v>4.2824074074074075E-4</v>
      </c>
      <c r="L415" s="11">
        <v>75.233333333333334</v>
      </c>
      <c r="M415" s="3">
        <v>0.6166666666666667</v>
      </c>
      <c r="N415" s="4">
        <v>37</v>
      </c>
      <c r="O415" s="2">
        <v>1.8287037037037037E-3</v>
      </c>
      <c r="P415" s="9">
        <v>321.26666666666665</v>
      </c>
      <c r="Q415" s="3">
        <v>2.6333333333333333</v>
      </c>
      <c r="R415" s="4">
        <v>158</v>
      </c>
      <c r="S415" s="3">
        <v>61</v>
      </c>
      <c r="T415" s="1">
        <v>0.5</v>
      </c>
      <c r="U415" s="6">
        <v>61</v>
      </c>
    </row>
    <row r="416" spans="1:21" x14ac:dyDescent="0.35">
      <c r="A416">
        <v>415</v>
      </c>
      <c r="B416" s="5">
        <v>44611</v>
      </c>
      <c r="C416" s="4">
        <v>2022</v>
      </c>
      <c r="D416" s="4">
        <v>2</v>
      </c>
      <c r="E416" s="14">
        <v>44611</v>
      </c>
      <c r="F416" s="4">
        <v>19</v>
      </c>
      <c r="G416">
        <v>161</v>
      </c>
      <c r="H416">
        <v>151</v>
      </c>
      <c r="I416" s="13">
        <v>0.93</v>
      </c>
      <c r="J416">
        <v>10</v>
      </c>
      <c r="K416" s="2">
        <v>3.2407407407407406E-4</v>
      </c>
      <c r="L416" s="11">
        <v>70.466666666666669</v>
      </c>
      <c r="M416" s="3">
        <v>0.46666666666666667</v>
      </c>
      <c r="N416" s="4">
        <v>28</v>
      </c>
      <c r="O416" s="2">
        <v>1.4699074074074074E-3</v>
      </c>
      <c r="P416" s="9">
        <v>319.61666666666667</v>
      </c>
      <c r="Q416" s="3">
        <v>2.1166666666666667</v>
      </c>
      <c r="R416" s="4">
        <v>127</v>
      </c>
      <c r="S416" s="3">
        <v>92</v>
      </c>
      <c r="T416" s="1">
        <v>0.6139</v>
      </c>
      <c r="U416" s="6">
        <v>92.698899999999995</v>
      </c>
    </row>
    <row r="417" spans="1:21" x14ac:dyDescent="0.35">
      <c r="A417">
        <v>416</v>
      </c>
      <c r="B417" s="5">
        <v>44612</v>
      </c>
      <c r="C417" s="4">
        <v>2022</v>
      </c>
      <c r="D417" s="4">
        <v>2</v>
      </c>
      <c r="E417" s="14">
        <v>44612</v>
      </c>
      <c r="F417" s="4">
        <v>20</v>
      </c>
      <c r="G417">
        <v>156</v>
      </c>
      <c r="H417">
        <v>149</v>
      </c>
      <c r="I417" s="13">
        <v>0.95</v>
      </c>
      <c r="J417">
        <v>7</v>
      </c>
      <c r="K417" s="2">
        <v>2.5462962962962961E-4</v>
      </c>
      <c r="L417" s="11">
        <v>54.633333333333333</v>
      </c>
      <c r="M417" s="3">
        <v>0.36666666666666664</v>
      </c>
      <c r="N417" s="4">
        <v>22</v>
      </c>
      <c r="O417" s="2">
        <v>1.712962962962963E-3</v>
      </c>
      <c r="P417" s="9">
        <v>367.53333333333336</v>
      </c>
      <c r="Q417" s="3">
        <v>2.4666666666666668</v>
      </c>
      <c r="R417" s="4">
        <v>148</v>
      </c>
      <c r="S417" s="3">
        <v>104</v>
      </c>
      <c r="T417" s="1">
        <v>0.70320000000000005</v>
      </c>
      <c r="U417" s="6">
        <v>104.77680000000001</v>
      </c>
    </row>
    <row r="418" spans="1:21" x14ac:dyDescent="0.35">
      <c r="A418">
        <v>417</v>
      </c>
      <c r="B418" s="5">
        <v>44613</v>
      </c>
      <c r="C418" s="4">
        <v>2022</v>
      </c>
      <c r="D418" s="4">
        <v>2</v>
      </c>
      <c r="E418" s="14">
        <v>44613</v>
      </c>
      <c r="F418" s="4">
        <v>21</v>
      </c>
      <c r="G418">
        <v>137</v>
      </c>
      <c r="H418">
        <v>128</v>
      </c>
      <c r="I418" s="13">
        <v>0.93</v>
      </c>
      <c r="J418">
        <v>9</v>
      </c>
      <c r="K418" s="2">
        <v>3.5879629629629629E-4</v>
      </c>
      <c r="L418" s="11">
        <v>66.13333333333334</v>
      </c>
      <c r="M418" s="3">
        <v>0.51666666666666672</v>
      </c>
      <c r="N418" s="4">
        <v>31.000000000000004</v>
      </c>
      <c r="O418" s="2">
        <v>1.736111111111111E-3</v>
      </c>
      <c r="P418" s="9">
        <v>320</v>
      </c>
      <c r="Q418" s="3">
        <v>2.5</v>
      </c>
      <c r="R418" s="4">
        <v>150</v>
      </c>
      <c r="S418" s="3">
        <v>80</v>
      </c>
      <c r="T418" s="1">
        <v>0.62690000000000001</v>
      </c>
      <c r="U418" s="6">
        <v>80.243200000000002</v>
      </c>
    </row>
    <row r="419" spans="1:21" x14ac:dyDescent="0.35">
      <c r="A419">
        <v>418</v>
      </c>
      <c r="B419" s="5">
        <v>44614</v>
      </c>
      <c r="C419" s="4">
        <v>2022</v>
      </c>
      <c r="D419" s="4">
        <v>2</v>
      </c>
      <c r="E419" s="14">
        <v>44614</v>
      </c>
      <c r="F419" s="4">
        <v>22</v>
      </c>
      <c r="G419">
        <v>28</v>
      </c>
      <c r="H419">
        <v>25</v>
      </c>
      <c r="I419" s="13">
        <v>0.89</v>
      </c>
      <c r="J419">
        <v>3</v>
      </c>
      <c r="K419" s="2">
        <v>6.9444444444444447E-4</v>
      </c>
      <c r="L419" s="11">
        <v>25</v>
      </c>
      <c r="M419" s="3">
        <v>1</v>
      </c>
      <c r="N419" s="4">
        <v>60</v>
      </c>
      <c r="O419" s="2">
        <v>1.9328703703703704E-3</v>
      </c>
      <c r="P419" s="9">
        <v>69.583333333333329</v>
      </c>
      <c r="Q419" s="3">
        <v>2.7833333333333332</v>
      </c>
      <c r="R419" s="4">
        <v>167</v>
      </c>
      <c r="S419" s="3">
        <v>8</v>
      </c>
      <c r="T419" s="1">
        <v>0.32140000000000002</v>
      </c>
      <c r="U419" s="6">
        <v>8.0350000000000001</v>
      </c>
    </row>
    <row r="420" spans="1:21" x14ac:dyDescent="0.35">
      <c r="A420">
        <v>419</v>
      </c>
      <c r="B420" s="5">
        <v>44615</v>
      </c>
      <c r="C420" s="4">
        <v>2022</v>
      </c>
      <c r="D420" s="4">
        <v>2</v>
      </c>
      <c r="E420" s="14">
        <v>44615</v>
      </c>
      <c r="F420" s="4">
        <v>23</v>
      </c>
      <c r="G420">
        <v>141</v>
      </c>
      <c r="H420">
        <v>133</v>
      </c>
      <c r="I420" s="13">
        <v>0.94</v>
      </c>
      <c r="J420">
        <v>8</v>
      </c>
      <c r="K420" s="2">
        <v>3.8194444444444446E-4</v>
      </c>
      <c r="L420" s="11">
        <v>73.150000000000006</v>
      </c>
      <c r="M420" s="3">
        <v>0.55000000000000004</v>
      </c>
      <c r="N420" s="4">
        <v>33</v>
      </c>
      <c r="O420" s="2">
        <v>1.8749999999999999E-3</v>
      </c>
      <c r="P420" s="9">
        <v>359.1</v>
      </c>
      <c r="Q420" s="3">
        <v>2.7</v>
      </c>
      <c r="R420" s="4">
        <v>162</v>
      </c>
      <c r="S420" s="3">
        <v>84</v>
      </c>
      <c r="T420" s="1">
        <v>0.6331</v>
      </c>
      <c r="U420" s="6">
        <v>84.202299999999994</v>
      </c>
    </row>
    <row r="421" spans="1:21" x14ac:dyDescent="0.35">
      <c r="A421">
        <v>420</v>
      </c>
      <c r="B421" s="5">
        <v>44616</v>
      </c>
      <c r="C421" s="4">
        <v>2022</v>
      </c>
      <c r="D421" s="4">
        <v>2</v>
      </c>
      <c r="E421" s="14">
        <v>44616</v>
      </c>
      <c r="F421" s="4">
        <v>24</v>
      </c>
      <c r="G421">
        <v>130</v>
      </c>
      <c r="H421">
        <v>123</v>
      </c>
      <c r="I421" s="13">
        <v>0.94</v>
      </c>
      <c r="J421">
        <v>7</v>
      </c>
      <c r="K421" s="2">
        <v>3.7037037037037035E-4</v>
      </c>
      <c r="L421" s="11">
        <v>65.599999999999994</v>
      </c>
      <c r="M421" s="3">
        <v>0.53333333333333333</v>
      </c>
      <c r="N421" s="4">
        <v>32</v>
      </c>
      <c r="O421" s="2">
        <v>1.8518518518518519E-3</v>
      </c>
      <c r="P421" s="9">
        <v>328</v>
      </c>
      <c r="Q421" s="3">
        <v>2.6666666666666665</v>
      </c>
      <c r="R421" s="4">
        <v>160</v>
      </c>
      <c r="S421" s="3">
        <v>65</v>
      </c>
      <c r="T421" s="1">
        <v>0.53490000000000004</v>
      </c>
      <c r="U421" s="6">
        <v>65.792700000000011</v>
      </c>
    </row>
    <row r="422" spans="1:21" x14ac:dyDescent="0.35">
      <c r="A422">
        <v>421</v>
      </c>
      <c r="B422" s="5">
        <v>44617</v>
      </c>
      <c r="C422" s="4">
        <v>2022</v>
      </c>
      <c r="D422" s="4">
        <v>2</v>
      </c>
      <c r="E422" s="14">
        <v>44617</v>
      </c>
      <c r="F422" s="4">
        <v>25</v>
      </c>
      <c r="G422">
        <v>161</v>
      </c>
      <c r="H422">
        <v>155</v>
      </c>
      <c r="I422" s="13">
        <v>0.96</v>
      </c>
      <c r="J422">
        <v>6</v>
      </c>
      <c r="K422" s="2">
        <v>3.1250000000000001E-4</v>
      </c>
      <c r="L422" s="11">
        <v>69.75</v>
      </c>
      <c r="M422" s="3">
        <v>0.45</v>
      </c>
      <c r="N422" s="4">
        <v>27</v>
      </c>
      <c r="O422" s="2">
        <v>1.8865740740740742E-3</v>
      </c>
      <c r="P422" s="9">
        <v>421.08333333333337</v>
      </c>
      <c r="Q422" s="3">
        <v>2.7166666666666668</v>
      </c>
      <c r="R422" s="4">
        <v>163</v>
      </c>
      <c r="S422" s="3">
        <v>114</v>
      </c>
      <c r="T422" s="1">
        <v>0.73580000000000001</v>
      </c>
      <c r="U422" s="6">
        <v>114.04900000000001</v>
      </c>
    </row>
    <row r="423" spans="1:21" x14ac:dyDescent="0.35">
      <c r="A423">
        <v>422</v>
      </c>
      <c r="B423" s="5">
        <v>44618</v>
      </c>
      <c r="C423" s="4">
        <v>2022</v>
      </c>
      <c r="D423" s="4">
        <v>2</v>
      </c>
      <c r="E423" s="14">
        <v>44618</v>
      </c>
      <c r="F423" s="4">
        <v>26</v>
      </c>
      <c r="G423">
        <v>139</v>
      </c>
      <c r="H423">
        <v>132</v>
      </c>
      <c r="I423" s="13">
        <v>0.94</v>
      </c>
      <c r="J423">
        <v>7</v>
      </c>
      <c r="K423" s="2">
        <v>3.2407407407407406E-4</v>
      </c>
      <c r="L423" s="11">
        <v>61.6</v>
      </c>
      <c r="M423" s="3">
        <v>0.46666666666666667</v>
      </c>
      <c r="N423" s="4">
        <v>28</v>
      </c>
      <c r="O423" s="2">
        <v>1.8518518518518519E-3</v>
      </c>
      <c r="P423" s="9">
        <v>352</v>
      </c>
      <c r="Q423" s="3">
        <v>2.6666666666666665</v>
      </c>
      <c r="R423" s="4">
        <v>160</v>
      </c>
      <c r="S423" s="3">
        <v>83</v>
      </c>
      <c r="T423" s="1">
        <v>0.6331</v>
      </c>
      <c r="U423" s="6">
        <v>83.569199999999995</v>
      </c>
    </row>
    <row r="424" spans="1:21" x14ac:dyDescent="0.35">
      <c r="A424">
        <v>423</v>
      </c>
      <c r="B424" s="5">
        <v>44619</v>
      </c>
      <c r="C424" s="4">
        <v>2022</v>
      </c>
      <c r="D424" s="4">
        <v>2</v>
      </c>
      <c r="E424" s="14">
        <v>44619</v>
      </c>
      <c r="F424" s="4">
        <v>27</v>
      </c>
      <c r="G424">
        <v>167</v>
      </c>
      <c r="H424">
        <v>130</v>
      </c>
      <c r="I424" s="13">
        <v>0.77</v>
      </c>
      <c r="J424">
        <v>37</v>
      </c>
      <c r="K424" s="2">
        <v>3.3564814814814812E-4</v>
      </c>
      <c r="L424" s="11">
        <v>62.833333333333336</v>
      </c>
      <c r="M424" s="3">
        <v>0.48333333333333334</v>
      </c>
      <c r="N424" s="4">
        <v>29</v>
      </c>
      <c r="O424" s="2">
        <v>1.7824074074074075E-3</v>
      </c>
      <c r="P424" s="9">
        <v>333.66666666666663</v>
      </c>
      <c r="Q424" s="3">
        <v>2.5666666666666664</v>
      </c>
      <c r="R424" s="4">
        <v>154</v>
      </c>
      <c r="S424" s="3">
        <v>70</v>
      </c>
      <c r="T424" s="1">
        <v>0.54600000000000004</v>
      </c>
      <c r="U424" s="6">
        <v>70.98</v>
      </c>
    </row>
    <row r="425" spans="1:21" x14ac:dyDescent="0.35">
      <c r="A425">
        <v>424</v>
      </c>
      <c r="B425" s="5">
        <v>44620</v>
      </c>
      <c r="C425" s="4">
        <v>2022</v>
      </c>
      <c r="D425" s="4">
        <v>2</v>
      </c>
      <c r="E425" s="14">
        <v>44620</v>
      </c>
      <c r="F425" s="4">
        <v>28</v>
      </c>
      <c r="G425">
        <v>138</v>
      </c>
      <c r="H425">
        <v>122</v>
      </c>
      <c r="I425" s="13">
        <v>0.88</v>
      </c>
      <c r="J425">
        <v>16</v>
      </c>
      <c r="K425" s="2">
        <v>4.0509259259259258E-4</v>
      </c>
      <c r="L425" s="11">
        <v>71.166666666666671</v>
      </c>
      <c r="M425" s="3">
        <v>0.58333333333333337</v>
      </c>
      <c r="N425" s="4">
        <v>35</v>
      </c>
      <c r="O425" s="2">
        <v>1.9560185185185184E-3</v>
      </c>
      <c r="P425" s="9">
        <v>343.63333333333333</v>
      </c>
      <c r="Q425" s="3">
        <v>2.8166666666666664</v>
      </c>
      <c r="R425" s="4">
        <v>169</v>
      </c>
      <c r="S425" s="3">
        <v>70</v>
      </c>
      <c r="T425" s="1">
        <v>0.57779999999999998</v>
      </c>
      <c r="U425" s="6">
        <v>70.491599999999991</v>
      </c>
    </row>
    <row r="426" spans="1:21" x14ac:dyDescent="0.35">
      <c r="A426">
        <v>425</v>
      </c>
      <c r="B426" s="5">
        <v>44621</v>
      </c>
      <c r="C426" s="4">
        <v>2022</v>
      </c>
      <c r="D426" s="4">
        <v>3</v>
      </c>
      <c r="E426" s="14">
        <v>44621</v>
      </c>
      <c r="F426" s="4">
        <v>1</v>
      </c>
      <c r="G426">
        <v>47</v>
      </c>
      <c r="H426">
        <v>44</v>
      </c>
      <c r="I426" s="13">
        <v>0.93</v>
      </c>
      <c r="J426">
        <v>3</v>
      </c>
      <c r="K426" s="2">
        <v>3.0092592592592595E-4</v>
      </c>
      <c r="L426" s="11">
        <v>19.066666666666666</v>
      </c>
      <c r="M426" s="3">
        <v>0.43333333333333335</v>
      </c>
      <c r="N426" s="4">
        <v>26</v>
      </c>
      <c r="O426" s="2">
        <v>2.2106481481481482E-3</v>
      </c>
      <c r="P426" s="9">
        <v>140.06666666666666</v>
      </c>
      <c r="Q426" s="3">
        <v>3.1833333333333331</v>
      </c>
      <c r="R426" s="4">
        <v>191</v>
      </c>
      <c r="S426" s="3">
        <v>27</v>
      </c>
      <c r="T426" s="1">
        <v>0.63039999999999996</v>
      </c>
      <c r="U426" s="6">
        <v>27.737599999999997</v>
      </c>
    </row>
    <row r="427" spans="1:21" x14ac:dyDescent="0.35">
      <c r="A427">
        <v>426</v>
      </c>
      <c r="B427" s="5">
        <v>44622</v>
      </c>
      <c r="C427" s="4">
        <v>2022</v>
      </c>
      <c r="D427" s="4">
        <v>3</v>
      </c>
      <c r="E427" s="14">
        <v>44622</v>
      </c>
      <c r="F427" s="4">
        <v>2</v>
      </c>
      <c r="G427">
        <v>230</v>
      </c>
      <c r="H427">
        <v>206</v>
      </c>
      <c r="I427" s="13">
        <v>0.89</v>
      </c>
      <c r="J427">
        <v>24</v>
      </c>
      <c r="K427" s="2">
        <v>4.3981481481481481E-4</v>
      </c>
      <c r="L427" s="11">
        <v>130.46666666666667</v>
      </c>
      <c r="M427" s="3">
        <v>0.6333333333333333</v>
      </c>
      <c r="N427" s="4">
        <v>38</v>
      </c>
      <c r="O427" s="2">
        <v>1.7824074074074075E-3</v>
      </c>
      <c r="P427" s="9">
        <v>528.73333333333323</v>
      </c>
      <c r="Q427" s="3">
        <v>2.5666666666666664</v>
      </c>
      <c r="R427" s="4">
        <v>154</v>
      </c>
      <c r="S427" s="3">
        <v>96</v>
      </c>
      <c r="T427" s="1">
        <v>0.4672</v>
      </c>
      <c r="U427" s="6">
        <v>96.243200000000002</v>
      </c>
    </row>
    <row r="428" spans="1:21" x14ac:dyDescent="0.35">
      <c r="A428">
        <v>427</v>
      </c>
      <c r="B428" s="5">
        <v>44623</v>
      </c>
      <c r="C428" s="4">
        <v>2022</v>
      </c>
      <c r="D428" s="4">
        <v>3</v>
      </c>
      <c r="E428" s="14">
        <v>44623</v>
      </c>
      <c r="F428" s="4">
        <v>3</v>
      </c>
      <c r="G428">
        <v>177</v>
      </c>
      <c r="H428">
        <v>153</v>
      </c>
      <c r="I428" s="13">
        <v>0.86</v>
      </c>
      <c r="J428">
        <v>24</v>
      </c>
      <c r="K428" s="2">
        <v>3.4722222222222224E-4</v>
      </c>
      <c r="L428" s="11">
        <v>76.5</v>
      </c>
      <c r="M428" s="3">
        <v>0.5</v>
      </c>
      <c r="N428" s="4">
        <v>30</v>
      </c>
      <c r="O428" s="2">
        <v>2.0023148148148148E-3</v>
      </c>
      <c r="P428" s="9">
        <v>441.15</v>
      </c>
      <c r="Q428" s="3">
        <v>2.8833333333333333</v>
      </c>
      <c r="R428" s="4">
        <v>173</v>
      </c>
      <c r="S428" s="3">
        <v>84</v>
      </c>
      <c r="T428" s="1">
        <v>0.55489999999999995</v>
      </c>
      <c r="U428" s="6">
        <v>84.899699999999996</v>
      </c>
    </row>
    <row r="429" spans="1:21" x14ac:dyDescent="0.35">
      <c r="A429">
        <v>428</v>
      </c>
      <c r="B429" s="5">
        <v>44624</v>
      </c>
      <c r="C429" s="4">
        <v>2022</v>
      </c>
      <c r="D429" s="4">
        <v>3</v>
      </c>
      <c r="E429" s="14">
        <v>44624</v>
      </c>
      <c r="F429" s="4">
        <v>4</v>
      </c>
      <c r="G429">
        <v>159</v>
      </c>
      <c r="H429">
        <v>149</v>
      </c>
      <c r="I429" s="13">
        <v>0.93</v>
      </c>
      <c r="J429">
        <v>10</v>
      </c>
      <c r="K429" s="2">
        <v>3.8194444444444446E-4</v>
      </c>
      <c r="L429" s="11">
        <v>81.95</v>
      </c>
      <c r="M429" s="3">
        <v>0.55000000000000004</v>
      </c>
      <c r="N429" s="4">
        <v>33</v>
      </c>
      <c r="O429" s="2">
        <v>1.8518518518518519E-3</v>
      </c>
      <c r="P429" s="9">
        <v>397.33333333333331</v>
      </c>
      <c r="Q429" s="3">
        <v>2.6666666666666665</v>
      </c>
      <c r="R429" s="4">
        <v>160</v>
      </c>
      <c r="S429" s="3">
        <v>90</v>
      </c>
      <c r="T429" s="1">
        <v>0.61040000000000005</v>
      </c>
      <c r="U429" s="6">
        <v>90.949600000000004</v>
      </c>
    </row>
    <row r="430" spans="1:21" x14ac:dyDescent="0.35">
      <c r="A430">
        <v>429</v>
      </c>
      <c r="B430" s="5">
        <v>44625</v>
      </c>
      <c r="C430" s="4">
        <v>2022</v>
      </c>
      <c r="D430" s="4">
        <v>3</v>
      </c>
      <c r="E430" s="14">
        <v>44625</v>
      </c>
      <c r="F430" s="4">
        <v>5</v>
      </c>
      <c r="G430">
        <v>151</v>
      </c>
      <c r="H430">
        <v>135</v>
      </c>
      <c r="I430" s="13">
        <v>0.89</v>
      </c>
      <c r="J430">
        <v>16</v>
      </c>
      <c r="K430" s="2">
        <v>4.1666666666666669E-4</v>
      </c>
      <c r="L430" s="11">
        <v>81</v>
      </c>
      <c r="M430" s="3">
        <v>0.6</v>
      </c>
      <c r="N430" s="4">
        <v>36</v>
      </c>
      <c r="O430" s="2">
        <v>1.7592592592592592E-3</v>
      </c>
      <c r="P430" s="9">
        <v>342</v>
      </c>
      <c r="Q430" s="3">
        <v>2.5333333333333332</v>
      </c>
      <c r="R430" s="4">
        <v>152</v>
      </c>
      <c r="S430" s="3">
        <v>71</v>
      </c>
      <c r="T430" s="1">
        <v>0.52739999999999998</v>
      </c>
      <c r="U430" s="6">
        <v>71.198999999999998</v>
      </c>
    </row>
    <row r="431" spans="1:21" x14ac:dyDescent="0.35">
      <c r="A431">
        <v>430</v>
      </c>
      <c r="B431" s="5">
        <v>44626</v>
      </c>
      <c r="C431" s="4">
        <v>2022</v>
      </c>
      <c r="D431" s="4">
        <v>3</v>
      </c>
      <c r="E431" s="14">
        <v>44626</v>
      </c>
      <c r="F431" s="4">
        <v>6</v>
      </c>
      <c r="G431">
        <v>138</v>
      </c>
      <c r="H431">
        <v>126</v>
      </c>
      <c r="I431" s="13">
        <v>0.91</v>
      </c>
      <c r="J431">
        <v>12</v>
      </c>
      <c r="K431" s="2">
        <v>3.9351851851851852E-4</v>
      </c>
      <c r="L431" s="11">
        <v>71.399999999999991</v>
      </c>
      <c r="M431" s="3">
        <v>0.56666666666666665</v>
      </c>
      <c r="N431" s="4">
        <v>34</v>
      </c>
      <c r="O431" s="2">
        <v>1.5856481481481481E-3</v>
      </c>
      <c r="P431" s="9">
        <v>287.7</v>
      </c>
      <c r="Q431" s="3">
        <v>2.2833333333333332</v>
      </c>
      <c r="R431" s="4">
        <v>137</v>
      </c>
      <c r="S431" s="3">
        <v>75</v>
      </c>
      <c r="T431" s="1">
        <v>0.59699999999999998</v>
      </c>
      <c r="U431" s="6">
        <v>75.221999999999994</v>
      </c>
    </row>
    <row r="432" spans="1:21" x14ac:dyDescent="0.35">
      <c r="A432">
        <v>431</v>
      </c>
      <c r="B432" s="5">
        <v>44627</v>
      </c>
      <c r="C432" s="4">
        <v>2022</v>
      </c>
      <c r="D432" s="4">
        <v>3</v>
      </c>
      <c r="E432" s="14">
        <v>44627</v>
      </c>
      <c r="F432" s="4">
        <v>7</v>
      </c>
      <c r="G432">
        <v>118</v>
      </c>
      <c r="H432">
        <v>118</v>
      </c>
      <c r="I432" s="13">
        <v>1</v>
      </c>
      <c r="J432">
        <v>0</v>
      </c>
      <c r="K432" s="2">
        <v>3.0092592592592595E-4</v>
      </c>
      <c r="L432" s="11">
        <v>51.133333333333333</v>
      </c>
      <c r="M432" s="3">
        <v>0.43333333333333335</v>
      </c>
      <c r="N432" s="4">
        <v>26</v>
      </c>
      <c r="O432" s="2">
        <v>1.7708333333333332E-3</v>
      </c>
      <c r="P432" s="9">
        <v>300.89999999999998</v>
      </c>
      <c r="Q432" s="3">
        <v>2.5499999999999998</v>
      </c>
      <c r="R432" s="4">
        <v>153</v>
      </c>
      <c r="S432" s="3">
        <v>77</v>
      </c>
      <c r="T432" s="1">
        <v>0.66100000000000003</v>
      </c>
      <c r="U432" s="6">
        <v>77.998000000000005</v>
      </c>
    </row>
    <row r="433" spans="1:21" x14ac:dyDescent="0.35">
      <c r="A433">
        <v>432</v>
      </c>
      <c r="B433" s="5">
        <v>44628</v>
      </c>
      <c r="C433" s="4">
        <v>2022</v>
      </c>
      <c r="D433" s="4">
        <v>3</v>
      </c>
      <c r="E433" s="14">
        <v>44628</v>
      </c>
      <c r="F433" s="4">
        <v>8</v>
      </c>
      <c r="G433">
        <v>22</v>
      </c>
      <c r="H433">
        <v>21</v>
      </c>
      <c r="I433" s="13">
        <v>0.95</v>
      </c>
      <c r="J433">
        <v>1</v>
      </c>
      <c r="K433" s="2">
        <v>4.861111111111111E-4</v>
      </c>
      <c r="L433" s="11">
        <v>14.7</v>
      </c>
      <c r="M433" s="3">
        <v>0.7</v>
      </c>
      <c r="N433" s="4">
        <v>42</v>
      </c>
      <c r="O433" s="2">
        <v>1.6666666666666668E-3</v>
      </c>
      <c r="P433" s="9">
        <v>50.4</v>
      </c>
      <c r="Q433" s="3">
        <v>2.4</v>
      </c>
      <c r="R433" s="4">
        <v>144</v>
      </c>
      <c r="S433" s="3">
        <v>10</v>
      </c>
      <c r="T433" s="1">
        <v>0.52380000000000004</v>
      </c>
      <c r="U433" s="6">
        <v>10.9998</v>
      </c>
    </row>
    <row r="434" spans="1:21" x14ac:dyDescent="0.35">
      <c r="A434">
        <v>433</v>
      </c>
      <c r="B434" s="5">
        <v>44629</v>
      </c>
      <c r="C434" s="4">
        <v>2022</v>
      </c>
      <c r="D434" s="4">
        <v>3</v>
      </c>
      <c r="E434" s="14">
        <v>44629</v>
      </c>
      <c r="F434" s="4">
        <v>9</v>
      </c>
      <c r="G434">
        <v>177</v>
      </c>
      <c r="H434">
        <v>156</v>
      </c>
      <c r="I434" s="13">
        <v>0.88</v>
      </c>
      <c r="J434">
        <v>21</v>
      </c>
      <c r="K434" s="2">
        <v>4.861111111111111E-4</v>
      </c>
      <c r="L434" s="11">
        <v>109.19999999999999</v>
      </c>
      <c r="M434" s="3">
        <v>0.7</v>
      </c>
      <c r="N434" s="4">
        <v>42</v>
      </c>
      <c r="O434" s="2">
        <v>1.8402777777777777E-3</v>
      </c>
      <c r="P434" s="9">
        <v>413.4</v>
      </c>
      <c r="Q434" s="3">
        <v>2.65</v>
      </c>
      <c r="R434" s="4">
        <v>159</v>
      </c>
      <c r="S434" s="3">
        <v>66</v>
      </c>
      <c r="T434" s="1">
        <v>0.42370000000000002</v>
      </c>
      <c r="U434" s="6">
        <v>66.097200000000001</v>
      </c>
    </row>
    <row r="435" spans="1:21" x14ac:dyDescent="0.35">
      <c r="A435">
        <v>434</v>
      </c>
      <c r="B435" s="5">
        <v>44630</v>
      </c>
      <c r="C435" s="4">
        <v>2022</v>
      </c>
      <c r="D435" s="4">
        <v>3</v>
      </c>
      <c r="E435" s="14">
        <v>44630</v>
      </c>
      <c r="F435" s="4">
        <v>10</v>
      </c>
      <c r="G435">
        <v>156</v>
      </c>
      <c r="H435">
        <v>147</v>
      </c>
      <c r="I435" s="13">
        <v>0.94</v>
      </c>
      <c r="J435">
        <v>9</v>
      </c>
      <c r="K435" s="2">
        <v>3.3564814814814812E-4</v>
      </c>
      <c r="L435" s="11">
        <v>71.05</v>
      </c>
      <c r="M435" s="3">
        <v>0.48333333333333334</v>
      </c>
      <c r="N435" s="4">
        <v>29</v>
      </c>
      <c r="O435" s="2">
        <v>1.7476851851851852E-3</v>
      </c>
      <c r="P435" s="9">
        <v>369.95</v>
      </c>
      <c r="Q435" s="3">
        <v>2.5166666666666666</v>
      </c>
      <c r="R435" s="4">
        <v>151</v>
      </c>
      <c r="S435" s="3">
        <v>93</v>
      </c>
      <c r="T435" s="1">
        <v>0.63639999999999997</v>
      </c>
      <c r="U435" s="6">
        <v>93.550799999999995</v>
      </c>
    </row>
    <row r="436" spans="1:21" x14ac:dyDescent="0.35">
      <c r="A436">
        <v>435</v>
      </c>
      <c r="B436" s="5">
        <v>44631</v>
      </c>
      <c r="C436" s="4">
        <v>2022</v>
      </c>
      <c r="D436" s="4">
        <v>3</v>
      </c>
      <c r="E436" s="14">
        <v>44631</v>
      </c>
      <c r="F436" s="4">
        <v>11</v>
      </c>
      <c r="G436">
        <v>123</v>
      </c>
      <c r="H436">
        <v>121</v>
      </c>
      <c r="I436" s="13">
        <v>0.98</v>
      </c>
      <c r="J436">
        <v>2</v>
      </c>
      <c r="K436" s="2">
        <v>3.0092592592592595E-4</v>
      </c>
      <c r="L436" s="11">
        <v>52.433333333333337</v>
      </c>
      <c r="M436" s="3">
        <v>0.43333333333333335</v>
      </c>
      <c r="N436" s="4">
        <v>26</v>
      </c>
      <c r="O436" s="2">
        <v>1.712962962962963E-3</v>
      </c>
      <c r="P436" s="9">
        <v>298.4666666666667</v>
      </c>
      <c r="Q436" s="3">
        <v>2.4666666666666668</v>
      </c>
      <c r="R436" s="4">
        <v>148</v>
      </c>
      <c r="S436" s="3">
        <v>77</v>
      </c>
      <c r="T436" s="1">
        <v>0.64229999999999998</v>
      </c>
      <c r="U436" s="6">
        <v>77.718299999999999</v>
      </c>
    </row>
    <row r="437" spans="1:21" x14ac:dyDescent="0.35">
      <c r="A437">
        <v>436</v>
      </c>
      <c r="B437" s="5">
        <v>44632</v>
      </c>
      <c r="C437" s="4">
        <v>2022</v>
      </c>
      <c r="D437" s="4">
        <v>3</v>
      </c>
      <c r="E437" s="14">
        <v>44632</v>
      </c>
      <c r="F437" s="4">
        <v>12</v>
      </c>
      <c r="G437">
        <v>130</v>
      </c>
      <c r="H437">
        <v>125</v>
      </c>
      <c r="I437" s="13">
        <v>0.96</v>
      </c>
      <c r="J437">
        <v>5</v>
      </c>
      <c r="K437" s="2">
        <v>3.0092592592592595E-4</v>
      </c>
      <c r="L437" s="11">
        <v>54.166666666666671</v>
      </c>
      <c r="M437" s="3">
        <v>0.43333333333333335</v>
      </c>
      <c r="N437" s="4">
        <v>26</v>
      </c>
      <c r="O437" s="2">
        <v>1.724537037037037E-3</v>
      </c>
      <c r="P437" s="9">
        <v>310.41666666666669</v>
      </c>
      <c r="Q437" s="3">
        <v>2.4833333333333334</v>
      </c>
      <c r="R437" s="4">
        <v>149</v>
      </c>
      <c r="S437" s="3">
        <v>83</v>
      </c>
      <c r="T437" s="1">
        <v>0.66930000000000001</v>
      </c>
      <c r="U437" s="6">
        <v>83.662499999999994</v>
      </c>
    </row>
    <row r="438" spans="1:21" x14ac:dyDescent="0.35">
      <c r="A438">
        <v>437</v>
      </c>
      <c r="B438" s="5">
        <v>44633</v>
      </c>
      <c r="C438" s="4">
        <v>2022</v>
      </c>
      <c r="D438" s="4">
        <v>3</v>
      </c>
      <c r="E438" s="14">
        <v>44633</v>
      </c>
      <c r="F438" s="4">
        <v>13</v>
      </c>
      <c r="G438">
        <v>141</v>
      </c>
      <c r="H438">
        <v>134</v>
      </c>
      <c r="I438" s="13">
        <v>0.95</v>
      </c>
      <c r="J438">
        <v>7</v>
      </c>
      <c r="K438" s="2">
        <v>4.5138888888888887E-4</v>
      </c>
      <c r="L438" s="11">
        <v>87.100000000000009</v>
      </c>
      <c r="M438" s="3">
        <v>0.65</v>
      </c>
      <c r="N438" s="4">
        <v>39</v>
      </c>
      <c r="O438" s="2">
        <v>1.7708333333333332E-3</v>
      </c>
      <c r="P438" s="9">
        <v>341.7</v>
      </c>
      <c r="Q438" s="3">
        <v>2.5499999999999998</v>
      </c>
      <c r="R438" s="4">
        <v>153</v>
      </c>
      <c r="S438" s="3">
        <v>75</v>
      </c>
      <c r="T438" s="1">
        <v>0.56430000000000002</v>
      </c>
      <c r="U438" s="6">
        <v>75.616200000000006</v>
      </c>
    </row>
    <row r="439" spans="1:21" x14ac:dyDescent="0.35">
      <c r="A439">
        <v>438</v>
      </c>
      <c r="B439" s="5">
        <v>44634</v>
      </c>
      <c r="C439" s="4">
        <v>2022</v>
      </c>
      <c r="D439" s="4">
        <v>3</v>
      </c>
      <c r="E439" s="14">
        <v>44634</v>
      </c>
      <c r="F439" s="4">
        <v>14</v>
      </c>
      <c r="G439">
        <v>121</v>
      </c>
      <c r="H439">
        <v>113</v>
      </c>
      <c r="I439" s="13">
        <v>0.93</v>
      </c>
      <c r="J439">
        <v>8</v>
      </c>
      <c r="K439" s="2">
        <v>4.3981481481481481E-4</v>
      </c>
      <c r="L439" s="11">
        <v>71.566666666666663</v>
      </c>
      <c r="M439" s="3">
        <v>0.6333333333333333</v>
      </c>
      <c r="N439" s="4">
        <v>38</v>
      </c>
      <c r="O439" s="2">
        <v>1.8287037037037037E-3</v>
      </c>
      <c r="P439" s="9">
        <v>297.56666666666666</v>
      </c>
      <c r="Q439" s="3">
        <v>2.6333333333333333</v>
      </c>
      <c r="R439" s="4">
        <v>158</v>
      </c>
      <c r="S439" s="3">
        <v>57</v>
      </c>
      <c r="T439" s="1">
        <v>0.50829999999999997</v>
      </c>
      <c r="U439" s="6">
        <v>57.437899999999999</v>
      </c>
    </row>
    <row r="440" spans="1:21" x14ac:dyDescent="0.35">
      <c r="A440">
        <v>439</v>
      </c>
      <c r="B440" s="5">
        <v>44635</v>
      </c>
      <c r="C440" s="4">
        <v>2022</v>
      </c>
      <c r="D440" s="4">
        <v>3</v>
      </c>
      <c r="E440" s="14">
        <v>44635</v>
      </c>
      <c r="F440" s="4">
        <v>15</v>
      </c>
      <c r="G440">
        <v>35</v>
      </c>
      <c r="H440">
        <v>31</v>
      </c>
      <c r="I440" s="13">
        <v>0.88</v>
      </c>
      <c r="J440">
        <v>4</v>
      </c>
      <c r="K440" s="2">
        <v>3.9351851851851852E-4</v>
      </c>
      <c r="L440" s="11">
        <v>17.566666666666666</v>
      </c>
      <c r="M440" s="3">
        <v>0.56666666666666665</v>
      </c>
      <c r="N440" s="4">
        <v>34</v>
      </c>
      <c r="O440" s="2">
        <v>1.4467592592592592E-3</v>
      </c>
      <c r="P440" s="9">
        <v>64.583333333333343</v>
      </c>
      <c r="Q440" s="3">
        <v>2.0833333333333335</v>
      </c>
      <c r="R440" s="4">
        <v>125.00000000000001</v>
      </c>
      <c r="S440" s="3">
        <v>14</v>
      </c>
      <c r="T440" s="1">
        <v>0.47060000000000002</v>
      </c>
      <c r="U440" s="6">
        <v>14.588600000000001</v>
      </c>
    </row>
    <row r="441" spans="1:21" x14ac:dyDescent="0.35">
      <c r="A441">
        <v>440</v>
      </c>
      <c r="B441" s="5">
        <v>44636</v>
      </c>
      <c r="C441" s="4">
        <v>2022</v>
      </c>
      <c r="D441" s="4">
        <v>3</v>
      </c>
      <c r="E441" s="14">
        <v>44636</v>
      </c>
      <c r="F441" s="4">
        <v>16</v>
      </c>
      <c r="G441">
        <v>240</v>
      </c>
      <c r="H441">
        <v>226</v>
      </c>
      <c r="I441" s="13">
        <v>0.94</v>
      </c>
      <c r="J441">
        <v>14</v>
      </c>
      <c r="K441" s="2">
        <v>4.1666666666666669E-4</v>
      </c>
      <c r="L441" s="11">
        <v>135.6</v>
      </c>
      <c r="M441" s="3">
        <v>0.6</v>
      </c>
      <c r="N441" s="4">
        <v>36</v>
      </c>
      <c r="O441" s="2">
        <v>1.5625000000000001E-3</v>
      </c>
      <c r="P441" s="9">
        <v>508.5</v>
      </c>
      <c r="Q441" s="3">
        <v>2.25</v>
      </c>
      <c r="R441" s="4">
        <v>135</v>
      </c>
      <c r="S441" s="3">
        <v>128</v>
      </c>
      <c r="T441" s="1">
        <v>0.57020000000000004</v>
      </c>
      <c r="U441" s="6">
        <v>128.86520000000002</v>
      </c>
    </row>
    <row r="442" spans="1:21" x14ac:dyDescent="0.35">
      <c r="A442">
        <v>441</v>
      </c>
      <c r="B442" s="5">
        <v>44637</v>
      </c>
      <c r="C442" s="4">
        <v>2022</v>
      </c>
      <c r="D442" s="4">
        <v>3</v>
      </c>
      <c r="E442" s="14">
        <v>44637</v>
      </c>
      <c r="F442" s="4">
        <v>17</v>
      </c>
      <c r="G442">
        <v>130</v>
      </c>
      <c r="H442">
        <v>118</v>
      </c>
      <c r="I442" s="13">
        <v>0.9</v>
      </c>
      <c r="J442">
        <v>12</v>
      </c>
      <c r="K442" s="2">
        <v>3.7037037037037035E-4</v>
      </c>
      <c r="L442" s="11">
        <v>62.93333333333333</v>
      </c>
      <c r="M442" s="3">
        <v>0.53333333333333333</v>
      </c>
      <c r="N442" s="4">
        <v>32</v>
      </c>
      <c r="O442" s="2">
        <v>1.6550925925925926E-3</v>
      </c>
      <c r="P442" s="9">
        <v>281.23333333333335</v>
      </c>
      <c r="Q442" s="3">
        <v>2.3833333333333333</v>
      </c>
      <c r="R442" s="4">
        <v>143</v>
      </c>
      <c r="S442" s="3">
        <v>68</v>
      </c>
      <c r="T442" s="1">
        <v>0.57809999999999995</v>
      </c>
      <c r="U442" s="6">
        <v>68.215799999999987</v>
      </c>
    </row>
    <row r="443" spans="1:21" x14ac:dyDescent="0.35">
      <c r="A443">
        <v>442</v>
      </c>
      <c r="B443" s="5">
        <v>44638</v>
      </c>
      <c r="C443" s="4">
        <v>2022</v>
      </c>
      <c r="D443" s="4">
        <v>3</v>
      </c>
      <c r="E443" s="14">
        <v>44638</v>
      </c>
      <c r="F443" s="4">
        <v>18</v>
      </c>
      <c r="G443">
        <v>140</v>
      </c>
      <c r="H443">
        <v>130</v>
      </c>
      <c r="I443" s="13">
        <v>0.92</v>
      </c>
      <c r="J443">
        <v>10</v>
      </c>
      <c r="K443" s="2">
        <v>3.3564814814814812E-4</v>
      </c>
      <c r="L443" s="11">
        <v>62.833333333333336</v>
      </c>
      <c r="M443" s="3">
        <v>0.48333333333333334</v>
      </c>
      <c r="N443" s="4">
        <v>29</v>
      </c>
      <c r="O443" s="2">
        <v>1.7476851851851852E-3</v>
      </c>
      <c r="P443" s="9">
        <v>327.16666666666669</v>
      </c>
      <c r="Q443" s="3">
        <v>2.5166666666666666</v>
      </c>
      <c r="R443" s="4">
        <v>151</v>
      </c>
      <c r="S443" s="3">
        <v>81</v>
      </c>
      <c r="T443" s="1">
        <v>0.62319999999999998</v>
      </c>
      <c r="U443" s="6">
        <v>81.015999999999991</v>
      </c>
    </row>
    <row r="444" spans="1:21" x14ac:dyDescent="0.35">
      <c r="A444">
        <v>443</v>
      </c>
      <c r="B444" s="5">
        <v>44639</v>
      </c>
      <c r="C444" s="4">
        <v>2022</v>
      </c>
      <c r="D444" s="4">
        <v>3</v>
      </c>
      <c r="E444" s="14">
        <v>44639</v>
      </c>
      <c r="F444" s="4">
        <v>19</v>
      </c>
      <c r="G444">
        <v>131</v>
      </c>
      <c r="H444">
        <v>111</v>
      </c>
      <c r="I444" s="13">
        <v>0.84</v>
      </c>
      <c r="J444">
        <v>20</v>
      </c>
      <c r="K444" s="2">
        <v>4.3981481481481481E-4</v>
      </c>
      <c r="L444" s="11">
        <v>70.3</v>
      </c>
      <c r="M444" s="3">
        <v>0.6333333333333333</v>
      </c>
      <c r="N444" s="4">
        <v>38</v>
      </c>
      <c r="O444" s="2">
        <v>2.2685185185185187E-3</v>
      </c>
      <c r="P444" s="9">
        <v>362.59999999999997</v>
      </c>
      <c r="Q444" s="3">
        <v>3.2666666666666666</v>
      </c>
      <c r="R444" s="4">
        <v>196</v>
      </c>
      <c r="S444" s="3">
        <v>66</v>
      </c>
      <c r="T444" s="1">
        <v>0.59689999999999999</v>
      </c>
      <c r="U444" s="6">
        <v>66.255899999999997</v>
      </c>
    </row>
    <row r="445" spans="1:21" x14ac:dyDescent="0.35">
      <c r="A445">
        <v>444</v>
      </c>
      <c r="B445" s="5">
        <v>44640</v>
      </c>
      <c r="C445" s="4">
        <v>2022</v>
      </c>
      <c r="D445" s="4">
        <v>3</v>
      </c>
      <c r="E445" s="14">
        <v>44640</v>
      </c>
      <c r="F445" s="4">
        <v>20</v>
      </c>
      <c r="G445">
        <v>74</v>
      </c>
      <c r="H445">
        <v>74</v>
      </c>
      <c r="I445" s="13">
        <v>1</v>
      </c>
      <c r="J445">
        <v>0</v>
      </c>
      <c r="K445" s="2">
        <v>1.5046296296296297E-4</v>
      </c>
      <c r="L445" s="11">
        <v>16.033333333333335</v>
      </c>
      <c r="M445" s="3">
        <v>0.21666666666666667</v>
      </c>
      <c r="N445" s="4">
        <v>13</v>
      </c>
      <c r="O445" s="2">
        <v>2.0254629629629629E-3</v>
      </c>
      <c r="P445" s="9">
        <v>215.83333333333331</v>
      </c>
      <c r="Q445" s="3">
        <v>2.9166666666666665</v>
      </c>
      <c r="R445" s="4">
        <v>175</v>
      </c>
      <c r="S445" s="3">
        <v>66</v>
      </c>
      <c r="T445" s="1">
        <v>0.89190000000000003</v>
      </c>
      <c r="U445" s="6">
        <v>66.000600000000006</v>
      </c>
    </row>
    <row r="446" spans="1:21" x14ac:dyDescent="0.35">
      <c r="A446">
        <v>445</v>
      </c>
      <c r="B446" s="5">
        <v>44641</v>
      </c>
      <c r="C446" s="4">
        <v>2022</v>
      </c>
      <c r="D446" s="4">
        <v>3</v>
      </c>
      <c r="E446" s="14">
        <v>44641</v>
      </c>
      <c r="F446" s="4">
        <v>21</v>
      </c>
      <c r="G446">
        <v>24</v>
      </c>
      <c r="H446">
        <v>24</v>
      </c>
      <c r="I446" s="13">
        <v>1</v>
      </c>
      <c r="J446">
        <v>0</v>
      </c>
      <c r="K446" s="2">
        <v>1.3888888888888889E-4</v>
      </c>
      <c r="L446" s="11">
        <v>4.8000000000000007</v>
      </c>
      <c r="M446" s="3">
        <v>0.2</v>
      </c>
      <c r="N446" s="4">
        <v>12</v>
      </c>
      <c r="O446" s="2">
        <v>1.9328703703703704E-3</v>
      </c>
      <c r="P446" s="9">
        <v>66.8</v>
      </c>
      <c r="Q446" s="3">
        <v>2.7833333333333332</v>
      </c>
      <c r="R446" s="4">
        <v>167</v>
      </c>
      <c r="S446" s="3">
        <v>19</v>
      </c>
      <c r="T446" s="1">
        <v>0.83330000000000004</v>
      </c>
      <c r="U446" s="6">
        <v>19.999200000000002</v>
      </c>
    </row>
    <row r="447" spans="1:21" x14ac:dyDescent="0.35">
      <c r="A447">
        <v>446</v>
      </c>
      <c r="B447" s="5">
        <v>44642</v>
      </c>
      <c r="C447" s="4">
        <v>2022</v>
      </c>
      <c r="D447" s="4">
        <v>3</v>
      </c>
      <c r="E447" s="14">
        <v>44642</v>
      </c>
      <c r="F447" s="4">
        <v>22</v>
      </c>
      <c r="G447">
        <v>11</v>
      </c>
      <c r="H447">
        <v>10</v>
      </c>
      <c r="I447" s="13">
        <v>0.9</v>
      </c>
      <c r="J447">
        <v>1</v>
      </c>
      <c r="K447" s="2">
        <v>1.5046296296296297E-4</v>
      </c>
      <c r="L447" s="11">
        <v>2.166666666666667</v>
      </c>
      <c r="M447" s="3">
        <v>0.21666666666666667</v>
      </c>
      <c r="N447" s="4">
        <v>13</v>
      </c>
      <c r="O447" s="2">
        <v>1.6666666666666668E-3</v>
      </c>
      <c r="P447" s="9">
        <v>24</v>
      </c>
      <c r="Q447" s="3">
        <v>2.4</v>
      </c>
      <c r="R447" s="4">
        <v>144</v>
      </c>
      <c r="S447" s="3">
        <v>8</v>
      </c>
      <c r="T447" s="1">
        <v>0.81820000000000004</v>
      </c>
      <c r="U447" s="6">
        <v>8.1820000000000004</v>
      </c>
    </row>
    <row r="448" spans="1:21" x14ac:dyDescent="0.35">
      <c r="A448">
        <v>447</v>
      </c>
      <c r="B448" s="5">
        <v>44643</v>
      </c>
      <c r="C448" s="4">
        <v>2022</v>
      </c>
      <c r="D448" s="4">
        <v>3</v>
      </c>
      <c r="E448" s="14">
        <v>44643</v>
      </c>
      <c r="F448" s="4">
        <v>23</v>
      </c>
      <c r="G448">
        <v>28</v>
      </c>
      <c r="H448">
        <v>26</v>
      </c>
      <c r="I448" s="13">
        <v>0.92</v>
      </c>
      <c r="J448">
        <v>2</v>
      </c>
      <c r="K448" s="2">
        <v>1.1574074074074075E-4</v>
      </c>
      <c r="L448" s="11">
        <v>4.333333333333333</v>
      </c>
      <c r="M448" s="3">
        <v>0.16666666666666666</v>
      </c>
      <c r="N448" s="4">
        <v>10</v>
      </c>
      <c r="O448" s="2">
        <v>1.736111111111111E-3</v>
      </c>
      <c r="P448" s="9">
        <v>65</v>
      </c>
      <c r="Q448" s="3">
        <v>2.5</v>
      </c>
      <c r="R448" s="4">
        <v>150</v>
      </c>
      <c r="S448" s="3">
        <v>21</v>
      </c>
      <c r="T448" s="1">
        <v>0.81479999999999997</v>
      </c>
      <c r="U448" s="6">
        <v>21.184799999999999</v>
      </c>
    </row>
    <row r="449" spans="1:21" x14ac:dyDescent="0.35">
      <c r="A449">
        <v>448</v>
      </c>
      <c r="B449" s="5">
        <v>44644</v>
      </c>
      <c r="C449" s="4">
        <v>2022</v>
      </c>
      <c r="D449" s="4">
        <v>3</v>
      </c>
      <c r="E449" s="14">
        <v>44644</v>
      </c>
      <c r="F449" s="4">
        <v>24</v>
      </c>
      <c r="G449">
        <v>43</v>
      </c>
      <c r="H449">
        <v>43</v>
      </c>
      <c r="I449" s="13">
        <v>1</v>
      </c>
      <c r="J449">
        <v>0</v>
      </c>
      <c r="K449" s="2">
        <v>9.2592592592592588E-5</v>
      </c>
      <c r="L449" s="11">
        <v>5.7333333333333334</v>
      </c>
      <c r="M449" s="3">
        <v>0.13333333333333333</v>
      </c>
      <c r="N449" s="4">
        <v>8</v>
      </c>
      <c r="O449" s="2">
        <v>1.6550925925925926E-3</v>
      </c>
      <c r="P449" s="9">
        <v>102.48333333333333</v>
      </c>
      <c r="Q449" s="3">
        <v>2.3833333333333333</v>
      </c>
      <c r="R449" s="4">
        <v>143</v>
      </c>
      <c r="S449" s="3">
        <v>37</v>
      </c>
      <c r="T449" s="1">
        <v>0.88370000000000004</v>
      </c>
      <c r="U449" s="6">
        <v>37.999099999999999</v>
      </c>
    </row>
    <row r="450" spans="1:21" x14ac:dyDescent="0.35">
      <c r="A450">
        <v>449</v>
      </c>
      <c r="B450" s="5">
        <v>44645</v>
      </c>
      <c r="C450" s="4">
        <v>2022</v>
      </c>
      <c r="D450" s="4">
        <v>3</v>
      </c>
      <c r="E450" s="14">
        <v>44645</v>
      </c>
      <c r="F450" s="4">
        <v>25</v>
      </c>
      <c r="G450">
        <v>62</v>
      </c>
      <c r="H450">
        <v>62</v>
      </c>
      <c r="I450" s="13">
        <v>1</v>
      </c>
      <c r="J450">
        <v>0</v>
      </c>
      <c r="K450" s="2">
        <v>1.9675925925925926E-4</v>
      </c>
      <c r="L450" s="11">
        <v>17.566666666666666</v>
      </c>
      <c r="M450" s="3">
        <v>0.28333333333333333</v>
      </c>
      <c r="N450" s="4">
        <v>17</v>
      </c>
      <c r="O450" s="2">
        <v>1.5277777777777779E-3</v>
      </c>
      <c r="P450" s="9">
        <v>136.4</v>
      </c>
      <c r="Q450" s="3">
        <v>2.2000000000000002</v>
      </c>
      <c r="R450" s="4">
        <v>132</v>
      </c>
      <c r="S450" s="3">
        <v>51</v>
      </c>
      <c r="T450" s="1">
        <v>0.8226</v>
      </c>
      <c r="U450" s="6">
        <v>51.001199999999997</v>
      </c>
    </row>
    <row r="451" spans="1:21" x14ac:dyDescent="0.35">
      <c r="A451">
        <v>450</v>
      </c>
      <c r="B451" s="5">
        <v>44646</v>
      </c>
      <c r="C451" s="4">
        <v>2022</v>
      </c>
      <c r="D451" s="4">
        <v>3</v>
      </c>
      <c r="E451" s="14">
        <v>44646</v>
      </c>
      <c r="F451" s="4">
        <v>26</v>
      </c>
      <c r="G451">
        <v>70</v>
      </c>
      <c r="H451">
        <v>69</v>
      </c>
      <c r="I451" s="13">
        <v>0.98</v>
      </c>
      <c r="J451">
        <v>1</v>
      </c>
      <c r="K451" s="2">
        <v>2.5462962962962961E-4</v>
      </c>
      <c r="L451" s="11">
        <v>25.299999999999997</v>
      </c>
      <c r="M451" s="3">
        <v>0.36666666666666664</v>
      </c>
      <c r="N451" s="4">
        <v>22</v>
      </c>
      <c r="O451" s="2">
        <v>1.4583333333333334E-3</v>
      </c>
      <c r="P451" s="9">
        <v>144.9</v>
      </c>
      <c r="Q451" s="3">
        <v>2.1</v>
      </c>
      <c r="R451" s="4">
        <v>126</v>
      </c>
      <c r="S451" s="3">
        <v>56</v>
      </c>
      <c r="T451" s="1">
        <v>0.81430000000000002</v>
      </c>
      <c r="U451" s="6">
        <v>56.186700000000002</v>
      </c>
    </row>
    <row r="452" spans="1:21" x14ac:dyDescent="0.35">
      <c r="A452">
        <v>451</v>
      </c>
      <c r="B452" s="5">
        <v>44647</v>
      </c>
      <c r="C452" s="4">
        <v>2022</v>
      </c>
      <c r="D452" s="4">
        <v>3</v>
      </c>
      <c r="E452" s="14">
        <v>44647</v>
      </c>
      <c r="F452" s="4">
        <v>27</v>
      </c>
      <c r="G452">
        <v>107</v>
      </c>
      <c r="H452">
        <v>97</v>
      </c>
      <c r="I452" s="13">
        <v>0.9</v>
      </c>
      <c r="J452">
        <v>10</v>
      </c>
      <c r="K452" s="2">
        <v>2.4305555555555555E-4</v>
      </c>
      <c r="L452" s="11">
        <v>33.949999999999996</v>
      </c>
      <c r="M452" s="3">
        <v>0.35</v>
      </c>
      <c r="N452" s="4">
        <v>21</v>
      </c>
      <c r="O452" s="2">
        <v>1.6898148148148148E-3</v>
      </c>
      <c r="P452" s="9">
        <v>236.03333333333336</v>
      </c>
      <c r="Q452" s="3">
        <v>2.4333333333333336</v>
      </c>
      <c r="R452" s="4">
        <v>146</v>
      </c>
      <c r="S452" s="3">
        <v>66</v>
      </c>
      <c r="T452" s="1">
        <v>0.68869999999999998</v>
      </c>
      <c r="U452" s="6">
        <v>66.803899999999999</v>
      </c>
    </row>
    <row r="453" spans="1:21" x14ac:dyDescent="0.35">
      <c r="A453">
        <v>452</v>
      </c>
      <c r="B453" s="5">
        <v>44648</v>
      </c>
      <c r="C453" s="4">
        <v>2022</v>
      </c>
      <c r="D453" s="4">
        <v>3</v>
      </c>
      <c r="E453" s="14">
        <v>44648</v>
      </c>
      <c r="F453" s="4">
        <v>28</v>
      </c>
      <c r="G453">
        <v>91</v>
      </c>
      <c r="H453">
        <v>85</v>
      </c>
      <c r="I453" s="13">
        <v>0.93</v>
      </c>
      <c r="J453">
        <v>6</v>
      </c>
      <c r="K453" s="2">
        <v>3.4722222222222224E-4</v>
      </c>
      <c r="L453" s="11">
        <v>42.5</v>
      </c>
      <c r="M453" s="3">
        <v>0.5</v>
      </c>
      <c r="N453" s="4">
        <v>30</v>
      </c>
      <c r="O453" s="2">
        <v>1.7013888888888888E-3</v>
      </c>
      <c r="P453" s="9">
        <v>208.25000000000003</v>
      </c>
      <c r="Q453" s="3">
        <v>2.4500000000000002</v>
      </c>
      <c r="R453" s="4">
        <v>147</v>
      </c>
      <c r="S453" s="3">
        <v>53</v>
      </c>
      <c r="T453" s="1">
        <v>0.62639999999999996</v>
      </c>
      <c r="U453" s="6">
        <v>53.244</v>
      </c>
    </row>
    <row r="454" spans="1:21" x14ac:dyDescent="0.35">
      <c r="A454">
        <v>453</v>
      </c>
      <c r="B454" s="5">
        <v>44649</v>
      </c>
      <c r="C454" s="4">
        <v>2022</v>
      </c>
      <c r="D454" s="4">
        <v>3</v>
      </c>
      <c r="E454" s="14">
        <v>44649</v>
      </c>
      <c r="F454" s="4">
        <v>29</v>
      </c>
      <c r="G454">
        <v>25</v>
      </c>
      <c r="H454">
        <v>25</v>
      </c>
      <c r="I454" s="13">
        <v>1</v>
      </c>
      <c r="J454">
        <v>0</v>
      </c>
      <c r="K454" s="2">
        <v>1.273148148148148E-4</v>
      </c>
      <c r="L454" s="11">
        <v>4.583333333333333</v>
      </c>
      <c r="M454" s="3">
        <v>0.18333333333333332</v>
      </c>
      <c r="N454" s="4">
        <v>11</v>
      </c>
      <c r="O454" s="2">
        <v>1.8518518518518519E-3</v>
      </c>
      <c r="P454" s="9">
        <v>66.666666666666657</v>
      </c>
      <c r="Q454" s="3">
        <v>2.6666666666666665</v>
      </c>
      <c r="R454" s="4">
        <v>160</v>
      </c>
      <c r="S454" s="3">
        <v>21</v>
      </c>
      <c r="T454" s="1">
        <v>0.84</v>
      </c>
      <c r="U454" s="6">
        <v>21</v>
      </c>
    </row>
    <row r="455" spans="1:21" x14ac:dyDescent="0.35">
      <c r="A455">
        <v>454</v>
      </c>
      <c r="B455" s="5">
        <v>44650</v>
      </c>
      <c r="C455" s="4">
        <v>2022</v>
      </c>
      <c r="D455" s="4">
        <v>3</v>
      </c>
      <c r="E455" s="14">
        <v>44650</v>
      </c>
      <c r="F455" s="4">
        <v>30</v>
      </c>
      <c r="G455">
        <v>85</v>
      </c>
      <c r="H455">
        <v>79</v>
      </c>
      <c r="I455" s="13">
        <v>0.92</v>
      </c>
      <c r="J455">
        <v>6</v>
      </c>
      <c r="K455" s="2">
        <v>2.7777777777777778E-4</v>
      </c>
      <c r="L455" s="11">
        <v>31.6</v>
      </c>
      <c r="M455" s="3">
        <v>0.4</v>
      </c>
      <c r="N455" s="4">
        <v>24</v>
      </c>
      <c r="O455" s="2">
        <v>1.7476851851851852E-3</v>
      </c>
      <c r="P455" s="9">
        <v>198.81666666666666</v>
      </c>
      <c r="Q455" s="3">
        <v>2.5166666666666666</v>
      </c>
      <c r="R455" s="4">
        <v>151</v>
      </c>
      <c r="S455" s="3">
        <v>57</v>
      </c>
      <c r="T455" s="1">
        <v>0.72289999999999999</v>
      </c>
      <c r="U455" s="6">
        <v>57.109099999999998</v>
      </c>
    </row>
    <row r="456" spans="1:21" x14ac:dyDescent="0.35">
      <c r="A456">
        <v>455</v>
      </c>
      <c r="B456" s="5">
        <v>44651</v>
      </c>
      <c r="C456" s="4">
        <v>2022</v>
      </c>
      <c r="D456" s="4">
        <v>3</v>
      </c>
      <c r="E456" s="14">
        <v>44651</v>
      </c>
      <c r="F456" s="4">
        <v>31</v>
      </c>
      <c r="G456">
        <v>91</v>
      </c>
      <c r="H456">
        <v>83</v>
      </c>
      <c r="I456" s="13">
        <v>0.91</v>
      </c>
      <c r="J456">
        <v>8</v>
      </c>
      <c r="K456" s="2">
        <v>3.0092592592592595E-4</v>
      </c>
      <c r="L456" s="11">
        <v>35.966666666666669</v>
      </c>
      <c r="M456" s="3">
        <v>0.43333333333333335</v>
      </c>
      <c r="N456" s="4">
        <v>26</v>
      </c>
      <c r="O456" s="2">
        <v>1.8171296296296297E-3</v>
      </c>
      <c r="P456" s="9">
        <v>217.18333333333334</v>
      </c>
      <c r="Q456" s="3">
        <v>2.6166666666666667</v>
      </c>
      <c r="R456" s="4">
        <v>157</v>
      </c>
      <c r="S456" s="3">
        <v>51</v>
      </c>
      <c r="T456" s="1">
        <v>0.62639999999999996</v>
      </c>
      <c r="U456" s="6">
        <v>51.991199999999999</v>
      </c>
    </row>
    <row r="457" spans="1:21" x14ac:dyDescent="0.35">
      <c r="A457">
        <v>456</v>
      </c>
      <c r="B457" s="5">
        <v>44652</v>
      </c>
      <c r="C457" s="4">
        <v>2022</v>
      </c>
      <c r="D457" s="4">
        <v>4</v>
      </c>
      <c r="E457" s="14">
        <v>44652</v>
      </c>
      <c r="F457" s="4">
        <v>1</v>
      </c>
      <c r="G457">
        <v>48</v>
      </c>
      <c r="H457">
        <v>46</v>
      </c>
      <c r="I457" s="13">
        <v>0.95</v>
      </c>
      <c r="J457">
        <v>2</v>
      </c>
      <c r="K457" s="2">
        <v>1.273148148148148E-4</v>
      </c>
      <c r="L457" s="11">
        <v>8.4333333333333336</v>
      </c>
      <c r="M457" s="3">
        <v>0.18333333333333332</v>
      </c>
      <c r="N457" s="4">
        <v>11</v>
      </c>
      <c r="O457" s="2">
        <v>1.5393518518518519E-3</v>
      </c>
      <c r="P457" s="9">
        <v>101.96666666666667</v>
      </c>
      <c r="Q457" s="3">
        <v>2.2166666666666668</v>
      </c>
      <c r="R457" s="4">
        <v>133</v>
      </c>
      <c r="S457" s="3">
        <v>38</v>
      </c>
      <c r="T457" s="1">
        <v>0.82979999999999998</v>
      </c>
      <c r="U457" s="6">
        <v>38.1708</v>
      </c>
    </row>
    <row r="458" spans="1:21" x14ac:dyDescent="0.35">
      <c r="A458">
        <v>457</v>
      </c>
      <c r="B458" s="5">
        <v>44653</v>
      </c>
      <c r="C458" s="4">
        <v>2022</v>
      </c>
      <c r="D458" s="4">
        <v>4</v>
      </c>
      <c r="E458" s="14">
        <v>44653</v>
      </c>
      <c r="F458" s="4">
        <v>2</v>
      </c>
      <c r="G458">
        <v>14</v>
      </c>
      <c r="H458">
        <v>11</v>
      </c>
      <c r="I458" s="13">
        <v>0.78</v>
      </c>
      <c r="J458">
        <v>3</v>
      </c>
      <c r="K458" s="2">
        <v>2.0833333333333335E-4</v>
      </c>
      <c r="L458" s="11">
        <v>3.3</v>
      </c>
      <c r="M458" s="3">
        <v>0.3</v>
      </c>
      <c r="N458" s="4">
        <v>18</v>
      </c>
      <c r="O458" s="2">
        <v>1.7013888888888888E-3</v>
      </c>
      <c r="P458" s="9">
        <v>26.950000000000003</v>
      </c>
      <c r="Q458" s="3">
        <v>2.4500000000000002</v>
      </c>
      <c r="R458" s="4">
        <v>147</v>
      </c>
      <c r="S458" s="3">
        <v>6</v>
      </c>
      <c r="T458" s="1">
        <v>0.61539999999999995</v>
      </c>
      <c r="U458" s="6">
        <v>6.7693999999999992</v>
      </c>
    </row>
    <row r="459" spans="1:21" x14ac:dyDescent="0.35">
      <c r="A459">
        <v>458</v>
      </c>
      <c r="B459" s="5">
        <v>44654</v>
      </c>
      <c r="C459" s="4">
        <v>2022</v>
      </c>
      <c r="D459" s="4">
        <v>4</v>
      </c>
      <c r="E459" s="14">
        <v>44654</v>
      </c>
      <c r="F459" s="4">
        <v>3</v>
      </c>
      <c r="G459">
        <v>43</v>
      </c>
      <c r="H459">
        <v>42</v>
      </c>
      <c r="I459" s="13">
        <v>0.97</v>
      </c>
      <c r="J459">
        <v>1</v>
      </c>
      <c r="K459" s="2">
        <v>2.5462962962962961E-4</v>
      </c>
      <c r="L459" s="11">
        <v>15.399999999999999</v>
      </c>
      <c r="M459" s="3">
        <v>0.36666666666666664</v>
      </c>
      <c r="N459" s="4">
        <v>22</v>
      </c>
      <c r="O459" s="2">
        <v>1.9328703703703704E-3</v>
      </c>
      <c r="P459" s="9">
        <v>116.89999999999999</v>
      </c>
      <c r="Q459" s="3">
        <v>2.7833333333333332</v>
      </c>
      <c r="R459" s="4">
        <v>167</v>
      </c>
      <c r="S459" s="3">
        <v>31</v>
      </c>
      <c r="T459" s="1">
        <v>0.73809999999999998</v>
      </c>
      <c r="U459" s="6">
        <v>31.0002</v>
      </c>
    </row>
    <row r="460" spans="1:21" x14ac:dyDescent="0.35">
      <c r="A460">
        <v>459</v>
      </c>
      <c r="B460" s="5">
        <v>44655</v>
      </c>
      <c r="C460" s="4">
        <v>2022</v>
      </c>
      <c r="D460" s="4">
        <v>4</v>
      </c>
      <c r="E460" s="14">
        <v>44655</v>
      </c>
      <c r="F460" s="4">
        <v>4</v>
      </c>
      <c r="G460">
        <v>74</v>
      </c>
      <c r="H460">
        <v>69</v>
      </c>
      <c r="I460" s="13">
        <v>0.93</v>
      </c>
      <c r="J460">
        <v>5</v>
      </c>
      <c r="K460" s="2">
        <v>2.6620370370370372E-4</v>
      </c>
      <c r="L460" s="11">
        <v>26.450000000000003</v>
      </c>
      <c r="M460" s="3">
        <v>0.38333333333333336</v>
      </c>
      <c r="N460" s="4">
        <v>23</v>
      </c>
      <c r="O460" s="2">
        <v>1.7476851851851852E-3</v>
      </c>
      <c r="P460" s="9">
        <v>173.65</v>
      </c>
      <c r="Q460" s="3">
        <v>2.5166666666666666</v>
      </c>
      <c r="R460" s="4">
        <v>151</v>
      </c>
      <c r="S460" s="3">
        <v>52</v>
      </c>
      <c r="T460" s="1">
        <v>0.7671</v>
      </c>
      <c r="U460" s="6">
        <v>52.929900000000004</v>
      </c>
    </row>
    <row r="461" spans="1:21" x14ac:dyDescent="0.35">
      <c r="A461">
        <v>460</v>
      </c>
      <c r="B461" s="5">
        <v>44656</v>
      </c>
      <c r="C461" s="4">
        <v>2022</v>
      </c>
      <c r="D461" s="4">
        <v>4</v>
      </c>
      <c r="E461" s="14">
        <v>44656</v>
      </c>
      <c r="F461" s="4">
        <v>5</v>
      </c>
      <c r="G461">
        <v>33</v>
      </c>
      <c r="H461">
        <v>33</v>
      </c>
      <c r="I461" s="13">
        <v>1</v>
      </c>
      <c r="J461">
        <v>0</v>
      </c>
      <c r="K461" s="2">
        <v>1.6203703703703703E-4</v>
      </c>
      <c r="L461" s="11">
        <v>7.7</v>
      </c>
      <c r="M461" s="3">
        <v>0.23333333333333334</v>
      </c>
      <c r="N461" s="4">
        <v>14</v>
      </c>
      <c r="O461" s="2">
        <v>1.6782407407407408E-3</v>
      </c>
      <c r="P461" s="9">
        <v>79.75</v>
      </c>
      <c r="Q461" s="3">
        <v>2.4166666666666665</v>
      </c>
      <c r="R461" s="4">
        <v>145</v>
      </c>
      <c r="S461" s="3">
        <v>27</v>
      </c>
      <c r="T461" s="1">
        <v>0.81820000000000004</v>
      </c>
      <c r="U461" s="6">
        <v>27.000600000000002</v>
      </c>
    </row>
    <row r="462" spans="1:21" x14ac:dyDescent="0.35">
      <c r="A462">
        <v>461</v>
      </c>
      <c r="B462" s="5">
        <v>44657</v>
      </c>
      <c r="C462" s="4">
        <v>2022</v>
      </c>
      <c r="D462" s="4">
        <v>4</v>
      </c>
      <c r="E462" s="14">
        <v>44657</v>
      </c>
      <c r="F462" s="4">
        <v>6</v>
      </c>
      <c r="G462">
        <v>124</v>
      </c>
      <c r="H462">
        <v>112</v>
      </c>
      <c r="I462" s="13">
        <v>0.9</v>
      </c>
      <c r="J462">
        <v>12</v>
      </c>
      <c r="K462" s="2">
        <v>3.0092592592592595E-4</v>
      </c>
      <c r="L462" s="11">
        <v>48.533333333333331</v>
      </c>
      <c r="M462" s="3">
        <v>0.43333333333333335</v>
      </c>
      <c r="N462" s="4">
        <v>26</v>
      </c>
      <c r="O462" s="2">
        <v>1.8055555555555555E-3</v>
      </c>
      <c r="P462" s="9">
        <v>291.2</v>
      </c>
      <c r="Q462" s="3">
        <v>2.6</v>
      </c>
      <c r="R462" s="4">
        <v>156</v>
      </c>
      <c r="S462" s="3">
        <v>72</v>
      </c>
      <c r="T462" s="1">
        <v>0.64749999999999996</v>
      </c>
      <c r="U462" s="6">
        <v>72.52</v>
      </c>
    </row>
    <row r="463" spans="1:21" x14ac:dyDescent="0.35">
      <c r="A463">
        <v>462</v>
      </c>
      <c r="B463" s="5">
        <v>44658</v>
      </c>
      <c r="C463" s="4">
        <v>2022</v>
      </c>
      <c r="D463" s="4">
        <v>4</v>
      </c>
      <c r="E463" s="14">
        <v>44658</v>
      </c>
      <c r="F463" s="4">
        <v>7</v>
      </c>
      <c r="G463">
        <v>130</v>
      </c>
      <c r="H463">
        <v>126</v>
      </c>
      <c r="I463" s="13">
        <v>0.96</v>
      </c>
      <c r="J463">
        <v>4</v>
      </c>
      <c r="K463" s="2">
        <v>2.8935185185185184E-4</v>
      </c>
      <c r="L463" s="11">
        <v>52.5</v>
      </c>
      <c r="M463" s="3">
        <v>0.41666666666666669</v>
      </c>
      <c r="N463" s="4">
        <v>25</v>
      </c>
      <c r="O463" s="2">
        <v>1.736111111111111E-3</v>
      </c>
      <c r="P463" s="9">
        <v>315</v>
      </c>
      <c r="Q463" s="3">
        <v>2.5</v>
      </c>
      <c r="R463" s="4">
        <v>150</v>
      </c>
      <c r="S463" s="3">
        <v>83</v>
      </c>
      <c r="T463" s="1">
        <v>0.65890000000000004</v>
      </c>
      <c r="U463" s="6">
        <v>83.0214</v>
      </c>
    </row>
    <row r="464" spans="1:21" x14ac:dyDescent="0.35">
      <c r="A464">
        <v>463</v>
      </c>
      <c r="B464" s="5">
        <v>44659</v>
      </c>
      <c r="C464" s="4">
        <v>2022</v>
      </c>
      <c r="D464" s="4">
        <v>4</v>
      </c>
      <c r="E464" s="14">
        <v>44659</v>
      </c>
      <c r="F464" s="4">
        <v>8</v>
      </c>
      <c r="G464">
        <v>139</v>
      </c>
      <c r="H464">
        <v>139</v>
      </c>
      <c r="I464" s="13">
        <v>1</v>
      </c>
      <c r="J464">
        <v>0</v>
      </c>
      <c r="K464" s="2">
        <v>2.0833333333333335E-4</v>
      </c>
      <c r="L464" s="11">
        <v>41.699999999999996</v>
      </c>
      <c r="M464" s="3">
        <v>0.3</v>
      </c>
      <c r="N464" s="4">
        <v>18</v>
      </c>
      <c r="O464" s="2">
        <v>1.8518518518518519E-3</v>
      </c>
      <c r="P464" s="9">
        <v>370.66666666666663</v>
      </c>
      <c r="Q464" s="3">
        <v>2.6666666666666665</v>
      </c>
      <c r="R464" s="4">
        <v>160</v>
      </c>
      <c r="S464" s="3">
        <v>107</v>
      </c>
      <c r="T464" s="1">
        <v>0.77539999999999998</v>
      </c>
      <c r="U464" s="6">
        <v>107.78059999999999</v>
      </c>
    </row>
    <row r="465" spans="1:21" x14ac:dyDescent="0.35">
      <c r="A465">
        <v>464</v>
      </c>
      <c r="B465" s="5">
        <v>44660</v>
      </c>
      <c r="C465" s="4">
        <v>2022</v>
      </c>
      <c r="D465" s="4">
        <v>4</v>
      </c>
      <c r="E465" s="14">
        <v>44660</v>
      </c>
      <c r="F465" s="4">
        <v>9</v>
      </c>
      <c r="G465">
        <v>138</v>
      </c>
      <c r="H465">
        <v>130</v>
      </c>
      <c r="I465" s="13">
        <v>0.94</v>
      </c>
      <c r="J465">
        <v>8</v>
      </c>
      <c r="K465" s="2">
        <v>3.0092592592592595E-4</v>
      </c>
      <c r="L465" s="11">
        <v>56.333333333333336</v>
      </c>
      <c r="M465" s="3">
        <v>0.43333333333333335</v>
      </c>
      <c r="N465" s="4">
        <v>26</v>
      </c>
      <c r="O465" s="2">
        <v>1.7013888888888888E-3</v>
      </c>
      <c r="P465" s="9">
        <v>318.5</v>
      </c>
      <c r="Q465" s="3">
        <v>2.4500000000000002</v>
      </c>
      <c r="R465" s="4">
        <v>147</v>
      </c>
      <c r="S465" s="3">
        <v>79</v>
      </c>
      <c r="T465" s="1">
        <v>0.61480000000000001</v>
      </c>
      <c r="U465" s="6">
        <v>79.924000000000007</v>
      </c>
    </row>
    <row r="466" spans="1:21" x14ac:dyDescent="0.35">
      <c r="A466">
        <v>465</v>
      </c>
      <c r="B466" s="5">
        <v>44661</v>
      </c>
      <c r="C466" s="4">
        <v>2022</v>
      </c>
      <c r="D466" s="4">
        <v>4</v>
      </c>
      <c r="E466" s="14">
        <v>44661</v>
      </c>
      <c r="F466" s="4">
        <v>10</v>
      </c>
      <c r="G466">
        <v>125</v>
      </c>
      <c r="H466">
        <v>119</v>
      </c>
      <c r="I466" s="13">
        <v>0.95</v>
      </c>
      <c r="J466">
        <v>6</v>
      </c>
      <c r="K466" s="2">
        <v>2.5462962962962961E-4</v>
      </c>
      <c r="L466" s="11">
        <v>43.633333333333333</v>
      </c>
      <c r="M466" s="3">
        <v>0.36666666666666664</v>
      </c>
      <c r="N466" s="4">
        <v>22</v>
      </c>
      <c r="O466" s="2">
        <v>1.724537037037037E-3</v>
      </c>
      <c r="P466" s="9">
        <v>295.51666666666665</v>
      </c>
      <c r="Q466" s="3">
        <v>2.4833333333333334</v>
      </c>
      <c r="R466" s="4">
        <v>149</v>
      </c>
      <c r="S466" s="3">
        <v>80</v>
      </c>
      <c r="T466" s="1">
        <v>0.68</v>
      </c>
      <c r="U466" s="6">
        <v>80.92</v>
      </c>
    </row>
    <row r="467" spans="1:21" x14ac:dyDescent="0.35">
      <c r="A467">
        <v>466</v>
      </c>
      <c r="B467" s="5">
        <v>44662</v>
      </c>
      <c r="C467" s="4">
        <v>2022</v>
      </c>
      <c r="D467" s="4">
        <v>4</v>
      </c>
      <c r="E467" s="14">
        <v>44662</v>
      </c>
      <c r="F467" s="4">
        <v>11</v>
      </c>
      <c r="G467">
        <v>98</v>
      </c>
      <c r="H467">
        <v>96</v>
      </c>
      <c r="I467" s="13">
        <v>0.97</v>
      </c>
      <c r="J467">
        <v>2</v>
      </c>
      <c r="K467" s="2">
        <v>2.3148148148148149E-4</v>
      </c>
      <c r="L467" s="11">
        <v>32</v>
      </c>
      <c r="M467" s="3">
        <v>0.33333333333333331</v>
      </c>
      <c r="N467" s="4">
        <v>20</v>
      </c>
      <c r="O467" s="2">
        <v>1.8055555555555555E-3</v>
      </c>
      <c r="P467" s="9">
        <v>249.60000000000002</v>
      </c>
      <c r="Q467" s="3">
        <v>2.6</v>
      </c>
      <c r="R467" s="4">
        <v>156</v>
      </c>
      <c r="S467" s="3">
        <v>74</v>
      </c>
      <c r="T467" s="1">
        <v>0.7732</v>
      </c>
      <c r="U467" s="6">
        <v>74.227199999999996</v>
      </c>
    </row>
    <row r="468" spans="1:21" x14ac:dyDescent="0.35">
      <c r="A468">
        <v>467</v>
      </c>
      <c r="B468" s="5">
        <v>44663</v>
      </c>
      <c r="C468" s="4">
        <v>2022</v>
      </c>
      <c r="D468" s="4">
        <v>4</v>
      </c>
      <c r="E468" s="14">
        <v>44663</v>
      </c>
      <c r="F468" s="4">
        <v>12</v>
      </c>
      <c r="G468">
        <v>12</v>
      </c>
      <c r="H468">
        <v>12</v>
      </c>
      <c r="I468" s="13">
        <v>1</v>
      </c>
      <c r="J468">
        <v>0</v>
      </c>
      <c r="K468" s="2">
        <v>2.0833333333333335E-4</v>
      </c>
      <c r="L468" s="11">
        <v>3.5999999999999996</v>
      </c>
      <c r="M468" s="3">
        <v>0.3</v>
      </c>
      <c r="N468" s="4">
        <v>18</v>
      </c>
      <c r="O468" s="2">
        <v>2.1643518518518518E-3</v>
      </c>
      <c r="P468" s="9">
        <v>37.4</v>
      </c>
      <c r="Q468" s="3">
        <v>3.1166666666666667</v>
      </c>
      <c r="R468" s="4">
        <v>187</v>
      </c>
      <c r="S468" s="3">
        <v>9</v>
      </c>
      <c r="T468" s="1">
        <v>0.83330000000000004</v>
      </c>
      <c r="U468" s="6">
        <v>9.9996000000000009</v>
      </c>
    </row>
    <row r="469" spans="1:21" x14ac:dyDescent="0.35">
      <c r="A469">
        <v>468</v>
      </c>
      <c r="B469" s="5">
        <v>44664</v>
      </c>
      <c r="C469" s="4">
        <v>2022</v>
      </c>
      <c r="D469" s="4">
        <v>4</v>
      </c>
      <c r="E469" s="14">
        <v>44664</v>
      </c>
      <c r="F469" s="4">
        <v>13</v>
      </c>
      <c r="G469">
        <v>119</v>
      </c>
      <c r="H469">
        <v>117</v>
      </c>
      <c r="I469" s="13">
        <v>0.98</v>
      </c>
      <c r="J469">
        <v>2</v>
      </c>
      <c r="K469" s="2">
        <v>2.0833333333333335E-4</v>
      </c>
      <c r="L469" s="11">
        <v>35.1</v>
      </c>
      <c r="M469" s="3">
        <v>0.3</v>
      </c>
      <c r="N469" s="4">
        <v>18</v>
      </c>
      <c r="O469" s="2">
        <v>1.8402777777777777E-3</v>
      </c>
      <c r="P469" s="9">
        <v>310.05</v>
      </c>
      <c r="Q469" s="3">
        <v>2.65</v>
      </c>
      <c r="R469" s="4">
        <v>159</v>
      </c>
      <c r="S469" s="3">
        <v>91</v>
      </c>
      <c r="T469" s="1">
        <v>0.78149999999999997</v>
      </c>
      <c r="U469" s="6">
        <v>91.43549999999999</v>
      </c>
    </row>
    <row r="470" spans="1:21" x14ac:dyDescent="0.35">
      <c r="A470">
        <v>469</v>
      </c>
      <c r="B470" s="5">
        <v>44665</v>
      </c>
      <c r="C470" s="4">
        <v>2022</v>
      </c>
      <c r="D470" s="4">
        <v>4</v>
      </c>
      <c r="E470" s="14">
        <v>44665</v>
      </c>
      <c r="F470" s="4">
        <v>14</v>
      </c>
      <c r="G470">
        <v>100</v>
      </c>
      <c r="H470">
        <v>96</v>
      </c>
      <c r="I470" s="13">
        <v>0.96</v>
      </c>
      <c r="J470">
        <v>4</v>
      </c>
      <c r="K470" s="2">
        <v>2.4305555555555555E-4</v>
      </c>
      <c r="L470" s="11">
        <v>33.599999999999994</v>
      </c>
      <c r="M470" s="3">
        <v>0.35</v>
      </c>
      <c r="N470" s="4">
        <v>21</v>
      </c>
      <c r="O470" s="2">
        <v>1.8171296296296297E-3</v>
      </c>
      <c r="P470" s="9">
        <v>251.2</v>
      </c>
      <c r="Q470" s="3">
        <v>2.6166666666666667</v>
      </c>
      <c r="R470" s="4">
        <v>157</v>
      </c>
      <c r="S470" s="3">
        <v>72</v>
      </c>
      <c r="T470" s="1">
        <v>0.76</v>
      </c>
      <c r="U470" s="6">
        <v>72.960000000000008</v>
      </c>
    </row>
    <row r="471" spans="1:21" x14ac:dyDescent="0.35">
      <c r="A471">
        <v>470</v>
      </c>
      <c r="B471" s="5">
        <v>44666</v>
      </c>
      <c r="C471" s="4">
        <v>2022</v>
      </c>
      <c r="D471" s="4">
        <v>4</v>
      </c>
      <c r="E471" s="14">
        <v>44666</v>
      </c>
      <c r="F471" s="4">
        <v>15</v>
      </c>
      <c r="G471">
        <v>146</v>
      </c>
      <c r="H471">
        <v>133</v>
      </c>
      <c r="I471" s="13">
        <v>0.91</v>
      </c>
      <c r="J471">
        <v>13</v>
      </c>
      <c r="K471" s="2">
        <v>3.5879629629629629E-4</v>
      </c>
      <c r="L471" s="11">
        <v>68.716666666666669</v>
      </c>
      <c r="M471" s="3">
        <v>0.51666666666666672</v>
      </c>
      <c r="N471" s="4">
        <v>31.000000000000004</v>
      </c>
      <c r="O471" s="2">
        <v>1.736111111111111E-3</v>
      </c>
      <c r="P471" s="9">
        <v>332.5</v>
      </c>
      <c r="Q471" s="3">
        <v>2.5</v>
      </c>
      <c r="R471" s="4">
        <v>150</v>
      </c>
      <c r="S471" s="3">
        <v>76</v>
      </c>
      <c r="T471" s="1">
        <v>0.57750000000000001</v>
      </c>
      <c r="U471" s="6">
        <v>76.807500000000005</v>
      </c>
    </row>
    <row r="472" spans="1:21" x14ac:dyDescent="0.35">
      <c r="A472">
        <v>471</v>
      </c>
      <c r="B472" s="5">
        <v>44667</v>
      </c>
      <c r="C472" s="4">
        <v>2022</v>
      </c>
      <c r="D472" s="4">
        <v>4</v>
      </c>
      <c r="E472" s="14">
        <v>44667</v>
      </c>
      <c r="F472" s="4">
        <v>16</v>
      </c>
      <c r="G472">
        <v>131</v>
      </c>
      <c r="H472">
        <v>127</v>
      </c>
      <c r="I472" s="13">
        <v>0.96</v>
      </c>
      <c r="J472">
        <v>4</v>
      </c>
      <c r="K472" s="2">
        <v>2.5462962962962961E-4</v>
      </c>
      <c r="L472" s="11">
        <v>46.566666666666663</v>
      </c>
      <c r="M472" s="3">
        <v>0.36666666666666664</v>
      </c>
      <c r="N472" s="4">
        <v>22</v>
      </c>
      <c r="O472" s="2">
        <v>1.6782407407407408E-3</v>
      </c>
      <c r="P472" s="9">
        <v>306.91666666666663</v>
      </c>
      <c r="Q472" s="3">
        <v>2.4166666666666665</v>
      </c>
      <c r="R472" s="4">
        <v>145</v>
      </c>
      <c r="S472" s="3">
        <v>92</v>
      </c>
      <c r="T472" s="1">
        <v>0.72660000000000002</v>
      </c>
      <c r="U472" s="6">
        <v>92.278199999999998</v>
      </c>
    </row>
    <row r="473" spans="1:21" x14ac:dyDescent="0.35">
      <c r="A473">
        <v>472</v>
      </c>
      <c r="B473" s="5">
        <v>44668</v>
      </c>
      <c r="C473" s="4">
        <v>2022</v>
      </c>
      <c r="D473" s="4">
        <v>4</v>
      </c>
      <c r="E473" s="14">
        <v>44668</v>
      </c>
      <c r="F473" s="4">
        <v>17</v>
      </c>
      <c r="G473">
        <v>107</v>
      </c>
      <c r="H473">
        <v>104</v>
      </c>
      <c r="I473" s="13">
        <v>0.97</v>
      </c>
      <c r="J473">
        <v>3</v>
      </c>
      <c r="K473" s="2">
        <v>9.2592592592592588E-5</v>
      </c>
      <c r="L473" s="11">
        <v>13.866666666666667</v>
      </c>
      <c r="M473" s="3">
        <v>0.13333333333333333</v>
      </c>
      <c r="N473" s="4">
        <v>8</v>
      </c>
      <c r="O473" s="2">
        <v>1.7013888888888888E-3</v>
      </c>
      <c r="P473" s="9">
        <v>254.8</v>
      </c>
      <c r="Q473" s="3">
        <v>2.4500000000000002</v>
      </c>
      <c r="R473" s="4">
        <v>147</v>
      </c>
      <c r="S473" s="3">
        <v>96</v>
      </c>
      <c r="T473" s="1">
        <v>0.92449999999999999</v>
      </c>
      <c r="U473" s="6">
        <v>96.147999999999996</v>
      </c>
    </row>
    <row r="474" spans="1:21" x14ac:dyDescent="0.35">
      <c r="A474">
        <v>473</v>
      </c>
      <c r="B474" s="5">
        <v>44669</v>
      </c>
      <c r="C474" s="4">
        <v>2022</v>
      </c>
      <c r="D474" s="4">
        <v>4</v>
      </c>
      <c r="E474" s="14">
        <v>44669</v>
      </c>
      <c r="F474" s="4">
        <v>18</v>
      </c>
      <c r="G474">
        <v>112</v>
      </c>
      <c r="H474">
        <v>105</v>
      </c>
      <c r="I474" s="13">
        <v>0.93</v>
      </c>
      <c r="J474">
        <v>7</v>
      </c>
      <c r="K474" s="2">
        <v>2.7777777777777778E-4</v>
      </c>
      <c r="L474" s="11">
        <v>42</v>
      </c>
      <c r="M474" s="3">
        <v>0.4</v>
      </c>
      <c r="N474" s="4">
        <v>24</v>
      </c>
      <c r="O474" s="2">
        <v>1.8287037037037037E-3</v>
      </c>
      <c r="P474" s="9">
        <v>276.5</v>
      </c>
      <c r="Q474" s="3">
        <v>2.6333333333333333</v>
      </c>
      <c r="R474" s="4">
        <v>158</v>
      </c>
      <c r="S474" s="3">
        <v>70</v>
      </c>
      <c r="T474" s="1">
        <v>0.67269999999999996</v>
      </c>
      <c r="U474" s="6">
        <v>70.633499999999998</v>
      </c>
    </row>
    <row r="475" spans="1:21" x14ac:dyDescent="0.35">
      <c r="A475">
        <v>474</v>
      </c>
      <c r="B475" s="5">
        <v>44670</v>
      </c>
      <c r="C475" s="4">
        <v>2022</v>
      </c>
      <c r="D475" s="4">
        <v>4</v>
      </c>
      <c r="E475" s="14">
        <v>44670</v>
      </c>
      <c r="F475" s="4">
        <v>19</v>
      </c>
      <c r="G475">
        <v>21</v>
      </c>
      <c r="H475">
        <v>21</v>
      </c>
      <c r="I475" s="13">
        <v>1</v>
      </c>
      <c r="J475">
        <v>0</v>
      </c>
      <c r="K475" s="2">
        <v>3.7037037037037035E-4</v>
      </c>
      <c r="L475" s="11">
        <v>11.2</v>
      </c>
      <c r="M475" s="3">
        <v>0.53333333333333333</v>
      </c>
      <c r="N475" s="4">
        <v>32</v>
      </c>
      <c r="O475" s="2">
        <v>1.7476851851851852E-3</v>
      </c>
      <c r="P475" s="9">
        <v>52.85</v>
      </c>
      <c r="Q475" s="3">
        <v>2.5166666666666666</v>
      </c>
      <c r="R475" s="4">
        <v>151</v>
      </c>
      <c r="S475" s="3">
        <v>10</v>
      </c>
      <c r="T475" s="1">
        <v>0.52380000000000004</v>
      </c>
      <c r="U475" s="6">
        <v>10.9998</v>
      </c>
    </row>
    <row r="476" spans="1:21" x14ac:dyDescent="0.35">
      <c r="A476">
        <v>475</v>
      </c>
      <c r="B476" s="5">
        <v>44671</v>
      </c>
      <c r="C476" s="4">
        <v>2022</v>
      </c>
      <c r="D476" s="4">
        <v>4</v>
      </c>
      <c r="E476" s="14">
        <v>44671</v>
      </c>
      <c r="F476" s="4">
        <v>20</v>
      </c>
      <c r="G476">
        <v>125</v>
      </c>
      <c r="H476">
        <v>104</v>
      </c>
      <c r="I476" s="13">
        <v>0.83</v>
      </c>
      <c r="J476">
        <v>21</v>
      </c>
      <c r="K476" s="2">
        <v>4.2824074074074075E-4</v>
      </c>
      <c r="L476" s="11">
        <v>64.13333333333334</v>
      </c>
      <c r="M476" s="3">
        <v>0.6166666666666667</v>
      </c>
      <c r="N476" s="4">
        <v>37</v>
      </c>
      <c r="O476" s="2">
        <v>1.8981481481481482E-3</v>
      </c>
      <c r="P476" s="9">
        <v>284.26666666666665</v>
      </c>
      <c r="Q476" s="3">
        <v>2.7333333333333334</v>
      </c>
      <c r="R476" s="4">
        <v>164</v>
      </c>
      <c r="S476" s="3">
        <v>46</v>
      </c>
      <c r="T476" s="1">
        <v>0.44629999999999997</v>
      </c>
      <c r="U476" s="6">
        <v>46.415199999999999</v>
      </c>
    </row>
    <row r="477" spans="1:21" x14ac:dyDescent="0.35">
      <c r="A477">
        <v>476</v>
      </c>
      <c r="B477" s="5">
        <v>44672</v>
      </c>
      <c r="C477" s="4">
        <v>2022</v>
      </c>
      <c r="D477" s="4">
        <v>4</v>
      </c>
      <c r="E477" s="14">
        <v>44672</v>
      </c>
      <c r="F477" s="4">
        <v>21</v>
      </c>
      <c r="G477">
        <v>35</v>
      </c>
      <c r="H477">
        <v>34</v>
      </c>
      <c r="I477" s="13">
        <v>0.97</v>
      </c>
      <c r="J477">
        <v>1</v>
      </c>
      <c r="K477" s="2">
        <v>2.7777777777777778E-4</v>
      </c>
      <c r="L477" s="11">
        <v>13.600000000000001</v>
      </c>
      <c r="M477" s="3">
        <v>0.4</v>
      </c>
      <c r="N477" s="4">
        <v>24</v>
      </c>
      <c r="O477" s="2">
        <v>1.5277777777777779E-3</v>
      </c>
      <c r="P477" s="9">
        <v>74.800000000000011</v>
      </c>
      <c r="Q477" s="3">
        <v>2.2000000000000002</v>
      </c>
      <c r="R477" s="4">
        <v>132</v>
      </c>
      <c r="S477" s="3">
        <v>25</v>
      </c>
      <c r="T477" s="1">
        <v>0.7429</v>
      </c>
      <c r="U477" s="6">
        <v>25.258600000000001</v>
      </c>
    </row>
    <row r="478" spans="1:21" x14ac:dyDescent="0.35">
      <c r="A478">
        <v>477</v>
      </c>
      <c r="B478" s="5">
        <v>44673</v>
      </c>
      <c r="C478" s="4">
        <v>2022</v>
      </c>
      <c r="D478" s="4">
        <v>4</v>
      </c>
      <c r="E478" s="14">
        <v>44673</v>
      </c>
      <c r="F478" s="4">
        <v>22</v>
      </c>
      <c r="G478">
        <v>121</v>
      </c>
      <c r="H478">
        <v>109</v>
      </c>
      <c r="I478" s="13">
        <v>0.9</v>
      </c>
      <c r="J478">
        <v>12</v>
      </c>
      <c r="K478" s="2">
        <v>4.3981481481481481E-4</v>
      </c>
      <c r="L478" s="11">
        <v>69.033333333333331</v>
      </c>
      <c r="M478" s="3">
        <v>0.6333333333333333</v>
      </c>
      <c r="N478" s="4">
        <v>38</v>
      </c>
      <c r="O478" s="2">
        <v>1.7592592592592592E-3</v>
      </c>
      <c r="P478" s="9">
        <v>276.13333333333333</v>
      </c>
      <c r="Q478" s="3">
        <v>2.5333333333333332</v>
      </c>
      <c r="R478" s="4">
        <v>152</v>
      </c>
      <c r="S478" s="3">
        <v>58</v>
      </c>
      <c r="T478" s="1">
        <v>0.53779999999999994</v>
      </c>
      <c r="U478" s="6">
        <v>58.620199999999997</v>
      </c>
    </row>
    <row r="479" spans="1:21" x14ac:dyDescent="0.35">
      <c r="A479">
        <v>478</v>
      </c>
      <c r="B479" s="5">
        <v>44674</v>
      </c>
      <c r="C479" s="4">
        <v>2022</v>
      </c>
      <c r="D479" s="4">
        <v>4</v>
      </c>
      <c r="E479" s="14">
        <v>44674</v>
      </c>
      <c r="F479" s="4">
        <v>23</v>
      </c>
      <c r="G479">
        <v>135</v>
      </c>
      <c r="H479">
        <v>122</v>
      </c>
      <c r="I479" s="13">
        <v>0.9</v>
      </c>
      <c r="J479">
        <v>13</v>
      </c>
      <c r="K479" s="2">
        <v>3.7037037037037035E-4</v>
      </c>
      <c r="L479" s="11">
        <v>65.066666666666663</v>
      </c>
      <c r="M479" s="3">
        <v>0.53333333333333333</v>
      </c>
      <c r="N479" s="4">
        <v>32</v>
      </c>
      <c r="O479" s="2">
        <v>1.7824074074074075E-3</v>
      </c>
      <c r="P479" s="9">
        <v>313.13333333333333</v>
      </c>
      <c r="Q479" s="3">
        <v>2.5666666666666664</v>
      </c>
      <c r="R479" s="4">
        <v>154</v>
      </c>
      <c r="S479" s="3">
        <v>70</v>
      </c>
      <c r="T479" s="1">
        <v>0.57579999999999998</v>
      </c>
      <c r="U479" s="6">
        <v>70.247599999999991</v>
      </c>
    </row>
    <row r="480" spans="1:21" x14ac:dyDescent="0.35">
      <c r="A480">
        <v>479</v>
      </c>
      <c r="B480" s="5">
        <v>44675</v>
      </c>
      <c r="C480" s="4">
        <v>2022</v>
      </c>
      <c r="D480" s="4">
        <v>4</v>
      </c>
      <c r="E480" s="14">
        <v>44675</v>
      </c>
      <c r="F480" s="4">
        <v>24</v>
      </c>
      <c r="G480">
        <v>117</v>
      </c>
      <c r="H480">
        <v>114</v>
      </c>
      <c r="I480" s="13">
        <v>0.97</v>
      </c>
      <c r="J480">
        <v>3</v>
      </c>
      <c r="K480" s="2">
        <v>2.5462962962962961E-4</v>
      </c>
      <c r="L480" s="11">
        <v>41.8</v>
      </c>
      <c r="M480" s="3">
        <v>0.36666666666666664</v>
      </c>
      <c r="N480" s="4">
        <v>22</v>
      </c>
      <c r="O480" s="2">
        <v>1.8287037037037037E-3</v>
      </c>
      <c r="P480" s="9">
        <v>300.2</v>
      </c>
      <c r="Q480" s="3">
        <v>2.6333333333333333</v>
      </c>
      <c r="R480" s="4">
        <v>158</v>
      </c>
      <c r="S480" s="3">
        <v>86</v>
      </c>
      <c r="T480" s="1">
        <v>0.75860000000000005</v>
      </c>
      <c r="U480" s="6">
        <v>86.480400000000003</v>
      </c>
    </row>
    <row r="481" spans="1:21" x14ac:dyDescent="0.35">
      <c r="A481">
        <v>480</v>
      </c>
      <c r="B481" s="5">
        <v>44676</v>
      </c>
      <c r="C481" s="4">
        <v>2022</v>
      </c>
      <c r="D481" s="4">
        <v>4</v>
      </c>
      <c r="E481" s="14">
        <v>44676</v>
      </c>
      <c r="F481" s="4">
        <v>25</v>
      </c>
      <c r="G481">
        <v>114</v>
      </c>
      <c r="H481">
        <v>97</v>
      </c>
      <c r="I481" s="13">
        <v>0.85</v>
      </c>
      <c r="J481">
        <v>17</v>
      </c>
      <c r="K481" s="2">
        <v>4.5138888888888887E-4</v>
      </c>
      <c r="L481" s="11">
        <v>63.050000000000004</v>
      </c>
      <c r="M481" s="3">
        <v>0.65</v>
      </c>
      <c r="N481" s="4">
        <v>39</v>
      </c>
      <c r="O481" s="2">
        <v>1.9675925925925924E-3</v>
      </c>
      <c r="P481" s="9">
        <v>274.83333333333337</v>
      </c>
      <c r="Q481" s="3">
        <v>2.8333333333333335</v>
      </c>
      <c r="R481" s="4">
        <v>170</v>
      </c>
      <c r="S481" s="3">
        <v>43</v>
      </c>
      <c r="T481" s="1">
        <v>0.45129999999999998</v>
      </c>
      <c r="U481" s="6">
        <v>43.7761</v>
      </c>
    </row>
    <row r="482" spans="1:21" x14ac:dyDescent="0.35">
      <c r="A482">
        <v>481</v>
      </c>
      <c r="B482" s="5">
        <v>44677</v>
      </c>
      <c r="C482" s="4">
        <v>2022</v>
      </c>
      <c r="D482" s="4">
        <v>4</v>
      </c>
      <c r="E482" s="14">
        <v>44677</v>
      </c>
      <c r="F482" s="4">
        <v>26</v>
      </c>
      <c r="G482">
        <v>50</v>
      </c>
      <c r="H482">
        <v>49</v>
      </c>
      <c r="I482" s="13">
        <v>0.98</v>
      </c>
      <c r="J482">
        <v>1</v>
      </c>
      <c r="K482" s="2">
        <v>4.0509259259259258E-4</v>
      </c>
      <c r="L482" s="11">
        <v>28.583333333333336</v>
      </c>
      <c r="M482" s="3">
        <v>0.58333333333333337</v>
      </c>
      <c r="N482" s="4">
        <v>35</v>
      </c>
      <c r="O482" s="2">
        <v>2.0254629629629629E-3</v>
      </c>
      <c r="P482" s="9">
        <v>142.91666666666666</v>
      </c>
      <c r="Q482" s="3">
        <v>2.9166666666666665</v>
      </c>
      <c r="R482" s="4">
        <v>175</v>
      </c>
      <c r="S482" s="3">
        <v>25</v>
      </c>
      <c r="T482" s="1">
        <v>0.52</v>
      </c>
      <c r="U482" s="6">
        <v>25.48</v>
      </c>
    </row>
    <row r="483" spans="1:21" x14ac:dyDescent="0.35">
      <c r="A483">
        <v>482</v>
      </c>
      <c r="B483" s="5">
        <v>44678</v>
      </c>
      <c r="C483" s="4">
        <v>2022</v>
      </c>
      <c r="D483" s="4">
        <v>4</v>
      </c>
      <c r="E483" s="14">
        <v>44678</v>
      </c>
      <c r="F483" s="4">
        <v>27</v>
      </c>
      <c r="G483">
        <v>207</v>
      </c>
      <c r="H483">
        <v>198</v>
      </c>
      <c r="I483" s="13">
        <v>0.95</v>
      </c>
      <c r="J483">
        <v>9</v>
      </c>
      <c r="K483" s="2">
        <v>1.8518518518518518E-4</v>
      </c>
      <c r="L483" s="11">
        <v>52.8</v>
      </c>
      <c r="M483" s="3">
        <v>0.26666666666666666</v>
      </c>
      <c r="N483" s="4">
        <v>16</v>
      </c>
      <c r="O483" s="2">
        <v>1.8865740740740742E-3</v>
      </c>
      <c r="P483" s="9">
        <v>537.9</v>
      </c>
      <c r="Q483" s="3">
        <v>2.7166666666666668</v>
      </c>
      <c r="R483" s="4">
        <v>163</v>
      </c>
      <c r="S483" s="3">
        <v>159</v>
      </c>
      <c r="T483" s="1">
        <v>0.80489999999999995</v>
      </c>
      <c r="U483" s="6">
        <v>159.37019999999998</v>
      </c>
    </row>
    <row r="484" spans="1:21" x14ac:dyDescent="0.35">
      <c r="A484">
        <v>483</v>
      </c>
      <c r="B484" s="5">
        <v>44679</v>
      </c>
      <c r="C484" s="4">
        <v>2022</v>
      </c>
      <c r="D484" s="4">
        <v>4</v>
      </c>
      <c r="E484" s="14">
        <v>44679</v>
      </c>
      <c r="F484" s="4">
        <v>28</v>
      </c>
      <c r="G484">
        <v>189</v>
      </c>
      <c r="H484">
        <v>183</v>
      </c>
      <c r="I484" s="13">
        <v>0.96</v>
      </c>
      <c r="J484">
        <v>6</v>
      </c>
      <c r="K484" s="2">
        <v>2.4305555555555555E-4</v>
      </c>
      <c r="L484" s="11">
        <v>64.05</v>
      </c>
      <c r="M484" s="3">
        <v>0.35</v>
      </c>
      <c r="N484" s="4">
        <v>21</v>
      </c>
      <c r="O484" s="2">
        <v>1.7476851851851852E-3</v>
      </c>
      <c r="P484" s="9">
        <v>460.55</v>
      </c>
      <c r="Q484" s="3">
        <v>2.5166666666666666</v>
      </c>
      <c r="R484" s="4">
        <v>151</v>
      </c>
      <c r="S484" s="3">
        <v>135</v>
      </c>
      <c r="T484" s="1">
        <v>0.7419</v>
      </c>
      <c r="U484" s="6">
        <v>135.76769999999999</v>
      </c>
    </row>
    <row r="485" spans="1:21" x14ac:dyDescent="0.35">
      <c r="A485">
        <v>484</v>
      </c>
      <c r="B485" s="5">
        <v>44680</v>
      </c>
      <c r="C485" s="4">
        <v>2022</v>
      </c>
      <c r="D485" s="4">
        <v>4</v>
      </c>
      <c r="E485" s="14">
        <v>44680</v>
      </c>
      <c r="F485" s="4">
        <v>29</v>
      </c>
      <c r="G485">
        <v>162</v>
      </c>
      <c r="H485">
        <v>156</v>
      </c>
      <c r="I485" s="13">
        <v>0.96</v>
      </c>
      <c r="J485">
        <v>6</v>
      </c>
      <c r="K485" s="2">
        <v>2.7777777777777778E-4</v>
      </c>
      <c r="L485" s="11">
        <v>62.400000000000006</v>
      </c>
      <c r="M485" s="3">
        <v>0.4</v>
      </c>
      <c r="N485" s="4">
        <v>24</v>
      </c>
      <c r="O485" s="2">
        <v>1.6435185185185185E-3</v>
      </c>
      <c r="P485" s="9">
        <v>369.2</v>
      </c>
      <c r="Q485" s="3">
        <v>2.3666666666666667</v>
      </c>
      <c r="R485" s="4">
        <v>142</v>
      </c>
      <c r="S485" s="3">
        <v>103</v>
      </c>
      <c r="T485" s="1">
        <v>0.66459999999999997</v>
      </c>
      <c r="U485" s="6">
        <v>103.6776</v>
      </c>
    </row>
    <row r="486" spans="1:21" x14ac:dyDescent="0.35">
      <c r="A486">
        <v>485</v>
      </c>
      <c r="B486" s="5">
        <v>44681</v>
      </c>
      <c r="C486" s="4">
        <v>2022</v>
      </c>
      <c r="D486" s="4">
        <v>4</v>
      </c>
      <c r="E486" s="14">
        <v>44681</v>
      </c>
      <c r="F486" s="4">
        <v>30</v>
      </c>
      <c r="G486">
        <v>177</v>
      </c>
      <c r="H486">
        <v>165</v>
      </c>
      <c r="I486" s="13">
        <v>0.93</v>
      </c>
      <c r="J486">
        <v>12</v>
      </c>
      <c r="K486" s="2">
        <v>3.0092592592592595E-4</v>
      </c>
      <c r="L486" s="11">
        <v>71.5</v>
      </c>
      <c r="M486" s="3">
        <v>0.43333333333333335</v>
      </c>
      <c r="N486" s="4">
        <v>26</v>
      </c>
      <c r="O486" s="2">
        <v>1.7476851851851852E-3</v>
      </c>
      <c r="P486" s="9">
        <v>415.25</v>
      </c>
      <c r="Q486" s="3">
        <v>2.5166666666666666</v>
      </c>
      <c r="R486" s="4">
        <v>151</v>
      </c>
      <c r="S486" s="3">
        <v>109</v>
      </c>
      <c r="T486" s="1">
        <v>0.66469999999999996</v>
      </c>
      <c r="U486" s="6">
        <v>109.6755</v>
      </c>
    </row>
    <row r="487" spans="1:21" x14ac:dyDescent="0.35">
      <c r="A487">
        <v>486</v>
      </c>
      <c r="B487" s="5">
        <v>44682</v>
      </c>
      <c r="C487" s="4">
        <v>2022</v>
      </c>
      <c r="D487" s="4">
        <v>5</v>
      </c>
      <c r="E487" s="14">
        <v>44682</v>
      </c>
      <c r="F487" s="4">
        <v>1</v>
      </c>
      <c r="G487">
        <v>177</v>
      </c>
      <c r="H487">
        <v>167</v>
      </c>
      <c r="I487" s="13">
        <v>0.94</v>
      </c>
      <c r="J487">
        <v>10</v>
      </c>
      <c r="K487" s="2">
        <v>2.6620370370370372E-4</v>
      </c>
      <c r="L487" s="11">
        <v>64.016666666666666</v>
      </c>
      <c r="M487" s="3">
        <v>0.38333333333333336</v>
      </c>
      <c r="N487" s="4">
        <v>23</v>
      </c>
      <c r="O487" s="2">
        <v>1.7939814814814815E-3</v>
      </c>
      <c r="P487" s="9">
        <v>431.41666666666669</v>
      </c>
      <c r="Q487" s="3">
        <v>2.5833333333333335</v>
      </c>
      <c r="R487" s="4">
        <v>155</v>
      </c>
      <c r="S487" s="3">
        <v>115</v>
      </c>
      <c r="T487" s="1">
        <v>0.68969999999999998</v>
      </c>
      <c r="U487" s="6">
        <v>115.1799</v>
      </c>
    </row>
    <row r="488" spans="1:21" x14ac:dyDescent="0.35">
      <c r="A488">
        <v>487</v>
      </c>
      <c r="B488" s="5">
        <v>44683</v>
      </c>
      <c r="C488" s="4">
        <v>2022</v>
      </c>
      <c r="D488" s="4">
        <v>5</v>
      </c>
      <c r="E488" s="14">
        <v>44683</v>
      </c>
      <c r="F488" s="4">
        <v>2</v>
      </c>
      <c r="G488">
        <v>163</v>
      </c>
      <c r="H488">
        <v>134</v>
      </c>
      <c r="I488" s="13">
        <v>0.82</v>
      </c>
      <c r="J488">
        <v>29</v>
      </c>
      <c r="K488" s="2">
        <v>4.3981481481481481E-4</v>
      </c>
      <c r="L488" s="11">
        <v>84.86666666666666</v>
      </c>
      <c r="M488" s="3">
        <v>0.6333333333333333</v>
      </c>
      <c r="N488" s="4">
        <v>38</v>
      </c>
      <c r="O488" s="2">
        <v>1.8749999999999999E-3</v>
      </c>
      <c r="P488" s="9">
        <v>361.8</v>
      </c>
      <c r="Q488" s="3">
        <v>2.7</v>
      </c>
      <c r="R488" s="4">
        <v>162</v>
      </c>
      <c r="S488" s="3">
        <v>63</v>
      </c>
      <c r="T488" s="1">
        <v>0.47199999999999998</v>
      </c>
      <c r="U488" s="6">
        <v>63.247999999999998</v>
      </c>
    </row>
    <row r="489" spans="1:21" x14ac:dyDescent="0.35">
      <c r="A489">
        <v>488</v>
      </c>
      <c r="B489" s="5">
        <v>44684</v>
      </c>
      <c r="C489" s="4">
        <v>2022</v>
      </c>
      <c r="D489" s="4">
        <v>5</v>
      </c>
      <c r="E489" s="14">
        <v>44684</v>
      </c>
      <c r="F489" s="4">
        <v>3</v>
      </c>
      <c r="G489">
        <v>24</v>
      </c>
      <c r="H489">
        <v>20</v>
      </c>
      <c r="I489" s="13">
        <v>0.83</v>
      </c>
      <c r="J489">
        <v>4</v>
      </c>
      <c r="K489" s="2">
        <v>3.0092592592592595E-4</v>
      </c>
      <c r="L489" s="11">
        <v>8.6666666666666679</v>
      </c>
      <c r="M489" s="3">
        <v>0.43333333333333335</v>
      </c>
      <c r="N489" s="4">
        <v>26</v>
      </c>
      <c r="O489" s="2">
        <v>2.3495370370370371E-3</v>
      </c>
      <c r="P489" s="9">
        <v>67.666666666666671</v>
      </c>
      <c r="Q489" s="3">
        <v>3.3833333333333333</v>
      </c>
      <c r="R489" s="4">
        <v>203</v>
      </c>
      <c r="S489" s="3">
        <v>13</v>
      </c>
      <c r="T489" s="1">
        <v>0.6522</v>
      </c>
      <c r="U489" s="6">
        <v>13.044</v>
      </c>
    </row>
    <row r="490" spans="1:21" x14ac:dyDescent="0.35">
      <c r="A490">
        <v>489</v>
      </c>
      <c r="B490" s="5">
        <v>44685</v>
      </c>
      <c r="C490" s="4">
        <v>2022</v>
      </c>
      <c r="D490" s="4">
        <v>5</v>
      </c>
      <c r="E490" s="14">
        <v>44685</v>
      </c>
      <c r="F490" s="4">
        <v>4</v>
      </c>
      <c r="G490">
        <v>146</v>
      </c>
      <c r="H490">
        <v>139</v>
      </c>
      <c r="I490" s="13">
        <v>0.95</v>
      </c>
      <c r="J490">
        <v>7</v>
      </c>
      <c r="K490" s="2">
        <v>2.0833333333333335E-4</v>
      </c>
      <c r="L490" s="11">
        <v>41.699999999999996</v>
      </c>
      <c r="M490" s="3">
        <v>0.3</v>
      </c>
      <c r="N490" s="4">
        <v>18</v>
      </c>
      <c r="O490" s="2">
        <v>1.7824074074074075E-3</v>
      </c>
      <c r="P490" s="9">
        <v>356.76666666666665</v>
      </c>
      <c r="Q490" s="3">
        <v>2.5666666666666664</v>
      </c>
      <c r="R490" s="4">
        <v>154</v>
      </c>
      <c r="S490" s="3">
        <v>105</v>
      </c>
      <c r="T490" s="1">
        <v>0.75860000000000005</v>
      </c>
      <c r="U490" s="6">
        <v>105.44540000000001</v>
      </c>
    </row>
    <row r="491" spans="1:21" x14ac:dyDescent="0.35">
      <c r="A491">
        <v>490</v>
      </c>
      <c r="B491" s="5">
        <v>44686</v>
      </c>
      <c r="C491" s="4">
        <v>2022</v>
      </c>
      <c r="D491" s="4">
        <v>5</v>
      </c>
      <c r="E491" s="14">
        <v>44686</v>
      </c>
      <c r="F491" s="4">
        <v>5</v>
      </c>
      <c r="G491">
        <v>143</v>
      </c>
      <c r="H491">
        <v>141</v>
      </c>
      <c r="I491" s="13">
        <v>0.98</v>
      </c>
      <c r="J491">
        <v>2</v>
      </c>
      <c r="K491" s="2">
        <v>2.5462962962962961E-4</v>
      </c>
      <c r="L491" s="11">
        <v>51.699999999999996</v>
      </c>
      <c r="M491" s="3">
        <v>0.36666666666666664</v>
      </c>
      <c r="N491" s="4">
        <v>22</v>
      </c>
      <c r="O491" s="2">
        <v>1.9097222222222222E-3</v>
      </c>
      <c r="P491" s="9">
        <v>387.75</v>
      </c>
      <c r="Q491" s="3">
        <v>2.75</v>
      </c>
      <c r="R491" s="4">
        <v>165</v>
      </c>
      <c r="S491" s="3">
        <v>101</v>
      </c>
      <c r="T491" s="1">
        <v>0.72030000000000005</v>
      </c>
      <c r="U491" s="6">
        <v>101.56230000000001</v>
      </c>
    </row>
    <row r="492" spans="1:21" x14ac:dyDescent="0.35">
      <c r="A492">
        <v>491</v>
      </c>
      <c r="B492" s="5">
        <v>44687</v>
      </c>
      <c r="C492" s="4">
        <v>2022</v>
      </c>
      <c r="D492" s="4">
        <v>5</v>
      </c>
      <c r="E492" s="14">
        <v>44687</v>
      </c>
      <c r="F492" s="4">
        <v>6</v>
      </c>
      <c r="G492">
        <v>132</v>
      </c>
      <c r="H492">
        <v>122</v>
      </c>
      <c r="I492" s="13">
        <v>0.92</v>
      </c>
      <c r="J492">
        <v>10</v>
      </c>
      <c r="K492" s="2">
        <v>3.5879629629629629E-4</v>
      </c>
      <c r="L492" s="11">
        <v>63.033333333333339</v>
      </c>
      <c r="M492" s="3">
        <v>0.51666666666666672</v>
      </c>
      <c r="N492" s="4">
        <v>31.000000000000004</v>
      </c>
      <c r="O492" s="2">
        <v>1.712962962962963E-3</v>
      </c>
      <c r="P492" s="9">
        <v>300.93333333333334</v>
      </c>
      <c r="Q492" s="3">
        <v>2.4666666666666668</v>
      </c>
      <c r="R492" s="4">
        <v>148</v>
      </c>
      <c r="S492" s="3">
        <v>68</v>
      </c>
      <c r="T492" s="1">
        <v>0.56489999999999996</v>
      </c>
      <c r="U492" s="6">
        <v>68.9178</v>
      </c>
    </row>
    <row r="493" spans="1:21" x14ac:dyDescent="0.35">
      <c r="A493">
        <v>492</v>
      </c>
      <c r="B493" s="5">
        <v>44688</v>
      </c>
      <c r="C493" s="4">
        <v>2022</v>
      </c>
      <c r="D493" s="4">
        <v>5</v>
      </c>
      <c r="E493" s="14">
        <v>44688</v>
      </c>
      <c r="F493" s="4">
        <v>7</v>
      </c>
      <c r="G493">
        <v>137</v>
      </c>
      <c r="H493">
        <v>130</v>
      </c>
      <c r="I493" s="13">
        <v>0.94</v>
      </c>
      <c r="J493">
        <v>7</v>
      </c>
      <c r="K493" s="2">
        <v>3.0092592592592595E-4</v>
      </c>
      <c r="L493" s="11">
        <v>56.333333333333336</v>
      </c>
      <c r="M493" s="3">
        <v>0.43333333333333335</v>
      </c>
      <c r="N493" s="4">
        <v>26</v>
      </c>
      <c r="O493" s="2">
        <v>1.6782407407407408E-3</v>
      </c>
      <c r="P493" s="9">
        <v>314.16666666666663</v>
      </c>
      <c r="Q493" s="3">
        <v>2.4166666666666665</v>
      </c>
      <c r="R493" s="4">
        <v>145</v>
      </c>
      <c r="S493" s="3">
        <v>83</v>
      </c>
      <c r="T493" s="1">
        <v>0.64439999999999997</v>
      </c>
      <c r="U493" s="6">
        <v>83.771999999999991</v>
      </c>
    </row>
    <row r="494" spans="1:21" x14ac:dyDescent="0.35">
      <c r="A494">
        <v>493</v>
      </c>
      <c r="B494" s="5">
        <v>44689</v>
      </c>
      <c r="C494" s="4">
        <v>2022</v>
      </c>
      <c r="D494" s="4">
        <v>5</v>
      </c>
      <c r="E494" s="14">
        <v>44689</v>
      </c>
      <c r="F494" s="4">
        <v>8</v>
      </c>
      <c r="G494">
        <v>112</v>
      </c>
      <c r="H494">
        <v>104</v>
      </c>
      <c r="I494" s="13">
        <v>0.92</v>
      </c>
      <c r="J494">
        <v>8</v>
      </c>
      <c r="K494" s="2">
        <v>4.9768518518518521E-4</v>
      </c>
      <c r="L494" s="11">
        <v>74.533333333333331</v>
      </c>
      <c r="M494" s="3">
        <v>0.71666666666666667</v>
      </c>
      <c r="N494" s="4">
        <v>43</v>
      </c>
      <c r="O494" s="2">
        <v>1.8171296296296297E-3</v>
      </c>
      <c r="P494" s="9">
        <v>272.13333333333333</v>
      </c>
      <c r="Q494" s="3">
        <v>2.6166666666666667</v>
      </c>
      <c r="R494" s="4">
        <v>157</v>
      </c>
      <c r="S494" s="3">
        <v>42</v>
      </c>
      <c r="T494" s="1">
        <v>0.40910000000000002</v>
      </c>
      <c r="U494" s="6">
        <v>42.546400000000006</v>
      </c>
    </row>
    <row r="495" spans="1:21" x14ac:dyDescent="0.35">
      <c r="A495">
        <v>494</v>
      </c>
      <c r="B495" s="5">
        <v>44690</v>
      </c>
      <c r="C495" s="4">
        <v>2022</v>
      </c>
      <c r="D495" s="4">
        <v>5</v>
      </c>
      <c r="E495" s="14">
        <v>44690</v>
      </c>
      <c r="F495" s="4">
        <v>9</v>
      </c>
      <c r="G495">
        <v>110</v>
      </c>
      <c r="H495">
        <v>91</v>
      </c>
      <c r="I495" s="13">
        <v>0.82</v>
      </c>
      <c r="J495">
        <v>19</v>
      </c>
      <c r="K495" s="2">
        <v>5.7870370370370367E-4</v>
      </c>
      <c r="L495" s="11">
        <v>75.833333333333343</v>
      </c>
      <c r="M495" s="3">
        <v>0.83333333333333337</v>
      </c>
      <c r="N495" s="4">
        <v>50</v>
      </c>
      <c r="O495" s="2">
        <v>1.8287037037037037E-3</v>
      </c>
      <c r="P495" s="9">
        <v>239.63333333333333</v>
      </c>
      <c r="Q495" s="3">
        <v>2.6333333333333333</v>
      </c>
      <c r="R495" s="4">
        <v>158</v>
      </c>
      <c r="S495" s="3">
        <v>33</v>
      </c>
      <c r="T495" s="1">
        <v>0.36699999999999999</v>
      </c>
      <c r="U495" s="6">
        <v>33.396999999999998</v>
      </c>
    </row>
    <row r="496" spans="1:21" x14ac:dyDescent="0.35">
      <c r="A496">
        <v>495</v>
      </c>
      <c r="B496" s="5">
        <v>44691</v>
      </c>
      <c r="C496" s="4">
        <v>2022</v>
      </c>
      <c r="D496" s="4">
        <v>5</v>
      </c>
      <c r="E496" s="14">
        <v>44691</v>
      </c>
      <c r="F496" s="4">
        <v>10</v>
      </c>
      <c r="G496">
        <v>24</v>
      </c>
      <c r="H496">
        <v>22</v>
      </c>
      <c r="I496" s="13">
        <v>0.91</v>
      </c>
      <c r="J496">
        <v>2</v>
      </c>
      <c r="K496" s="2">
        <v>3.7037037037037035E-4</v>
      </c>
      <c r="L496" s="11">
        <v>11.733333333333333</v>
      </c>
      <c r="M496" s="3">
        <v>0.53333333333333333</v>
      </c>
      <c r="N496" s="4">
        <v>32</v>
      </c>
      <c r="O496" s="2">
        <v>1.5509259259259259E-3</v>
      </c>
      <c r="P496" s="9">
        <v>49.133333333333333</v>
      </c>
      <c r="Q496" s="3">
        <v>2.2333333333333334</v>
      </c>
      <c r="R496" s="4">
        <v>134</v>
      </c>
      <c r="S496" s="3">
        <v>12</v>
      </c>
      <c r="T496" s="1">
        <v>0.58330000000000004</v>
      </c>
      <c r="U496" s="6">
        <v>12.832600000000001</v>
      </c>
    </row>
    <row r="497" spans="1:21" x14ac:dyDescent="0.35">
      <c r="A497">
        <v>496</v>
      </c>
      <c r="B497" s="5">
        <v>44692</v>
      </c>
      <c r="C497" s="4">
        <v>2022</v>
      </c>
      <c r="D497" s="4">
        <v>5</v>
      </c>
      <c r="E497" s="14">
        <v>44692</v>
      </c>
      <c r="F497" s="4">
        <v>11</v>
      </c>
      <c r="G497">
        <v>168</v>
      </c>
      <c r="H497">
        <v>154</v>
      </c>
      <c r="I497" s="13">
        <v>0.91</v>
      </c>
      <c r="J497">
        <v>14</v>
      </c>
      <c r="K497" s="2">
        <v>4.1666666666666669E-4</v>
      </c>
      <c r="L497" s="11">
        <v>92.399999999999991</v>
      </c>
      <c r="M497" s="3">
        <v>0.6</v>
      </c>
      <c r="N497" s="4">
        <v>36</v>
      </c>
      <c r="O497" s="2">
        <v>1.8981481481481482E-3</v>
      </c>
      <c r="P497" s="9">
        <v>420.93333333333334</v>
      </c>
      <c r="Q497" s="3">
        <v>2.7333333333333334</v>
      </c>
      <c r="R497" s="4">
        <v>164</v>
      </c>
      <c r="S497" s="3">
        <v>76</v>
      </c>
      <c r="T497" s="1">
        <v>0.49399999999999999</v>
      </c>
      <c r="U497" s="6">
        <v>76.075999999999993</v>
      </c>
    </row>
    <row r="498" spans="1:21" x14ac:dyDescent="0.35">
      <c r="A498">
        <v>497</v>
      </c>
      <c r="B498" s="5">
        <v>44693</v>
      </c>
      <c r="C498" s="4">
        <v>2022</v>
      </c>
      <c r="D498" s="4">
        <v>5</v>
      </c>
      <c r="E498" s="14">
        <v>44693</v>
      </c>
      <c r="F498" s="4">
        <v>12</v>
      </c>
      <c r="G498">
        <v>146</v>
      </c>
      <c r="H498">
        <v>116</v>
      </c>
      <c r="I498" s="13">
        <v>0.79</v>
      </c>
      <c r="J498">
        <v>30</v>
      </c>
      <c r="K498" s="2">
        <v>4.861111111111111E-4</v>
      </c>
      <c r="L498" s="11">
        <v>81.199999999999989</v>
      </c>
      <c r="M498" s="3">
        <v>0.7</v>
      </c>
      <c r="N498" s="4">
        <v>42</v>
      </c>
      <c r="O498" s="2">
        <v>1.712962962962963E-3</v>
      </c>
      <c r="P498" s="9">
        <v>286.13333333333333</v>
      </c>
      <c r="Q498" s="3">
        <v>2.4666666666666668</v>
      </c>
      <c r="R498" s="4">
        <v>148</v>
      </c>
      <c r="S498" s="3">
        <v>63</v>
      </c>
      <c r="T498" s="1">
        <v>0.54930000000000001</v>
      </c>
      <c r="U498" s="6">
        <v>63.718800000000002</v>
      </c>
    </row>
    <row r="499" spans="1:21" x14ac:dyDescent="0.35">
      <c r="A499">
        <v>498</v>
      </c>
      <c r="B499" s="5">
        <v>44694</v>
      </c>
      <c r="C499" s="4">
        <v>2022</v>
      </c>
      <c r="D499" s="4">
        <v>5</v>
      </c>
      <c r="E499" s="14">
        <v>44694</v>
      </c>
      <c r="F499" s="4">
        <v>13</v>
      </c>
      <c r="G499">
        <v>100</v>
      </c>
      <c r="H499">
        <v>95</v>
      </c>
      <c r="I499" s="13">
        <v>0.95</v>
      </c>
      <c r="J499">
        <v>5</v>
      </c>
      <c r="K499" s="2">
        <v>3.5879629629629629E-4</v>
      </c>
      <c r="L499" s="11">
        <v>49.083333333333336</v>
      </c>
      <c r="M499" s="3">
        <v>0.51666666666666672</v>
      </c>
      <c r="N499" s="4">
        <v>31.000000000000004</v>
      </c>
      <c r="O499" s="2">
        <v>1.8287037037037037E-3</v>
      </c>
      <c r="P499" s="9">
        <v>250.16666666666666</v>
      </c>
      <c r="Q499" s="3">
        <v>2.6333333333333333</v>
      </c>
      <c r="R499" s="4">
        <v>158</v>
      </c>
      <c r="S499" s="3">
        <v>54</v>
      </c>
      <c r="T499" s="1">
        <v>0.56999999999999995</v>
      </c>
      <c r="U499" s="6">
        <v>54.15</v>
      </c>
    </row>
    <row r="500" spans="1:21" x14ac:dyDescent="0.35">
      <c r="A500">
        <v>499</v>
      </c>
      <c r="B500" s="5">
        <v>44695</v>
      </c>
      <c r="C500" s="4">
        <v>2022</v>
      </c>
      <c r="D500" s="4">
        <v>5</v>
      </c>
      <c r="E500" s="14">
        <v>44695</v>
      </c>
      <c r="F500" s="4">
        <v>14</v>
      </c>
      <c r="G500">
        <v>144</v>
      </c>
      <c r="H500">
        <v>131</v>
      </c>
      <c r="I500" s="13">
        <v>0.9</v>
      </c>
      <c r="J500">
        <v>13</v>
      </c>
      <c r="K500" s="2">
        <v>3.0092592592592595E-4</v>
      </c>
      <c r="L500" s="11">
        <v>56.766666666666666</v>
      </c>
      <c r="M500" s="3">
        <v>0.43333333333333335</v>
      </c>
      <c r="N500" s="4">
        <v>26</v>
      </c>
      <c r="O500" s="2">
        <v>1.7013888888888888E-3</v>
      </c>
      <c r="P500" s="9">
        <v>320.95000000000005</v>
      </c>
      <c r="Q500" s="3">
        <v>2.4500000000000002</v>
      </c>
      <c r="R500" s="4">
        <v>147</v>
      </c>
      <c r="S500" s="3">
        <v>83</v>
      </c>
      <c r="T500" s="1">
        <v>0.63570000000000004</v>
      </c>
      <c r="U500" s="6">
        <v>83.276700000000005</v>
      </c>
    </row>
    <row r="501" spans="1:21" x14ac:dyDescent="0.35">
      <c r="A501">
        <v>500</v>
      </c>
      <c r="B501" s="5">
        <v>44696</v>
      </c>
      <c r="C501" s="4">
        <v>2022</v>
      </c>
      <c r="D501" s="4">
        <v>5</v>
      </c>
      <c r="E501" s="14">
        <v>44696</v>
      </c>
      <c r="F501" s="4">
        <v>15</v>
      </c>
      <c r="G501">
        <v>110</v>
      </c>
      <c r="H501">
        <v>104</v>
      </c>
      <c r="I501" s="13">
        <v>0.94</v>
      </c>
      <c r="J501">
        <v>6</v>
      </c>
      <c r="K501" s="2">
        <v>2.7777777777777778E-4</v>
      </c>
      <c r="L501" s="11">
        <v>41.6</v>
      </c>
      <c r="M501" s="3">
        <v>0.4</v>
      </c>
      <c r="N501" s="4">
        <v>24</v>
      </c>
      <c r="O501" s="2">
        <v>1.6898148148148148E-3</v>
      </c>
      <c r="P501" s="9">
        <v>253.06666666666669</v>
      </c>
      <c r="Q501" s="3">
        <v>2.4333333333333336</v>
      </c>
      <c r="R501" s="4">
        <v>146</v>
      </c>
      <c r="S501" s="3">
        <v>66</v>
      </c>
      <c r="T501" s="1">
        <v>0.64219999999999999</v>
      </c>
      <c r="U501" s="6">
        <v>66.788799999999995</v>
      </c>
    </row>
    <row r="502" spans="1:21" x14ac:dyDescent="0.35">
      <c r="A502">
        <v>501</v>
      </c>
      <c r="B502" s="5">
        <v>44697</v>
      </c>
      <c r="C502" s="4">
        <v>2022</v>
      </c>
      <c r="D502" s="4">
        <v>5</v>
      </c>
      <c r="E502" s="14">
        <v>44697</v>
      </c>
      <c r="F502" s="4">
        <v>16</v>
      </c>
      <c r="G502">
        <v>126</v>
      </c>
      <c r="H502">
        <v>111</v>
      </c>
      <c r="I502" s="13">
        <v>0.88</v>
      </c>
      <c r="J502">
        <v>15</v>
      </c>
      <c r="K502" s="2">
        <v>3.5879629629629629E-4</v>
      </c>
      <c r="L502" s="11">
        <v>57.350000000000009</v>
      </c>
      <c r="M502" s="3">
        <v>0.51666666666666672</v>
      </c>
      <c r="N502" s="4">
        <v>31.000000000000004</v>
      </c>
      <c r="O502" s="2">
        <v>1.8287037037037037E-3</v>
      </c>
      <c r="P502" s="9">
        <v>292.3</v>
      </c>
      <c r="Q502" s="3">
        <v>2.6333333333333333</v>
      </c>
      <c r="R502" s="4">
        <v>158</v>
      </c>
      <c r="S502" s="3">
        <v>58</v>
      </c>
      <c r="T502" s="1">
        <v>0.52800000000000002</v>
      </c>
      <c r="U502" s="6">
        <v>58.608000000000004</v>
      </c>
    </row>
    <row r="503" spans="1:21" x14ac:dyDescent="0.35">
      <c r="A503">
        <v>502</v>
      </c>
      <c r="B503" s="5">
        <v>44698</v>
      </c>
      <c r="C503" s="4">
        <v>2022</v>
      </c>
      <c r="D503" s="4">
        <v>5</v>
      </c>
      <c r="E503" s="14">
        <v>44698</v>
      </c>
      <c r="F503" s="4">
        <v>17</v>
      </c>
      <c r="G503">
        <v>24</v>
      </c>
      <c r="H503">
        <v>24</v>
      </c>
      <c r="I503" s="13">
        <v>1</v>
      </c>
      <c r="J503">
        <v>0</v>
      </c>
      <c r="K503" s="2">
        <v>5.5555555555555556E-4</v>
      </c>
      <c r="L503" s="11">
        <v>19.200000000000003</v>
      </c>
      <c r="M503" s="3">
        <v>0.8</v>
      </c>
      <c r="N503" s="4">
        <v>48</v>
      </c>
      <c r="O503" s="2">
        <v>2.0138888888888888E-3</v>
      </c>
      <c r="P503" s="9">
        <v>69.599999999999994</v>
      </c>
      <c r="Q503" s="3">
        <v>2.9</v>
      </c>
      <c r="R503" s="4">
        <v>174</v>
      </c>
      <c r="S503" s="3">
        <v>10</v>
      </c>
      <c r="T503" s="1">
        <v>0.41670000000000001</v>
      </c>
      <c r="U503" s="6">
        <v>10.0008</v>
      </c>
    </row>
    <row r="504" spans="1:21" x14ac:dyDescent="0.35">
      <c r="A504">
        <v>503</v>
      </c>
      <c r="B504" s="5">
        <v>44699</v>
      </c>
      <c r="C504" s="4">
        <v>2022</v>
      </c>
      <c r="D504" s="4">
        <v>5</v>
      </c>
      <c r="E504" s="14">
        <v>44699</v>
      </c>
      <c r="F504" s="4">
        <v>18</v>
      </c>
      <c r="G504">
        <v>128</v>
      </c>
      <c r="H504">
        <v>122</v>
      </c>
      <c r="I504" s="13">
        <v>0.95</v>
      </c>
      <c r="J504">
        <v>6</v>
      </c>
      <c r="K504" s="2">
        <v>4.0509259259259258E-4</v>
      </c>
      <c r="L504" s="11">
        <v>71.166666666666671</v>
      </c>
      <c r="M504" s="3">
        <v>0.58333333333333337</v>
      </c>
      <c r="N504" s="4">
        <v>35</v>
      </c>
      <c r="O504" s="2">
        <v>2.0717592592592593E-3</v>
      </c>
      <c r="P504" s="9">
        <v>363.9666666666667</v>
      </c>
      <c r="Q504" s="3">
        <v>2.9833333333333334</v>
      </c>
      <c r="R504" s="4">
        <v>179</v>
      </c>
      <c r="S504" s="3">
        <v>62</v>
      </c>
      <c r="T504" s="1">
        <v>0.51559999999999995</v>
      </c>
      <c r="U504" s="6">
        <v>62.903199999999991</v>
      </c>
    </row>
    <row r="505" spans="1:21" x14ac:dyDescent="0.35">
      <c r="A505">
        <v>504</v>
      </c>
      <c r="B505" s="5">
        <v>44700</v>
      </c>
      <c r="C505" s="4">
        <v>2022</v>
      </c>
      <c r="D505" s="4">
        <v>5</v>
      </c>
      <c r="E505" s="14">
        <v>44700</v>
      </c>
      <c r="F505" s="4">
        <v>19</v>
      </c>
      <c r="G505">
        <v>185</v>
      </c>
      <c r="H505">
        <v>176</v>
      </c>
      <c r="I505" s="13">
        <v>0.95</v>
      </c>
      <c r="J505">
        <v>9</v>
      </c>
      <c r="K505" s="2">
        <v>3.1250000000000001E-4</v>
      </c>
      <c r="L505" s="11">
        <v>79.2</v>
      </c>
      <c r="M505" s="3">
        <v>0.45</v>
      </c>
      <c r="N505" s="4">
        <v>27</v>
      </c>
      <c r="O505" s="2">
        <v>1.6550925925925926E-3</v>
      </c>
      <c r="P505" s="9">
        <v>419.46666666666664</v>
      </c>
      <c r="Q505" s="3">
        <v>2.3833333333333333</v>
      </c>
      <c r="R505" s="4">
        <v>143</v>
      </c>
      <c r="S505" s="3">
        <v>119</v>
      </c>
      <c r="T505" s="1">
        <v>0.67930000000000001</v>
      </c>
      <c r="U505" s="6">
        <v>119.55680000000001</v>
      </c>
    </row>
    <row r="506" spans="1:21" x14ac:dyDescent="0.35">
      <c r="A506">
        <v>505</v>
      </c>
      <c r="B506" s="5">
        <v>44701</v>
      </c>
      <c r="C506" s="4">
        <v>2022</v>
      </c>
      <c r="D506" s="4">
        <v>5</v>
      </c>
      <c r="E506" s="14">
        <v>44701</v>
      </c>
      <c r="F506" s="4">
        <v>20</v>
      </c>
      <c r="G506">
        <v>136</v>
      </c>
      <c r="H506">
        <v>114</v>
      </c>
      <c r="I506" s="13">
        <v>0.83</v>
      </c>
      <c r="J506">
        <v>22</v>
      </c>
      <c r="K506" s="2">
        <v>6.5972222222222224E-4</v>
      </c>
      <c r="L506" s="11">
        <v>108.3</v>
      </c>
      <c r="M506" s="3">
        <v>0.95</v>
      </c>
      <c r="N506" s="4">
        <v>57</v>
      </c>
      <c r="O506" s="2">
        <v>1.6782407407407408E-3</v>
      </c>
      <c r="P506" s="9">
        <v>275.5</v>
      </c>
      <c r="Q506" s="3">
        <v>2.4166666666666665</v>
      </c>
      <c r="R506" s="4">
        <v>145</v>
      </c>
      <c r="S506" s="3">
        <v>32</v>
      </c>
      <c r="T506" s="1">
        <v>0.28789999999999999</v>
      </c>
      <c r="U506" s="6">
        <v>32.820599999999999</v>
      </c>
    </row>
    <row r="507" spans="1:21" x14ac:dyDescent="0.35">
      <c r="A507">
        <v>506</v>
      </c>
      <c r="B507" s="5">
        <v>44702</v>
      </c>
      <c r="C507" s="4">
        <v>2022</v>
      </c>
      <c r="D507" s="4">
        <v>5</v>
      </c>
      <c r="E507" s="14">
        <v>44702</v>
      </c>
      <c r="F507" s="4">
        <v>21</v>
      </c>
      <c r="G507">
        <v>130</v>
      </c>
      <c r="H507">
        <v>116</v>
      </c>
      <c r="I507" s="13">
        <v>0.89</v>
      </c>
      <c r="J507">
        <v>14</v>
      </c>
      <c r="K507" s="2">
        <v>5.0925925925925921E-4</v>
      </c>
      <c r="L507" s="11">
        <v>85.066666666666663</v>
      </c>
      <c r="M507" s="3">
        <v>0.73333333333333328</v>
      </c>
      <c r="N507" s="4">
        <v>44</v>
      </c>
      <c r="O507" s="2">
        <v>1.8634259259259259E-3</v>
      </c>
      <c r="P507" s="9">
        <v>311.26666666666671</v>
      </c>
      <c r="Q507" s="3">
        <v>2.6833333333333336</v>
      </c>
      <c r="R507" s="4">
        <v>161</v>
      </c>
      <c r="S507" s="3">
        <v>51</v>
      </c>
      <c r="T507" s="1">
        <v>0.44440000000000002</v>
      </c>
      <c r="U507" s="6">
        <v>51.550400000000003</v>
      </c>
    </row>
    <row r="508" spans="1:21" x14ac:dyDescent="0.35">
      <c r="A508">
        <v>507</v>
      </c>
      <c r="B508" s="5">
        <v>44703</v>
      </c>
      <c r="C508" s="4">
        <v>2022</v>
      </c>
      <c r="D508" s="4">
        <v>5</v>
      </c>
      <c r="E508" s="14">
        <v>44703</v>
      </c>
      <c r="F508" s="4">
        <v>22</v>
      </c>
      <c r="G508">
        <v>103</v>
      </c>
      <c r="H508">
        <v>101</v>
      </c>
      <c r="I508" s="13">
        <v>0.98</v>
      </c>
      <c r="J508">
        <v>2</v>
      </c>
      <c r="K508" s="2">
        <v>2.0833333333333335E-4</v>
      </c>
      <c r="L508" s="11">
        <v>30.299999999999997</v>
      </c>
      <c r="M508" s="3">
        <v>0.3</v>
      </c>
      <c r="N508" s="4">
        <v>18</v>
      </c>
      <c r="O508" s="2">
        <v>1.8749999999999999E-3</v>
      </c>
      <c r="P508" s="9">
        <v>272.70000000000005</v>
      </c>
      <c r="Q508" s="3">
        <v>2.7</v>
      </c>
      <c r="R508" s="4">
        <v>162</v>
      </c>
      <c r="S508" s="3">
        <v>78</v>
      </c>
      <c r="T508" s="1">
        <v>0.77449999999999997</v>
      </c>
      <c r="U508" s="6">
        <v>78.224499999999992</v>
      </c>
    </row>
    <row r="509" spans="1:21" x14ac:dyDescent="0.35">
      <c r="A509">
        <v>508</v>
      </c>
      <c r="B509" s="5">
        <v>44704</v>
      </c>
      <c r="C509" s="4">
        <v>2022</v>
      </c>
      <c r="D509" s="4">
        <v>5</v>
      </c>
      <c r="E509" s="14">
        <v>44704</v>
      </c>
      <c r="F509" s="4">
        <v>23</v>
      </c>
      <c r="G509">
        <v>99</v>
      </c>
      <c r="H509">
        <v>89</v>
      </c>
      <c r="I509" s="13">
        <v>0.89</v>
      </c>
      <c r="J509">
        <v>10</v>
      </c>
      <c r="K509" s="2">
        <v>2.3148148148148149E-4</v>
      </c>
      <c r="L509" s="11">
        <v>29.666666666666664</v>
      </c>
      <c r="M509" s="3">
        <v>0.33333333333333331</v>
      </c>
      <c r="N509" s="4">
        <v>20</v>
      </c>
      <c r="O509" s="2">
        <v>1.7013888888888888E-3</v>
      </c>
      <c r="P509" s="9">
        <v>218.05</v>
      </c>
      <c r="Q509" s="3">
        <v>2.4500000000000002</v>
      </c>
      <c r="R509" s="4">
        <v>147</v>
      </c>
      <c r="S509" s="3">
        <v>65</v>
      </c>
      <c r="T509" s="1">
        <v>0.73680000000000001</v>
      </c>
      <c r="U509" s="6">
        <v>65.575199999999995</v>
      </c>
    </row>
    <row r="510" spans="1:21" x14ac:dyDescent="0.35">
      <c r="A510">
        <v>509</v>
      </c>
      <c r="B510" s="5">
        <v>44705</v>
      </c>
      <c r="C510" s="4">
        <v>2022</v>
      </c>
      <c r="D510" s="4">
        <v>5</v>
      </c>
      <c r="E510" s="14">
        <v>44705</v>
      </c>
      <c r="F510" s="4">
        <v>24</v>
      </c>
      <c r="G510">
        <v>26</v>
      </c>
      <c r="H510">
        <v>24</v>
      </c>
      <c r="I510" s="13">
        <v>0.92</v>
      </c>
      <c r="J510">
        <v>2</v>
      </c>
      <c r="K510" s="2">
        <v>2.6620370370370372E-4</v>
      </c>
      <c r="L510" s="11">
        <v>9.2000000000000011</v>
      </c>
      <c r="M510" s="3">
        <v>0.38333333333333336</v>
      </c>
      <c r="N510" s="4">
        <v>23</v>
      </c>
      <c r="O510" s="2">
        <v>1.3888888888888889E-3</v>
      </c>
      <c r="P510" s="9">
        <v>48</v>
      </c>
      <c r="Q510" s="3">
        <v>2</v>
      </c>
      <c r="R510" s="4">
        <v>120</v>
      </c>
      <c r="S510" s="3">
        <v>16</v>
      </c>
      <c r="T510" s="1">
        <v>0.68</v>
      </c>
      <c r="U510" s="6">
        <v>16.32</v>
      </c>
    </row>
    <row r="511" spans="1:21" x14ac:dyDescent="0.35">
      <c r="A511">
        <v>510</v>
      </c>
      <c r="B511" s="5">
        <v>44706</v>
      </c>
      <c r="C511" s="4">
        <v>2022</v>
      </c>
      <c r="D511" s="4">
        <v>5</v>
      </c>
      <c r="E511" s="14">
        <v>44706</v>
      </c>
      <c r="F511" s="4">
        <v>25</v>
      </c>
      <c r="G511">
        <v>95</v>
      </c>
      <c r="H511">
        <v>94</v>
      </c>
      <c r="I511" s="13">
        <v>0.98</v>
      </c>
      <c r="J511">
        <v>1</v>
      </c>
      <c r="K511" s="2">
        <v>2.4305555555555555E-4</v>
      </c>
      <c r="L511" s="11">
        <v>32.9</v>
      </c>
      <c r="M511" s="3">
        <v>0.35</v>
      </c>
      <c r="N511" s="4">
        <v>21</v>
      </c>
      <c r="O511" s="2">
        <v>1.7476851851851852E-3</v>
      </c>
      <c r="P511" s="9">
        <v>236.56666666666666</v>
      </c>
      <c r="Q511" s="3">
        <v>2.5166666666666666</v>
      </c>
      <c r="R511" s="4">
        <v>151</v>
      </c>
      <c r="S511" s="3">
        <v>70</v>
      </c>
      <c r="T511" s="1">
        <v>0.75529999999999997</v>
      </c>
      <c r="U511" s="6">
        <v>70.998199999999997</v>
      </c>
    </row>
    <row r="512" spans="1:21" x14ac:dyDescent="0.35">
      <c r="A512">
        <v>511</v>
      </c>
      <c r="B512" s="5">
        <v>44707</v>
      </c>
      <c r="C512" s="4">
        <v>2022</v>
      </c>
      <c r="D512" s="4">
        <v>5</v>
      </c>
      <c r="E512" s="14">
        <v>44707</v>
      </c>
      <c r="F512" s="4">
        <v>26</v>
      </c>
      <c r="G512">
        <v>136</v>
      </c>
      <c r="H512">
        <v>131</v>
      </c>
      <c r="I512" s="13">
        <v>0.96</v>
      </c>
      <c r="J512">
        <v>5</v>
      </c>
      <c r="K512" s="2">
        <v>1.9675925925925926E-4</v>
      </c>
      <c r="L512" s="11">
        <v>37.116666666666667</v>
      </c>
      <c r="M512" s="3">
        <v>0.28333333333333333</v>
      </c>
      <c r="N512" s="4">
        <v>17</v>
      </c>
      <c r="O512" s="2">
        <v>1.724537037037037E-3</v>
      </c>
      <c r="P512" s="9">
        <v>325.31666666666666</v>
      </c>
      <c r="Q512" s="3">
        <v>2.4833333333333334</v>
      </c>
      <c r="R512" s="4">
        <v>149</v>
      </c>
      <c r="S512" s="3">
        <v>106</v>
      </c>
      <c r="T512" s="1">
        <v>0.81059999999999999</v>
      </c>
      <c r="U512" s="6">
        <v>106.18859999999999</v>
      </c>
    </row>
    <row r="513" spans="1:21" x14ac:dyDescent="0.35">
      <c r="A513">
        <v>512</v>
      </c>
      <c r="B513" s="5">
        <v>44708</v>
      </c>
      <c r="C513" s="4">
        <v>2022</v>
      </c>
      <c r="D513" s="4">
        <v>5</v>
      </c>
      <c r="E513" s="14">
        <v>44708</v>
      </c>
      <c r="F513" s="4">
        <v>27</v>
      </c>
      <c r="G513">
        <v>37</v>
      </c>
      <c r="H513">
        <v>34</v>
      </c>
      <c r="I513" s="13">
        <v>0.91</v>
      </c>
      <c r="J513">
        <v>3</v>
      </c>
      <c r="K513" s="2">
        <v>4.7453703703703704E-4</v>
      </c>
      <c r="L513" s="11">
        <v>23.233333333333334</v>
      </c>
      <c r="M513" s="3">
        <v>0.68333333333333335</v>
      </c>
      <c r="N513" s="4">
        <v>41</v>
      </c>
      <c r="O513" s="2">
        <v>1.5162037037037036E-3</v>
      </c>
      <c r="P513" s="9">
        <v>74.23333333333332</v>
      </c>
      <c r="Q513" s="3">
        <v>2.1833333333333331</v>
      </c>
      <c r="R513" s="4">
        <v>131</v>
      </c>
      <c r="S513" s="3">
        <v>22</v>
      </c>
      <c r="T513" s="1">
        <v>0.64859999999999995</v>
      </c>
      <c r="U513" s="6">
        <v>22.052399999999999</v>
      </c>
    </row>
    <row r="514" spans="1:21" x14ac:dyDescent="0.35">
      <c r="A514">
        <v>513</v>
      </c>
      <c r="B514" s="5">
        <v>44709</v>
      </c>
      <c r="C514" s="4">
        <v>2022</v>
      </c>
      <c r="D514" s="4">
        <v>5</v>
      </c>
      <c r="E514" s="14">
        <v>44709</v>
      </c>
      <c r="F514" s="4">
        <v>28</v>
      </c>
      <c r="G514">
        <v>105</v>
      </c>
      <c r="H514">
        <v>100</v>
      </c>
      <c r="I514" s="13">
        <v>0.95</v>
      </c>
      <c r="J514">
        <v>5</v>
      </c>
      <c r="K514" s="2">
        <v>2.5462962962962961E-4</v>
      </c>
      <c r="L514" s="11">
        <v>36.666666666666664</v>
      </c>
      <c r="M514" s="3">
        <v>0.36666666666666664</v>
      </c>
      <c r="N514" s="4">
        <v>22</v>
      </c>
      <c r="O514" s="2">
        <v>1.736111111111111E-3</v>
      </c>
      <c r="P514" s="9">
        <v>250</v>
      </c>
      <c r="Q514" s="3">
        <v>2.5</v>
      </c>
      <c r="R514" s="4">
        <v>150</v>
      </c>
      <c r="S514" s="3">
        <v>72</v>
      </c>
      <c r="T514" s="1">
        <v>0.7228</v>
      </c>
      <c r="U514" s="6">
        <v>72.28</v>
      </c>
    </row>
    <row r="515" spans="1:21" x14ac:dyDescent="0.35">
      <c r="A515">
        <v>514</v>
      </c>
      <c r="B515" s="5">
        <v>44710</v>
      </c>
      <c r="C515" s="4">
        <v>2022</v>
      </c>
      <c r="D515" s="4">
        <v>5</v>
      </c>
      <c r="E515" s="14">
        <v>44710</v>
      </c>
      <c r="F515" s="4">
        <v>29</v>
      </c>
      <c r="G515">
        <v>100</v>
      </c>
      <c r="H515">
        <v>92</v>
      </c>
      <c r="I515" s="13">
        <v>0.92</v>
      </c>
      <c r="J515">
        <v>8</v>
      </c>
      <c r="K515" s="2">
        <v>3.4722222222222224E-4</v>
      </c>
      <c r="L515" s="11">
        <v>46</v>
      </c>
      <c r="M515" s="3">
        <v>0.5</v>
      </c>
      <c r="N515" s="4">
        <v>30</v>
      </c>
      <c r="O515" s="2">
        <v>1.7013888888888888E-3</v>
      </c>
      <c r="P515" s="9">
        <v>225.4</v>
      </c>
      <c r="Q515" s="3">
        <v>2.4500000000000002</v>
      </c>
      <c r="R515" s="4">
        <v>147</v>
      </c>
      <c r="S515" s="3">
        <v>58</v>
      </c>
      <c r="T515" s="1">
        <v>0.63270000000000004</v>
      </c>
      <c r="U515" s="6">
        <v>58.208400000000005</v>
      </c>
    </row>
    <row r="516" spans="1:21" x14ac:dyDescent="0.35">
      <c r="A516">
        <v>515</v>
      </c>
      <c r="B516" s="5">
        <v>44711</v>
      </c>
      <c r="C516" s="4">
        <v>2022</v>
      </c>
      <c r="D516" s="4">
        <v>5</v>
      </c>
      <c r="E516" s="14">
        <v>44711</v>
      </c>
      <c r="F516" s="4">
        <v>30</v>
      </c>
      <c r="G516">
        <v>115</v>
      </c>
      <c r="H516">
        <v>103</v>
      </c>
      <c r="I516" s="13">
        <v>0.89</v>
      </c>
      <c r="J516">
        <v>12</v>
      </c>
      <c r="K516" s="2">
        <v>5.0925925925925921E-4</v>
      </c>
      <c r="L516" s="11">
        <v>75.533333333333331</v>
      </c>
      <c r="M516" s="3">
        <v>0.73333333333333328</v>
      </c>
      <c r="N516" s="4">
        <v>44</v>
      </c>
      <c r="O516" s="2">
        <v>1.9212962962962964E-3</v>
      </c>
      <c r="P516" s="9">
        <v>284.96666666666664</v>
      </c>
      <c r="Q516" s="3">
        <v>2.7666666666666666</v>
      </c>
      <c r="R516" s="4">
        <v>166</v>
      </c>
      <c r="S516" s="3">
        <v>38</v>
      </c>
      <c r="T516" s="1">
        <v>0.37169999999999997</v>
      </c>
      <c r="U516" s="6">
        <v>38.2851</v>
      </c>
    </row>
    <row r="517" spans="1:21" x14ac:dyDescent="0.35">
      <c r="A517">
        <v>516</v>
      </c>
      <c r="B517" s="5">
        <v>44712</v>
      </c>
      <c r="C517" s="4">
        <v>2022</v>
      </c>
      <c r="D517" s="4">
        <v>5</v>
      </c>
      <c r="E517" s="14">
        <v>44712</v>
      </c>
      <c r="F517" s="4">
        <v>31</v>
      </c>
      <c r="G517">
        <v>38</v>
      </c>
      <c r="H517">
        <v>36</v>
      </c>
      <c r="I517" s="13">
        <v>0.94</v>
      </c>
      <c r="J517">
        <v>2</v>
      </c>
      <c r="K517" s="2">
        <v>4.5138888888888887E-4</v>
      </c>
      <c r="L517" s="11">
        <v>23.400000000000002</v>
      </c>
      <c r="M517" s="3">
        <v>0.65</v>
      </c>
      <c r="N517" s="4">
        <v>39</v>
      </c>
      <c r="O517" s="2">
        <v>2.0370370370370369E-3</v>
      </c>
      <c r="P517" s="9">
        <v>105.60000000000001</v>
      </c>
      <c r="Q517" s="3">
        <v>2.9333333333333336</v>
      </c>
      <c r="R517" s="4">
        <v>176</v>
      </c>
      <c r="S517" s="3">
        <v>18</v>
      </c>
      <c r="T517" s="1">
        <v>0.52629999999999999</v>
      </c>
      <c r="U517" s="6">
        <v>18.9468</v>
      </c>
    </row>
    <row r="518" spans="1:21" x14ac:dyDescent="0.35">
      <c r="A518">
        <v>517</v>
      </c>
      <c r="B518" s="5">
        <v>44713</v>
      </c>
      <c r="C518" s="4">
        <v>2022</v>
      </c>
      <c r="D518" s="4">
        <v>6</v>
      </c>
      <c r="E518" s="14">
        <v>44713</v>
      </c>
      <c r="F518" s="4">
        <v>1</v>
      </c>
      <c r="G518">
        <v>108</v>
      </c>
      <c r="H518">
        <v>95</v>
      </c>
      <c r="I518" s="13">
        <v>0.87</v>
      </c>
      <c r="J518">
        <v>13</v>
      </c>
      <c r="K518" s="2">
        <v>3.0092592592592595E-4</v>
      </c>
      <c r="L518" s="11">
        <v>41.166666666666671</v>
      </c>
      <c r="M518" s="3">
        <v>0.43333333333333335</v>
      </c>
      <c r="N518" s="4">
        <v>26</v>
      </c>
      <c r="O518" s="2">
        <v>1.9560185185185184E-3</v>
      </c>
      <c r="P518" s="9">
        <v>267.58333333333331</v>
      </c>
      <c r="Q518" s="3">
        <v>2.8166666666666664</v>
      </c>
      <c r="R518" s="4">
        <v>169</v>
      </c>
      <c r="S518" s="3">
        <v>60</v>
      </c>
      <c r="T518" s="1">
        <v>0.6381</v>
      </c>
      <c r="U518" s="6">
        <v>60.619500000000002</v>
      </c>
    </row>
    <row r="519" spans="1:21" x14ac:dyDescent="0.35">
      <c r="A519">
        <v>518</v>
      </c>
      <c r="B519" s="5">
        <v>44714</v>
      </c>
      <c r="C519" s="4">
        <v>2022</v>
      </c>
      <c r="D519" s="4">
        <v>6</v>
      </c>
      <c r="E519" s="14">
        <v>44714</v>
      </c>
      <c r="F519" s="4">
        <v>2</v>
      </c>
      <c r="G519">
        <v>124</v>
      </c>
      <c r="H519">
        <v>118</v>
      </c>
      <c r="I519" s="13">
        <v>0.95</v>
      </c>
      <c r="J519">
        <v>6</v>
      </c>
      <c r="K519" s="2">
        <v>2.6620370370370372E-4</v>
      </c>
      <c r="L519" s="11">
        <v>45.233333333333334</v>
      </c>
      <c r="M519" s="3">
        <v>0.38333333333333336</v>
      </c>
      <c r="N519" s="4">
        <v>23</v>
      </c>
      <c r="O519" s="2">
        <v>1.7476851851851852E-3</v>
      </c>
      <c r="P519" s="9">
        <v>296.96666666666664</v>
      </c>
      <c r="Q519" s="3">
        <v>2.5166666666666666</v>
      </c>
      <c r="R519" s="4">
        <v>151</v>
      </c>
      <c r="S519" s="3">
        <v>87</v>
      </c>
      <c r="T519" s="1">
        <v>0.73770000000000002</v>
      </c>
      <c r="U519" s="6">
        <v>87.048600000000008</v>
      </c>
    </row>
    <row r="520" spans="1:21" x14ac:dyDescent="0.35">
      <c r="A520">
        <v>519</v>
      </c>
      <c r="B520" s="5">
        <v>44715</v>
      </c>
      <c r="C520" s="4">
        <v>2022</v>
      </c>
      <c r="D520" s="4">
        <v>6</v>
      </c>
      <c r="E520" s="14">
        <v>44715</v>
      </c>
      <c r="F520" s="4">
        <v>3</v>
      </c>
      <c r="G520">
        <v>97</v>
      </c>
      <c r="H520">
        <v>92</v>
      </c>
      <c r="I520" s="13">
        <v>0.94</v>
      </c>
      <c r="J520">
        <v>5</v>
      </c>
      <c r="K520" s="2">
        <v>2.8935185185185184E-4</v>
      </c>
      <c r="L520" s="11">
        <v>38.333333333333336</v>
      </c>
      <c r="M520" s="3">
        <v>0.41666666666666669</v>
      </c>
      <c r="N520" s="4">
        <v>25</v>
      </c>
      <c r="O520" s="2">
        <v>1.8055555555555555E-3</v>
      </c>
      <c r="P520" s="9">
        <v>239.20000000000002</v>
      </c>
      <c r="Q520" s="3">
        <v>2.6</v>
      </c>
      <c r="R520" s="4">
        <v>156</v>
      </c>
      <c r="S520" s="3">
        <v>62</v>
      </c>
      <c r="T520" s="1">
        <v>0.67710000000000004</v>
      </c>
      <c r="U520" s="6">
        <v>62.293200000000006</v>
      </c>
    </row>
    <row r="521" spans="1:21" x14ac:dyDescent="0.35">
      <c r="A521">
        <v>520</v>
      </c>
      <c r="B521" s="5">
        <v>44716</v>
      </c>
      <c r="C521" s="4">
        <v>2022</v>
      </c>
      <c r="D521" s="4">
        <v>6</v>
      </c>
      <c r="E521" s="14">
        <v>44716</v>
      </c>
      <c r="F521" s="4">
        <v>4</v>
      </c>
      <c r="G521">
        <v>117</v>
      </c>
      <c r="H521">
        <v>108</v>
      </c>
      <c r="I521" s="13">
        <v>0.92</v>
      </c>
      <c r="J521">
        <v>9</v>
      </c>
      <c r="K521" s="2">
        <v>4.2824074074074075E-4</v>
      </c>
      <c r="L521" s="11">
        <v>66.600000000000009</v>
      </c>
      <c r="M521" s="3">
        <v>0.6166666666666667</v>
      </c>
      <c r="N521" s="4">
        <v>37</v>
      </c>
      <c r="O521" s="2">
        <v>1.2268518518518518E-3</v>
      </c>
      <c r="P521" s="9">
        <v>190.79999999999998</v>
      </c>
      <c r="Q521" s="3">
        <v>1.7666666666666666</v>
      </c>
      <c r="R521" s="4">
        <v>106</v>
      </c>
      <c r="S521" s="3">
        <v>52</v>
      </c>
      <c r="T521" s="1">
        <v>0.48670000000000002</v>
      </c>
      <c r="U521" s="6">
        <v>52.563600000000001</v>
      </c>
    </row>
    <row r="522" spans="1:21" x14ac:dyDescent="0.35">
      <c r="A522">
        <v>521</v>
      </c>
      <c r="B522" s="5">
        <v>44717</v>
      </c>
      <c r="C522" s="4">
        <v>2022</v>
      </c>
      <c r="D522" s="4">
        <v>6</v>
      </c>
      <c r="E522" s="14">
        <v>44717</v>
      </c>
      <c r="F522" s="4">
        <v>5</v>
      </c>
      <c r="G522">
        <v>34</v>
      </c>
      <c r="H522">
        <v>31</v>
      </c>
      <c r="I522" s="13">
        <v>0.91</v>
      </c>
      <c r="J522">
        <v>3</v>
      </c>
      <c r="K522" s="2">
        <v>3.1250000000000001E-4</v>
      </c>
      <c r="L522" s="11">
        <v>13.950000000000001</v>
      </c>
      <c r="M522" s="3">
        <v>0.45</v>
      </c>
      <c r="N522" s="4">
        <v>27</v>
      </c>
      <c r="O522" s="2">
        <v>1.8171296296296297E-3</v>
      </c>
      <c r="P522" s="9">
        <v>81.116666666666674</v>
      </c>
      <c r="Q522" s="3">
        <v>2.6166666666666667</v>
      </c>
      <c r="R522" s="4">
        <v>157</v>
      </c>
      <c r="S522" s="3">
        <v>20</v>
      </c>
      <c r="T522" s="1">
        <v>0.64710000000000001</v>
      </c>
      <c r="U522" s="6">
        <v>20.060099999999998</v>
      </c>
    </row>
    <row r="523" spans="1:21" x14ac:dyDescent="0.35">
      <c r="A523">
        <v>522</v>
      </c>
      <c r="B523" s="5">
        <v>44718</v>
      </c>
      <c r="C523" s="4">
        <v>2022</v>
      </c>
      <c r="D523" s="4">
        <v>6</v>
      </c>
      <c r="E523" s="14">
        <v>44718</v>
      </c>
      <c r="F523" s="4">
        <v>6</v>
      </c>
      <c r="G523">
        <v>53</v>
      </c>
      <c r="H523">
        <v>50</v>
      </c>
      <c r="I523" s="13">
        <v>0.94</v>
      </c>
      <c r="J523">
        <v>3</v>
      </c>
      <c r="K523" s="2">
        <v>3.2407407407407406E-4</v>
      </c>
      <c r="L523" s="11">
        <v>23.333333333333332</v>
      </c>
      <c r="M523" s="3">
        <v>0.46666666666666667</v>
      </c>
      <c r="N523" s="4">
        <v>28</v>
      </c>
      <c r="O523" s="2">
        <v>1.5162037037037036E-3</v>
      </c>
      <c r="P523" s="9">
        <v>109.16666666666666</v>
      </c>
      <c r="Q523" s="3">
        <v>2.1833333333333331</v>
      </c>
      <c r="R523" s="4">
        <v>131</v>
      </c>
      <c r="S523" s="3">
        <v>33</v>
      </c>
      <c r="T523" s="1">
        <v>0.66039999999999999</v>
      </c>
      <c r="U523" s="6">
        <v>33.019999999999996</v>
      </c>
    </row>
    <row r="524" spans="1:21" x14ac:dyDescent="0.35">
      <c r="A524">
        <v>523</v>
      </c>
      <c r="B524" s="5">
        <v>44719</v>
      </c>
      <c r="C524" s="4">
        <v>2022</v>
      </c>
      <c r="D524" s="4">
        <v>6</v>
      </c>
      <c r="E524" s="14">
        <v>44719</v>
      </c>
      <c r="F524" s="4">
        <v>7</v>
      </c>
      <c r="G524">
        <v>29</v>
      </c>
      <c r="H524">
        <v>23</v>
      </c>
      <c r="I524" s="13">
        <v>0.79</v>
      </c>
      <c r="J524">
        <v>6</v>
      </c>
      <c r="K524" s="2">
        <v>4.861111111111111E-4</v>
      </c>
      <c r="L524" s="11">
        <v>16.099999999999998</v>
      </c>
      <c r="M524" s="3">
        <v>0.7</v>
      </c>
      <c r="N524" s="4">
        <v>42</v>
      </c>
      <c r="O524" s="2">
        <v>1.9328703703703704E-3</v>
      </c>
      <c r="P524" s="9">
        <v>64.016666666666666</v>
      </c>
      <c r="Q524" s="3">
        <v>2.7833333333333332</v>
      </c>
      <c r="R524" s="4">
        <v>167</v>
      </c>
      <c r="S524" s="3">
        <v>7</v>
      </c>
      <c r="T524" s="1">
        <v>0.32140000000000002</v>
      </c>
      <c r="U524" s="6">
        <v>7.3922000000000008</v>
      </c>
    </row>
    <row r="525" spans="1:21" x14ac:dyDescent="0.35">
      <c r="A525">
        <v>524</v>
      </c>
      <c r="B525" s="5">
        <v>44720</v>
      </c>
      <c r="C525" s="4">
        <v>2022</v>
      </c>
      <c r="D525" s="4">
        <v>6</v>
      </c>
      <c r="E525" s="14">
        <v>44720</v>
      </c>
      <c r="F525" s="4">
        <v>8</v>
      </c>
      <c r="G525">
        <v>120</v>
      </c>
      <c r="H525">
        <v>107</v>
      </c>
      <c r="I525" s="13">
        <v>0.89</v>
      </c>
      <c r="J525">
        <v>13</v>
      </c>
      <c r="K525" s="2">
        <v>3.9351851851851852E-4</v>
      </c>
      <c r="L525" s="11">
        <v>60.633333333333333</v>
      </c>
      <c r="M525" s="3">
        <v>0.56666666666666665</v>
      </c>
      <c r="N525" s="4">
        <v>34</v>
      </c>
      <c r="O525" s="2">
        <v>1.8402777777777777E-3</v>
      </c>
      <c r="P525" s="9">
        <v>283.55</v>
      </c>
      <c r="Q525" s="3">
        <v>2.65</v>
      </c>
      <c r="R525" s="4">
        <v>159</v>
      </c>
      <c r="S525" s="3">
        <v>47</v>
      </c>
      <c r="T525" s="1">
        <v>0.44069999999999998</v>
      </c>
      <c r="U525" s="6">
        <v>47.154899999999998</v>
      </c>
    </row>
    <row r="526" spans="1:21" x14ac:dyDescent="0.35">
      <c r="A526">
        <v>525</v>
      </c>
      <c r="B526" s="5">
        <v>44721</v>
      </c>
      <c r="C526" s="4">
        <v>2022</v>
      </c>
      <c r="D526" s="4">
        <v>6</v>
      </c>
      <c r="E526" s="14">
        <v>44721</v>
      </c>
      <c r="F526" s="4">
        <v>9</v>
      </c>
      <c r="G526">
        <v>107</v>
      </c>
      <c r="H526">
        <v>100</v>
      </c>
      <c r="I526" s="13">
        <v>0.93</v>
      </c>
      <c r="J526">
        <v>7</v>
      </c>
      <c r="K526" s="2">
        <v>3.8194444444444446E-4</v>
      </c>
      <c r="L526" s="11">
        <v>55.000000000000007</v>
      </c>
      <c r="M526" s="3">
        <v>0.55000000000000004</v>
      </c>
      <c r="N526" s="4">
        <v>33</v>
      </c>
      <c r="O526" s="2">
        <v>1.7708333333333332E-3</v>
      </c>
      <c r="P526" s="9">
        <v>254.99999999999997</v>
      </c>
      <c r="Q526" s="3">
        <v>2.5499999999999998</v>
      </c>
      <c r="R526" s="4">
        <v>153</v>
      </c>
      <c r="S526" s="3">
        <v>51</v>
      </c>
      <c r="T526" s="1">
        <v>0.51429999999999998</v>
      </c>
      <c r="U526" s="6">
        <v>51.43</v>
      </c>
    </row>
    <row r="527" spans="1:21" x14ac:dyDescent="0.35">
      <c r="A527">
        <v>526</v>
      </c>
      <c r="B527" s="5">
        <v>44722</v>
      </c>
      <c r="C527" s="4">
        <v>2022</v>
      </c>
      <c r="D527" s="4">
        <v>6</v>
      </c>
      <c r="E527" s="14">
        <v>44722</v>
      </c>
      <c r="F527" s="4">
        <v>10</v>
      </c>
      <c r="G527">
        <v>173</v>
      </c>
      <c r="H527">
        <v>159</v>
      </c>
      <c r="I527" s="13">
        <v>0.91</v>
      </c>
      <c r="J527">
        <v>14</v>
      </c>
      <c r="K527" s="2">
        <v>5.4398148148148144E-4</v>
      </c>
      <c r="L527" s="11">
        <v>124.55</v>
      </c>
      <c r="M527" s="3">
        <v>0.78333333333333333</v>
      </c>
      <c r="N527" s="4">
        <v>47</v>
      </c>
      <c r="O527" s="2">
        <v>1.8981481481481482E-3</v>
      </c>
      <c r="P527" s="9">
        <v>434.6</v>
      </c>
      <c r="Q527" s="3">
        <v>2.7333333333333334</v>
      </c>
      <c r="R527" s="4">
        <v>164</v>
      </c>
      <c r="S527" s="3">
        <v>62</v>
      </c>
      <c r="T527" s="1">
        <v>0.39410000000000001</v>
      </c>
      <c r="U527" s="6">
        <v>62.661900000000003</v>
      </c>
    </row>
    <row r="528" spans="1:21" x14ac:dyDescent="0.35">
      <c r="A528">
        <v>527</v>
      </c>
      <c r="B528" s="5">
        <v>44723</v>
      </c>
      <c r="C528" s="4">
        <v>2022</v>
      </c>
      <c r="D528" s="4">
        <v>6</v>
      </c>
      <c r="E528" s="14">
        <v>44723</v>
      </c>
      <c r="F528" s="4">
        <v>11</v>
      </c>
      <c r="G528">
        <v>256</v>
      </c>
      <c r="H528">
        <v>213</v>
      </c>
      <c r="I528" s="13">
        <v>0.83</v>
      </c>
      <c r="J528">
        <v>43</v>
      </c>
      <c r="K528" s="2">
        <v>5.0925925925925921E-4</v>
      </c>
      <c r="L528" s="11">
        <v>156.19999999999999</v>
      </c>
      <c r="M528" s="3">
        <v>0.73333333333333328</v>
      </c>
      <c r="N528" s="4">
        <v>44</v>
      </c>
      <c r="O528" s="2">
        <v>1.9097222222222222E-3</v>
      </c>
      <c r="P528" s="9">
        <v>585.75</v>
      </c>
      <c r="Q528" s="3">
        <v>2.75</v>
      </c>
      <c r="R528" s="4">
        <v>165</v>
      </c>
      <c r="S528" s="3">
        <v>88</v>
      </c>
      <c r="T528" s="1">
        <v>0.41699999999999998</v>
      </c>
      <c r="U528" s="6">
        <v>88.820999999999998</v>
      </c>
    </row>
    <row r="529" spans="1:21" x14ac:dyDescent="0.35">
      <c r="A529">
        <v>528</v>
      </c>
      <c r="B529" s="5">
        <v>44724</v>
      </c>
      <c r="C529" s="4">
        <v>2022</v>
      </c>
      <c r="D529" s="4">
        <v>6</v>
      </c>
      <c r="E529" s="14">
        <v>44724</v>
      </c>
      <c r="F529" s="4">
        <v>12</v>
      </c>
      <c r="G529">
        <v>199</v>
      </c>
      <c r="H529">
        <v>174</v>
      </c>
      <c r="I529" s="13">
        <v>0.87</v>
      </c>
      <c r="J529">
        <v>25</v>
      </c>
      <c r="K529" s="2">
        <v>4.1666666666666669E-4</v>
      </c>
      <c r="L529" s="11">
        <v>104.39999999999999</v>
      </c>
      <c r="M529" s="3">
        <v>0.6</v>
      </c>
      <c r="N529" s="4">
        <v>36</v>
      </c>
      <c r="O529" s="2">
        <v>1.7939814814814815E-3</v>
      </c>
      <c r="P529" s="9">
        <v>449.5</v>
      </c>
      <c r="Q529" s="3">
        <v>2.5833333333333335</v>
      </c>
      <c r="R529" s="4">
        <v>155</v>
      </c>
      <c r="S529" s="3">
        <v>92</v>
      </c>
      <c r="T529" s="1">
        <v>0.53059999999999996</v>
      </c>
      <c r="U529" s="6">
        <v>92.324399999999997</v>
      </c>
    </row>
    <row r="530" spans="1:21" x14ac:dyDescent="0.35">
      <c r="A530">
        <v>529</v>
      </c>
      <c r="B530" s="5">
        <v>44725</v>
      </c>
      <c r="C530" s="4">
        <v>2022</v>
      </c>
      <c r="D530" s="4">
        <v>6</v>
      </c>
      <c r="E530" s="14">
        <v>44725</v>
      </c>
      <c r="F530" s="4">
        <v>13</v>
      </c>
      <c r="G530">
        <v>182</v>
      </c>
      <c r="H530">
        <v>170</v>
      </c>
      <c r="I530" s="13">
        <v>0.93</v>
      </c>
      <c r="J530">
        <v>12</v>
      </c>
      <c r="K530" s="2">
        <v>4.6296296296296298E-4</v>
      </c>
      <c r="L530" s="11">
        <v>113.33333333333333</v>
      </c>
      <c r="M530" s="3">
        <v>0.66666666666666663</v>
      </c>
      <c r="N530" s="4">
        <v>40</v>
      </c>
      <c r="O530" s="2">
        <v>1.8981481481481482E-3</v>
      </c>
      <c r="P530" s="9">
        <v>464.66666666666669</v>
      </c>
      <c r="Q530" s="3">
        <v>2.7333333333333334</v>
      </c>
      <c r="R530" s="4">
        <v>164</v>
      </c>
      <c r="S530" s="3">
        <v>77</v>
      </c>
      <c r="T530" s="1">
        <v>0.45810000000000001</v>
      </c>
      <c r="U530" s="6">
        <v>77.876999999999995</v>
      </c>
    </row>
    <row r="531" spans="1:21" x14ac:dyDescent="0.35">
      <c r="A531">
        <v>530</v>
      </c>
      <c r="B531" s="5">
        <v>44726</v>
      </c>
      <c r="C531" s="4">
        <v>2022</v>
      </c>
      <c r="D531" s="4">
        <v>6</v>
      </c>
      <c r="E531" s="14">
        <v>44726</v>
      </c>
      <c r="F531" s="4">
        <v>14</v>
      </c>
      <c r="G531">
        <v>42</v>
      </c>
      <c r="H531">
        <v>41</v>
      </c>
      <c r="I531" s="13">
        <v>0.97</v>
      </c>
      <c r="J531">
        <v>1</v>
      </c>
      <c r="K531" s="2">
        <v>4.861111111111111E-4</v>
      </c>
      <c r="L531" s="11">
        <v>28.7</v>
      </c>
      <c r="M531" s="3">
        <v>0.7</v>
      </c>
      <c r="N531" s="4">
        <v>42</v>
      </c>
      <c r="O531" s="2">
        <v>2.0023148148148148E-3</v>
      </c>
      <c r="P531" s="9">
        <v>118.21666666666667</v>
      </c>
      <c r="Q531" s="3">
        <v>2.8833333333333333</v>
      </c>
      <c r="R531" s="4">
        <v>173</v>
      </c>
      <c r="S531" s="3">
        <v>23</v>
      </c>
      <c r="T531" s="1">
        <v>0.56100000000000005</v>
      </c>
      <c r="U531" s="6">
        <v>23.001000000000001</v>
      </c>
    </row>
    <row r="532" spans="1:21" x14ac:dyDescent="0.35">
      <c r="A532">
        <v>531</v>
      </c>
      <c r="B532" s="5">
        <v>44727</v>
      </c>
      <c r="C532" s="4">
        <v>2022</v>
      </c>
      <c r="D532" s="4">
        <v>6</v>
      </c>
      <c r="E532" s="14">
        <v>44727</v>
      </c>
      <c r="F532" s="4">
        <v>15</v>
      </c>
      <c r="G532">
        <v>181</v>
      </c>
      <c r="H532">
        <v>168</v>
      </c>
      <c r="I532" s="13">
        <v>0.92</v>
      </c>
      <c r="J532">
        <v>13</v>
      </c>
      <c r="K532" s="2">
        <v>3.9351851851851852E-4</v>
      </c>
      <c r="L532" s="11">
        <v>95.2</v>
      </c>
      <c r="M532" s="3">
        <v>0.56666666666666665</v>
      </c>
      <c r="N532" s="4">
        <v>34</v>
      </c>
      <c r="O532" s="2">
        <v>1.7939814814814815E-3</v>
      </c>
      <c r="P532" s="9">
        <v>434</v>
      </c>
      <c r="Q532" s="3">
        <v>2.5833333333333335</v>
      </c>
      <c r="R532" s="4">
        <v>155</v>
      </c>
      <c r="S532" s="3">
        <v>86</v>
      </c>
      <c r="T532" s="1">
        <v>0.51690000000000003</v>
      </c>
      <c r="U532" s="6">
        <v>86.839200000000005</v>
      </c>
    </row>
    <row r="533" spans="1:21" x14ac:dyDescent="0.35">
      <c r="A533">
        <v>532</v>
      </c>
      <c r="B533" s="5">
        <v>44728</v>
      </c>
      <c r="C533" s="4">
        <v>2022</v>
      </c>
      <c r="D533" s="4">
        <v>6</v>
      </c>
      <c r="E533" s="14">
        <v>44728</v>
      </c>
      <c r="F533" s="4">
        <v>16</v>
      </c>
      <c r="G533">
        <v>159</v>
      </c>
      <c r="H533">
        <v>147</v>
      </c>
      <c r="I533" s="13">
        <v>0.92</v>
      </c>
      <c r="J533">
        <v>12</v>
      </c>
      <c r="K533" s="2">
        <v>3.4722222222222224E-4</v>
      </c>
      <c r="L533" s="11">
        <v>73.5</v>
      </c>
      <c r="M533" s="3">
        <v>0.5</v>
      </c>
      <c r="N533" s="4">
        <v>30</v>
      </c>
      <c r="O533" s="2">
        <v>1.8055555555555555E-3</v>
      </c>
      <c r="P533" s="9">
        <v>382.2</v>
      </c>
      <c r="Q533" s="3">
        <v>2.6</v>
      </c>
      <c r="R533" s="4">
        <v>156</v>
      </c>
      <c r="S533" s="3">
        <v>86</v>
      </c>
      <c r="T533" s="1">
        <v>0.58709999999999996</v>
      </c>
      <c r="U533" s="6">
        <v>86.303699999999992</v>
      </c>
    </row>
    <row r="534" spans="1:21" x14ac:dyDescent="0.35">
      <c r="A534">
        <v>533</v>
      </c>
      <c r="B534" s="5">
        <v>44729</v>
      </c>
      <c r="C534" s="4">
        <v>2022</v>
      </c>
      <c r="D534" s="4">
        <v>6</v>
      </c>
      <c r="E534" s="14">
        <v>44729</v>
      </c>
      <c r="F534" s="4">
        <v>17</v>
      </c>
      <c r="G534">
        <v>142</v>
      </c>
      <c r="H534">
        <v>134</v>
      </c>
      <c r="I534" s="13">
        <v>0.94</v>
      </c>
      <c r="J534">
        <v>8</v>
      </c>
      <c r="K534" s="2">
        <v>3.0092592592592595E-4</v>
      </c>
      <c r="L534" s="11">
        <v>58.06666666666667</v>
      </c>
      <c r="M534" s="3">
        <v>0.43333333333333335</v>
      </c>
      <c r="N534" s="4">
        <v>26</v>
      </c>
      <c r="O534" s="2">
        <v>1.9675925925925924E-3</v>
      </c>
      <c r="P534" s="9">
        <v>379.66666666666669</v>
      </c>
      <c r="Q534" s="3">
        <v>2.8333333333333335</v>
      </c>
      <c r="R534" s="4">
        <v>170</v>
      </c>
      <c r="S534" s="3">
        <v>82</v>
      </c>
      <c r="T534" s="1">
        <v>0.61870000000000003</v>
      </c>
      <c r="U534" s="6">
        <v>82.905799999999999</v>
      </c>
    </row>
    <row r="535" spans="1:21" x14ac:dyDescent="0.35">
      <c r="A535">
        <v>534</v>
      </c>
      <c r="B535" s="5">
        <v>44730</v>
      </c>
      <c r="C535" s="4">
        <v>2022</v>
      </c>
      <c r="D535" s="4">
        <v>6</v>
      </c>
      <c r="E535" s="14">
        <v>44730</v>
      </c>
      <c r="F535" s="4">
        <v>18</v>
      </c>
      <c r="G535">
        <v>194</v>
      </c>
      <c r="H535">
        <v>163</v>
      </c>
      <c r="I535" s="13">
        <v>0.84</v>
      </c>
      <c r="J535">
        <v>31</v>
      </c>
      <c r="K535" s="2">
        <v>3.4722222222222224E-4</v>
      </c>
      <c r="L535" s="11">
        <v>81.5</v>
      </c>
      <c r="M535" s="3">
        <v>0.5</v>
      </c>
      <c r="N535" s="4">
        <v>30</v>
      </c>
      <c r="O535" s="2">
        <v>1.8287037037037037E-3</v>
      </c>
      <c r="P535" s="9">
        <v>429.23333333333335</v>
      </c>
      <c r="Q535" s="3">
        <v>2.6333333333333333</v>
      </c>
      <c r="R535" s="4">
        <v>158</v>
      </c>
      <c r="S535" s="3">
        <v>83</v>
      </c>
      <c r="T535" s="1">
        <v>0.51039999999999996</v>
      </c>
      <c r="U535" s="6">
        <v>83.1952</v>
      </c>
    </row>
    <row r="536" spans="1:21" x14ac:dyDescent="0.35">
      <c r="A536">
        <v>535</v>
      </c>
      <c r="B536" s="5">
        <v>44731</v>
      </c>
      <c r="C536" s="4">
        <v>2022</v>
      </c>
      <c r="D536" s="4">
        <v>6</v>
      </c>
      <c r="E536" s="14">
        <v>44731</v>
      </c>
      <c r="F536" s="4">
        <v>19</v>
      </c>
      <c r="G536">
        <v>235</v>
      </c>
      <c r="H536">
        <v>210</v>
      </c>
      <c r="I536" s="13">
        <v>0.89</v>
      </c>
      <c r="J536">
        <v>25</v>
      </c>
      <c r="K536" s="2">
        <v>4.3981481481481481E-4</v>
      </c>
      <c r="L536" s="11">
        <v>133</v>
      </c>
      <c r="M536" s="3">
        <v>0.6333333333333333</v>
      </c>
      <c r="N536" s="4">
        <v>38</v>
      </c>
      <c r="O536" s="2">
        <v>2.0023148148148148E-3</v>
      </c>
      <c r="P536" s="9">
        <v>605.5</v>
      </c>
      <c r="Q536" s="3">
        <v>2.8833333333333333</v>
      </c>
      <c r="R536" s="4">
        <v>173</v>
      </c>
      <c r="S536" s="3">
        <v>102</v>
      </c>
      <c r="T536" s="1">
        <v>0.48899999999999999</v>
      </c>
      <c r="U536" s="6">
        <v>102.69</v>
      </c>
    </row>
    <row r="537" spans="1:21" x14ac:dyDescent="0.35">
      <c r="A537">
        <v>536</v>
      </c>
      <c r="B537" s="5">
        <v>44732</v>
      </c>
      <c r="C537" s="4">
        <v>2022</v>
      </c>
      <c r="D537" s="4">
        <v>6</v>
      </c>
      <c r="E537" s="14">
        <v>44732</v>
      </c>
      <c r="F537" s="4">
        <v>20</v>
      </c>
      <c r="G537">
        <v>206</v>
      </c>
      <c r="H537">
        <v>180</v>
      </c>
      <c r="I537" s="13">
        <v>0.87</v>
      </c>
      <c r="J537">
        <v>26</v>
      </c>
      <c r="K537" s="2">
        <v>5.9027777777777778E-4</v>
      </c>
      <c r="L537" s="11">
        <v>153</v>
      </c>
      <c r="M537" s="3">
        <v>0.85</v>
      </c>
      <c r="N537" s="4">
        <v>51</v>
      </c>
      <c r="O537" s="2">
        <v>1.9328703703703704E-3</v>
      </c>
      <c r="P537" s="9">
        <v>501</v>
      </c>
      <c r="Q537" s="3">
        <v>2.7833333333333332</v>
      </c>
      <c r="R537" s="4">
        <v>167</v>
      </c>
      <c r="S537" s="3">
        <v>69</v>
      </c>
      <c r="T537" s="1">
        <v>0.3861</v>
      </c>
      <c r="U537" s="6">
        <v>69.498000000000005</v>
      </c>
    </row>
    <row r="538" spans="1:21" x14ac:dyDescent="0.35">
      <c r="A538">
        <v>537</v>
      </c>
      <c r="B538" s="5">
        <v>44733</v>
      </c>
      <c r="C538" s="4">
        <v>2022</v>
      </c>
      <c r="D538" s="4">
        <v>6</v>
      </c>
      <c r="E538" s="14">
        <v>44733</v>
      </c>
      <c r="F538" s="4">
        <v>21</v>
      </c>
      <c r="G538">
        <v>58</v>
      </c>
      <c r="H538">
        <v>47</v>
      </c>
      <c r="I538" s="13">
        <v>0.81</v>
      </c>
      <c r="J538">
        <v>11</v>
      </c>
      <c r="K538" s="2">
        <v>5.5555555555555556E-4</v>
      </c>
      <c r="L538" s="11">
        <v>37.6</v>
      </c>
      <c r="M538" s="3">
        <v>0.8</v>
      </c>
      <c r="N538" s="4">
        <v>48</v>
      </c>
      <c r="O538" s="2">
        <v>1.8055555555555555E-3</v>
      </c>
      <c r="P538" s="9">
        <v>122.2</v>
      </c>
      <c r="Q538" s="3">
        <v>2.6</v>
      </c>
      <c r="R538" s="4">
        <v>156</v>
      </c>
      <c r="S538" s="3">
        <v>19</v>
      </c>
      <c r="T538" s="1">
        <v>0.42109999999999997</v>
      </c>
      <c r="U538" s="6">
        <v>19.791699999999999</v>
      </c>
    </row>
    <row r="539" spans="1:21" x14ac:dyDescent="0.35">
      <c r="A539">
        <v>538</v>
      </c>
      <c r="B539" s="5">
        <v>44734</v>
      </c>
      <c r="C539" s="4">
        <v>2022</v>
      </c>
      <c r="D539" s="4">
        <v>6</v>
      </c>
      <c r="E539" s="14">
        <v>44734</v>
      </c>
      <c r="F539" s="4">
        <v>22</v>
      </c>
      <c r="G539">
        <v>212</v>
      </c>
      <c r="H539">
        <v>194</v>
      </c>
      <c r="I539" s="13">
        <v>0.91</v>
      </c>
      <c r="J539">
        <v>18</v>
      </c>
      <c r="K539" s="2">
        <v>4.3981481481481481E-4</v>
      </c>
      <c r="L539" s="11">
        <v>122.86666666666666</v>
      </c>
      <c r="M539" s="3">
        <v>0.6333333333333333</v>
      </c>
      <c r="N539" s="4">
        <v>38</v>
      </c>
      <c r="O539" s="2">
        <v>1.7708333333333332E-3</v>
      </c>
      <c r="P539" s="9">
        <v>494.7</v>
      </c>
      <c r="Q539" s="3">
        <v>2.5499999999999998</v>
      </c>
      <c r="R539" s="4">
        <v>153</v>
      </c>
      <c r="S539" s="3">
        <v>99</v>
      </c>
      <c r="T539" s="1">
        <v>0.51200000000000001</v>
      </c>
      <c r="U539" s="6">
        <v>99.328000000000003</v>
      </c>
    </row>
    <row r="540" spans="1:21" x14ac:dyDescent="0.35">
      <c r="A540">
        <v>539</v>
      </c>
      <c r="B540" s="5">
        <v>44735</v>
      </c>
      <c r="C540" s="4">
        <v>2022</v>
      </c>
      <c r="D540" s="4">
        <v>6</v>
      </c>
      <c r="E540" s="14">
        <v>44735</v>
      </c>
      <c r="F540" s="4">
        <v>23</v>
      </c>
      <c r="G540">
        <v>232</v>
      </c>
      <c r="H540">
        <v>214</v>
      </c>
      <c r="I540" s="13">
        <v>0.92</v>
      </c>
      <c r="J540">
        <v>18</v>
      </c>
      <c r="K540" s="2">
        <v>3.9351851851851852E-4</v>
      </c>
      <c r="L540" s="11">
        <v>121.26666666666667</v>
      </c>
      <c r="M540" s="3">
        <v>0.56666666666666665</v>
      </c>
      <c r="N540" s="4">
        <v>34</v>
      </c>
      <c r="O540" s="2">
        <v>1.8055555555555555E-3</v>
      </c>
      <c r="P540" s="9">
        <v>556.4</v>
      </c>
      <c r="Q540" s="3">
        <v>2.6</v>
      </c>
      <c r="R540" s="4">
        <v>156</v>
      </c>
      <c r="S540" s="3">
        <v>119</v>
      </c>
      <c r="T540" s="1">
        <v>0.55900000000000005</v>
      </c>
      <c r="U540" s="6">
        <v>119.626</v>
      </c>
    </row>
    <row r="541" spans="1:21" x14ac:dyDescent="0.35">
      <c r="A541">
        <v>540</v>
      </c>
      <c r="B541" s="5">
        <v>44736</v>
      </c>
      <c r="C541" s="4">
        <v>2022</v>
      </c>
      <c r="D541" s="4">
        <v>6</v>
      </c>
      <c r="E541" s="14">
        <v>44736</v>
      </c>
      <c r="F541" s="4">
        <v>24</v>
      </c>
      <c r="G541">
        <v>348</v>
      </c>
      <c r="H541">
        <v>327</v>
      </c>
      <c r="I541" s="13">
        <v>0.93</v>
      </c>
      <c r="J541">
        <v>21</v>
      </c>
      <c r="K541" s="2">
        <v>3.7037037037037035E-4</v>
      </c>
      <c r="L541" s="11">
        <v>174.4</v>
      </c>
      <c r="M541" s="3">
        <v>0.53333333333333333</v>
      </c>
      <c r="N541" s="4">
        <v>32</v>
      </c>
      <c r="O541" s="2">
        <v>1.712962962962963E-3</v>
      </c>
      <c r="P541" s="9">
        <v>806.6</v>
      </c>
      <c r="Q541" s="3">
        <v>2.4666666666666668</v>
      </c>
      <c r="R541" s="4">
        <v>148</v>
      </c>
      <c r="S541" s="3">
        <v>178</v>
      </c>
      <c r="T541" s="1">
        <v>0.54620000000000002</v>
      </c>
      <c r="U541" s="6">
        <v>178.60740000000001</v>
      </c>
    </row>
    <row r="542" spans="1:21" x14ac:dyDescent="0.35">
      <c r="A542">
        <v>541</v>
      </c>
      <c r="B542" s="5">
        <v>44737</v>
      </c>
      <c r="C542" s="4">
        <v>2022</v>
      </c>
      <c r="D542" s="4">
        <v>6</v>
      </c>
      <c r="E542" s="14">
        <v>44737</v>
      </c>
      <c r="F542" s="4">
        <v>25</v>
      </c>
      <c r="G542">
        <v>167</v>
      </c>
      <c r="H542">
        <v>156</v>
      </c>
      <c r="I542" s="13">
        <v>0.93</v>
      </c>
      <c r="J542">
        <v>11</v>
      </c>
      <c r="K542" s="2">
        <v>3.7037037037037035E-4</v>
      </c>
      <c r="L542" s="11">
        <v>83.2</v>
      </c>
      <c r="M542" s="3">
        <v>0.53333333333333333</v>
      </c>
      <c r="N542" s="4">
        <v>32</v>
      </c>
      <c r="O542" s="2">
        <v>1.8865740740740742E-3</v>
      </c>
      <c r="P542" s="9">
        <v>423.8</v>
      </c>
      <c r="Q542" s="3">
        <v>2.7166666666666668</v>
      </c>
      <c r="R542" s="4">
        <v>163</v>
      </c>
      <c r="S542" s="3">
        <v>88</v>
      </c>
      <c r="T542" s="1">
        <v>0.56789999999999996</v>
      </c>
      <c r="U542" s="6">
        <v>88.592399999999998</v>
      </c>
    </row>
    <row r="543" spans="1:21" x14ac:dyDescent="0.35">
      <c r="A543">
        <v>542</v>
      </c>
      <c r="B543" s="5">
        <v>44738</v>
      </c>
      <c r="C543" s="4">
        <v>2022</v>
      </c>
      <c r="D543" s="4">
        <v>6</v>
      </c>
      <c r="E543" s="14">
        <v>44738</v>
      </c>
      <c r="F543" s="4">
        <v>26</v>
      </c>
      <c r="G543">
        <v>167</v>
      </c>
      <c r="H543">
        <v>157</v>
      </c>
      <c r="I543" s="13">
        <v>0.94</v>
      </c>
      <c r="J543">
        <v>10</v>
      </c>
      <c r="K543" s="2">
        <v>3.1250000000000001E-4</v>
      </c>
      <c r="L543" s="11">
        <v>70.650000000000006</v>
      </c>
      <c r="M543" s="3">
        <v>0.45</v>
      </c>
      <c r="N543" s="4">
        <v>27</v>
      </c>
      <c r="O543" s="2">
        <v>2.0486111111111113E-3</v>
      </c>
      <c r="P543" s="9">
        <v>463.15000000000003</v>
      </c>
      <c r="Q543" s="3">
        <v>2.95</v>
      </c>
      <c r="R543" s="4">
        <v>177</v>
      </c>
      <c r="S543" s="3">
        <v>105</v>
      </c>
      <c r="T543" s="1">
        <v>0.67479999999999996</v>
      </c>
      <c r="U543" s="6">
        <v>105.94359999999999</v>
      </c>
    </row>
    <row r="544" spans="1:21" x14ac:dyDescent="0.35">
      <c r="A544">
        <v>543</v>
      </c>
      <c r="B544" s="5">
        <v>44739</v>
      </c>
      <c r="C544" s="4">
        <v>2022</v>
      </c>
      <c r="D544" s="4">
        <v>6</v>
      </c>
      <c r="E544" s="14">
        <v>44739</v>
      </c>
      <c r="F544" s="4">
        <v>27</v>
      </c>
      <c r="G544">
        <v>166</v>
      </c>
      <c r="H544">
        <v>161</v>
      </c>
      <c r="I544" s="13">
        <v>0.96</v>
      </c>
      <c r="J544">
        <v>5</v>
      </c>
      <c r="K544" s="2">
        <v>2.4305555555555555E-4</v>
      </c>
      <c r="L544" s="11">
        <v>56.349999999999994</v>
      </c>
      <c r="M544" s="3">
        <v>0.35</v>
      </c>
      <c r="N544" s="4">
        <v>21</v>
      </c>
      <c r="O544" s="2">
        <v>1.9097222222222222E-3</v>
      </c>
      <c r="P544" s="9">
        <v>442.75</v>
      </c>
      <c r="Q544" s="3">
        <v>2.75</v>
      </c>
      <c r="R544" s="4">
        <v>165</v>
      </c>
      <c r="S544" s="3">
        <v>118</v>
      </c>
      <c r="T544" s="1">
        <v>0.73329999999999995</v>
      </c>
      <c r="U544" s="6">
        <v>118.06129999999999</v>
      </c>
    </row>
    <row r="545" spans="1:21" x14ac:dyDescent="0.35">
      <c r="A545">
        <v>544</v>
      </c>
      <c r="B545" s="5">
        <v>44740</v>
      </c>
      <c r="C545" s="4">
        <v>2022</v>
      </c>
      <c r="D545" s="4">
        <v>6</v>
      </c>
      <c r="E545" s="14">
        <v>44740</v>
      </c>
      <c r="F545" s="4">
        <v>28</v>
      </c>
      <c r="G545">
        <v>32</v>
      </c>
      <c r="H545">
        <v>28</v>
      </c>
      <c r="I545" s="13">
        <v>0.87</v>
      </c>
      <c r="J545">
        <v>4</v>
      </c>
      <c r="K545" s="2">
        <v>2.5462962962962961E-4</v>
      </c>
      <c r="L545" s="11">
        <v>10.266666666666666</v>
      </c>
      <c r="M545" s="3">
        <v>0.36666666666666664</v>
      </c>
      <c r="N545" s="4">
        <v>22</v>
      </c>
      <c r="O545" s="2">
        <v>1.8865740740740742E-3</v>
      </c>
      <c r="P545" s="9">
        <v>76.066666666666663</v>
      </c>
      <c r="Q545" s="3">
        <v>2.7166666666666668</v>
      </c>
      <c r="R545" s="4">
        <v>163</v>
      </c>
      <c r="S545" s="3">
        <v>18</v>
      </c>
      <c r="T545" s="1">
        <v>0.6452</v>
      </c>
      <c r="U545" s="6">
        <v>18.0656</v>
      </c>
    </row>
    <row r="546" spans="1:21" x14ac:dyDescent="0.35">
      <c r="A546">
        <v>545</v>
      </c>
      <c r="B546" s="5">
        <v>44741</v>
      </c>
      <c r="C546" s="4">
        <v>2022</v>
      </c>
      <c r="D546" s="4">
        <v>6</v>
      </c>
      <c r="E546" s="14">
        <v>44741</v>
      </c>
      <c r="F546" s="4">
        <v>29</v>
      </c>
      <c r="G546">
        <v>52</v>
      </c>
      <c r="H546">
        <v>49</v>
      </c>
      <c r="I546" s="13">
        <v>0.94</v>
      </c>
      <c r="J546">
        <v>3</v>
      </c>
      <c r="K546" s="2">
        <v>3.7037037037037035E-4</v>
      </c>
      <c r="L546" s="11">
        <v>26.133333333333333</v>
      </c>
      <c r="M546" s="3">
        <v>0.53333333333333333</v>
      </c>
      <c r="N546" s="4">
        <v>32</v>
      </c>
      <c r="O546" s="2">
        <v>2.0601851851851853E-3</v>
      </c>
      <c r="P546" s="9">
        <v>145.36666666666667</v>
      </c>
      <c r="Q546" s="3">
        <v>2.9666666666666668</v>
      </c>
      <c r="R546" s="4">
        <v>178</v>
      </c>
      <c r="S546" s="3">
        <v>31</v>
      </c>
      <c r="T546" s="1">
        <v>0.63460000000000005</v>
      </c>
      <c r="U546" s="6">
        <v>31.095400000000001</v>
      </c>
    </row>
    <row r="547" spans="1:21" x14ac:dyDescent="0.35">
      <c r="A547">
        <v>546</v>
      </c>
      <c r="B547" s="5">
        <v>44742</v>
      </c>
      <c r="C547" s="4">
        <v>2022</v>
      </c>
      <c r="D547" s="4">
        <v>6</v>
      </c>
      <c r="E547" s="14">
        <v>44742</v>
      </c>
      <c r="F547" s="4">
        <v>30</v>
      </c>
      <c r="G547">
        <v>154</v>
      </c>
      <c r="H547">
        <v>149</v>
      </c>
      <c r="I547" s="13">
        <v>0.96</v>
      </c>
      <c r="J547">
        <v>5</v>
      </c>
      <c r="K547" s="2">
        <v>3.0092592592592595E-4</v>
      </c>
      <c r="L547" s="11">
        <v>64.566666666666663</v>
      </c>
      <c r="M547" s="3">
        <v>0.43333333333333335</v>
      </c>
      <c r="N547" s="4">
        <v>26</v>
      </c>
      <c r="O547" s="2">
        <v>1.9907407407407408E-3</v>
      </c>
      <c r="P547" s="9">
        <v>427.13333333333333</v>
      </c>
      <c r="Q547" s="3">
        <v>2.8666666666666667</v>
      </c>
      <c r="R547" s="4">
        <v>172</v>
      </c>
      <c r="S547" s="3">
        <v>96</v>
      </c>
      <c r="T547" s="1">
        <v>0.64900000000000002</v>
      </c>
      <c r="U547" s="6">
        <v>96.701000000000008</v>
      </c>
    </row>
    <row r="548" spans="1:21" x14ac:dyDescent="0.35">
      <c r="A548">
        <v>547</v>
      </c>
      <c r="B548" s="5">
        <v>44743</v>
      </c>
      <c r="C548" s="4">
        <v>2022</v>
      </c>
      <c r="D548" s="4">
        <v>7</v>
      </c>
      <c r="E548" s="14">
        <v>44743</v>
      </c>
      <c r="F548" s="4">
        <v>1</v>
      </c>
      <c r="G548">
        <v>223</v>
      </c>
      <c r="H548">
        <v>218</v>
      </c>
      <c r="I548" s="13">
        <v>0.97</v>
      </c>
      <c r="J548">
        <v>5</v>
      </c>
      <c r="K548" s="2">
        <v>2.0833333333333335E-4</v>
      </c>
      <c r="L548" s="11">
        <v>65.399999999999991</v>
      </c>
      <c r="M548" s="3">
        <v>0.3</v>
      </c>
      <c r="N548" s="4">
        <v>18</v>
      </c>
      <c r="O548" s="2">
        <v>1.4699074074074074E-3</v>
      </c>
      <c r="P548" s="9">
        <v>461.43333333333334</v>
      </c>
      <c r="Q548" s="3">
        <v>2.1166666666666667</v>
      </c>
      <c r="R548" s="4">
        <v>127</v>
      </c>
      <c r="S548" s="3">
        <v>174</v>
      </c>
      <c r="T548" s="1">
        <v>0.80089999999999995</v>
      </c>
      <c r="U548" s="6">
        <v>174.59619999999998</v>
      </c>
    </row>
    <row r="549" spans="1:21" x14ac:dyDescent="0.35">
      <c r="A549">
        <v>548</v>
      </c>
      <c r="B549" s="5">
        <v>44744</v>
      </c>
      <c r="C549" s="4">
        <v>2022</v>
      </c>
      <c r="D549" s="4">
        <v>7</v>
      </c>
      <c r="E549" s="14">
        <v>44744</v>
      </c>
      <c r="F549" s="4">
        <v>2</v>
      </c>
      <c r="G549">
        <v>170</v>
      </c>
      <c r="H549">
        <v>157</v>
      </c>
      <c r="I549" s="13">
        <v>0.92</v>
      </c>
      <c r="J549">
        <v>13</v>
      </c>
      <c r="K549" s="2">
        <v>1.9675925925925926E-4</v>
      </c>
      <c r="L549" s="11">
        <v>44.483333333333334</v>
      </c>
      <c r="M549" s="3">
        <v>0.28333333333333333</v>
      </c>
      <c r="N549" s="4">
        <v>17</v>
      </c>
      <c r="O549" s="2">
        <v>2.1296296296296298E-3</v>
      </c>
      <c r="P549" s="9">
        <v>481.4666666666667</v>
      </c>
      <c r="Q549" s="3">
        <v>3.0666666666666669</v>
      </c>
      <c r="R549" s="4">
        <v>184</v>
      </c>
      <c r="S549" s="3">
        <v>123</v>
      </c>
      <c r="T549" s="1">
        <v>0.78439999999999999</v>
      </c>
      <c r="U549" s="6">
        <v>123.1508</v>
      </c>
    </row>
    <row r="550" spans="1:21" x14ac:dyDescent="0.35">
      <c r="A550">
        <v>549</v>
      </c>
      <c r="B550" s="5">
        <v>44745</v>
      </c>
      <c r="C550" s="4">
        <v>2022</v>
      </c>
      <c r="D550" s="4">
        <v>7</v>
      </c>
      <c r="E550" s="14">
        <v>44745</v>
      </c>
      <c r="F550" s="4">
        <v>3</v>
      </c>
      <c r="G550">
        <v>145</v>
      </c>
      <c r="H550">
        <v>133</v>
      </c>
      <c r="I550" s="13">
        <v>0.91</v>
      </c>
      <c r="J550">
        <v>12</v>
      </c>
      <c r="K550" s="2">
        <v>3.0092592592592595E-4</v>
      </c>
      <c r="L550" s="11">
        <v>57.633333333333333</v>
      </c>
      <c r="M550" s="3">
        <v>0.43333333333333335</v>
      </c>
      <c r="N550" s="4">
        <v>26</v>
      </c>
      <c r="O550" s="2">
        <v>2.0370370370370369E-3</v>
      </c>
      <c r="P550" s="9">
        <v>390.13333333333338</v>
      </c>
      <c r="Q550" s="3">
        <v>2.9333333333333336</v>
      </c>
      <c r="R550" s="4">
        <v>176</v>
      </c>
      <c r="S550" s="3">
        <v>92</v>
      </c>
      <c r="T550" s="1">
        <v>0.69230000000000003</v>
      </c>
      <c r="U550" s="6">
        <v>92.075900000000004</v>
      </c>
    </row>
    <row r="551" spans="1:21" x14ac:dyDescent="0.35">
      <c r="A551">
        <v>550</v>
      </c>
      <c r="B551" s="5">
        <v>44746</v>
      </c>
      <c r="C551" s="4">
        <v>2022</v>
      </c>
      <c r="D551" s="4">
        <v>7</v>
      </c>
      <c r="E551" s="14">
        <v>44746</v>
      </c>
      <c r="F551" s="4">
        <v>4</v>
      </c>
      <c r="G551">
        <v>144</v>
      </c>
      <c r="H551">
        <v>138</v>
      </c>
      <c r="I551" s="13">
        <v>0.95</v>
      </c>
      <c r="J551">
        <v>6</v>
      </c>
      <c r="K551" s="2">
        <v>1.9675925925925926E-4</v>
      </c>
      <c r="L551" s="11">
        <v>39.1</v>
      </c>
      <c r="M551" s="3">
        <v>0.28333333333333333</v>
      </c>
      <c r="N551" s="4">
        <v>17</v>
      </c>
      <c r="O551" s="2">
        <v>2.0023148148148148E-3</v>
      </c>
      <c r="P551" s="9">
        <v>397.9</v>
      </c>
      <c r="Q551" s="3">
        <v>2.8833333333333333</v>
      </c>
      <c r="R551" s="4">
        <v>173</v>
      </c>
      <c r="S551" s="3">
        <v>115</v>
      </c>
      <c r="T551" s="1">
        <v>0.83799999999999997</v>
      </c>
      <c r="U551" s="6">
        <v>115.64399999999999</v>
      </c>
    </row>
    <row r="552" spans="1:21" x14ac:dyDescent="0.35">
      <c r="A552">
        <v>551</v>
      </c>
      <c r="B552" s="5">
        <v>44747</v>
      </c>
      <c r="C552" s="4">
        <v>2022</v>
      </c>
      <c r="D552" s="4">
        <v>7</v>
      </c>
      <c r="E552" s="14">
        <v>44747</v>
      </c>
      <c r="F552" s="4">
        <v>5</v>
      </c>
      <c r="G552">
        <v>16</v>
      </c>
      <c r="H552">
        <v>15</v>
      </c>
      <c r="I552" s="13">
        <v>0.93</v>
      </c>
      <c r="J552">
        <v>1</v>
      </c>
      <c r="K552" s="2">
        <v>1.9675925925925926E-4</v>
      </c>
      <c r="L552" s="11">
        <v>4.25</v>
      </c>
      <c r="M552" s="3">
        <v>0.28333333333333333</v>
      </c>
      <c r="N552" s="4">
        <v>17</v>
      </c>
      <c r="O552" s="2">
        <v>2.0833333333333333E-3</v>
      </c>
      <c r="P552" s="9">
        <v>45</v>
      </c>
      <c r="Q552" s="3">
        <v>3</v>
      </c>
      <c r="R552" s="4">
        <v>180</v>
      </c>
      <c r="S552" s="3">
        <v>10</v>
      </c>
      <c r="T552" s="1">
        <v>0.6875</v>
      </c>
      <c r="U552" s="6">
        <v>10.3125</v>
      </c>
    </row>
    <row r="553" spans="1:21" x14ac:dyDescent="0.35">
      <c r="A553">
        <v>552</v>
      </c>
      <c r="B553" s="5">
        <v>44748</v>
      </c>
      <c r="C553" s="4">
        <v>2022</v>
      </c>
      <c r="D553" s="4">
        <v>7</v>
      </c>
      <c r="E553" s="14">
        <v>44748</v>
      </c>
      <c r="F553" s="4">
        <v>6</v>
      </c>
      <c r="G553">
        <v>135</v>
      </c>
      <c r="H553">
        <v>131</v>
      </c>
      <c r="I553" s="13">
        <v>0.97</v>
      </c>
      <c r="J553">
        <v>4</v>
      </c>
      <c r="K553" s="2">
        <v>2.3148148148148149E-4</v>
      </c>
      <c r="L553" s="11">
        <v>43.666666666666664</v>
      </c>
      <c r="M553" s="3">
        <v>0.33333333333333331</v>
      </c>
      <c r="N553" s="4">
        <v>20</v>
      </c>
      <c r="O553" s="2">
        <v>1.8171296296296297E-3</v>
      </c>
      <c r="P553" s="9">
        <v>342.78333333333336</v>
      </c>
      <c r="Q553" s="3">
        <v>2.6166666666666667</v>
      </c>
      <c r="R553" s="4">
        <v>157</v>
      </c>
      <c r="S553" s="3">
        <v>99</v>
      </c>
      <c r="T553" s="1">
        <v>0.76119999999999999</v>
      </c>
      <c r="U553" s="6">
        <v>99.717200000000005</v>
      </c>
    </row>
    <row r="554" spans="1:21" x14ac:dyDescent="0.35">
      <c r="A554">
        <v>553</v>
      </c>
      <c r="B554" s="5">
        <v>44749</v>
      </c>
      <c r="C554" s="4">
        <v>2022</v>
      </c>
      <c r="D554" s="4">
        <v>7</v>
      </c>
      <c r="E554" s="14">
        <v>44749</v>
      </c>
      <c r="F554" s="4">
        <v>7</v>
      </c>
      <c r="G554">
        <v>137</v>
      </c>
      <c r="H554">
        <v>133</v>
      </c>
      <c r="I554" s="13">
        <v>0.97</v>
      </c>
      <c r="J554">
        <v>4</v>
      </c>
      <c r="K554" s="2">
        <v>2.7777777777777778E-4</v>
      </c>
      <c r="L554" s="11">
        <v>53.2</v>
      </c>
      <c r="M554" s="3">
        <v>0.4</v>
      </c>
      <c r="N554" s="4">
        <v>24</v>
      </c>
      <c r="O554" s="2">
        <v>1.9560185185185184E-3</v>
      </c>
      <c r="P554" s="9">
        <v>374.61666666666662</v>
      </c>
      <c r="Q554" s="3">
        <v>2.8166666666666664</v>
      </c>
      <c r="R554" s="4">
        <v>169</v>
      </c>
      <c r="S554" s="3">
        <v>91</v>
      </c>
      <c r="T554" s="1">
        <v>0.69120000000000004</v>
      </c>
      <c r="U554" s="6">
        <v>91.929600000000008</v>
      </c>
    </row>
    <row r="555" spans="1:21" x14ac:dyDescent="0.35">
      <c r="A555">
        <v>554</v>
      </c>
      <c r="B555" s="5">
        <v>44750</v>
      </c>
      <c r="C555" s="4">
        <v>2022</v>
      </c>
      <c r="D555" s="4">
        <v>7</v>
      </c>
      <c r="E555" s="14">
        <v>44750</v>
      </c>
      <c r="F555" s="4">
        <v>8</v>
      </c>
      <c r="G555">
        <v>149</v>
      </c>
      <c r="H555">
        <v>144</v>
      </c>
      <c r="I555" s="13">
        <v>0.96</v>
      </c>
      <c r="J555">
        <v>5</v>
      </c>
      <c r="K555" s="2">
        <v>1.9675925925925926E-4</v>
      </c>
      <c r="L555" s="11">
        <v>40.799999999999997</v>
      </c>
      <c r="M555" s="3">
        <v>0.28333333333333333</v>
      </c>
      <c r="N555" s="4">
        <v>17</v>
      </c>
      <c r="O555" s="2">
        <v>1.8402777777777777E-3</v>
      </c>
      <c r="P555" s="9">
        <v>381.59999999999997</v>
      </c>
      <c r="Q555" s="3">
        <v>2.65</v>
      </c>
      <c r="R555" s="4">
        <v>159</v>
      </c>
      <c r="S555" s="3">
        <v>119</v>
      </c>
      <c r="T555" s="1">
        <v>0.8276</v>
      </c>
      <c r="U555" s="6">
        <v>119.17440000000001</v>
      </c>
    </row>
    <row r="556" spans="1:21" x14ac:dyDescent="0.35">
      <c r="A556">
        <v>555</v>
      </c>
      <c r="B556" s="5">
        <v>44751</v>
      </c>
      <c r="C556" s="4">
        <v>2022</v>
      </c>
      <c r="D556" s="4">
        <v>7</v>
      </c>
      <c r="E556" s="14">
        <v>44751</v>
      </c>
      <c r="F556" s="4">
        <v>9</v>
      </c>
      <c r="G556">
        <v>155</v>
      </c>
      <c r="H556">
        <v>143</v>
      </c>
      <c r="I556" s="13">
        <v>0.92</v>
      </c>
      <c r="J556">
        <v>12</v>
      </c>
      <c r="K556" s="2">
        <v>1.8518518518518518E-4</v>
      </c>
      <c r="L556" s="11">
        <v>38.133333333333333</v>
      </c>
      <c r="M556" s="3">
        <v>0.26666666666666666</v>
      </c>
      <c r="N556" s="4">
        <v>16</v>
      </c>
      <c r="O556" s="2">
        <v>1.8634259259259259E-3</v>
      </c>
      <c r="P556" s="9">
        <v>383.7166666666667</v>
      </c>
      <c r="Q556" s="3">
        <v>2.6833333333333336</v>
      </c>
      <c r="R556" s="4">
        <v>161</v>
      </c>
      <c r="S556" s="3">
        <v>114</v>
      </c>
      <c r="T556" s="1">
        <v>0.8014</v>
      </c>
      <c r="U556" s="6">
        <v>114.6002</v>
      </c>
    </row>
    <row r="557" spans="1:21" x14ac:dyDescent="0.35">
      <c r="A557">
        <v>556</v>
      </c>
      <c r="B557" s="5">
        <v>44752</v>
      </c>
      <c r="C557" s="4">
        <v>2022</v>
      </c>
      <c r="D557" s="4">
        <v>7</v>
      </c>
      <c r="E557" s="14">
        <v>44752</v>
      </c>
      <c r="F557" s="4">
        <v>10</v>
      </c>
      <c r="G557">
        <v>128</v>
      </c>
      <c r="H557">
        <v>121</v>
      </c>
      <c r="I557" s="13">
        <v>0.94</v>
      </c>
      <c r="J557">
        <v>7</v>
      </c>
      <c r="K557" s="2">
        <v>2.199074074074074E-4</v>
      </c>
      <c r="L557" s="11">
        <v>38.316666666666663</v>
      </c>
      <c r="M557" s="3">
        <v>0.31666666666666665</v>
      </c>
      <c r="N557" s="4">
        <v>19</v>
      </c>
      <c r="O557" s="2">
        <v>2.0254629629629629E-3</v>
      </c>
      <c r="P557" s="9">
        <v>352.91666666666663</v>
      </c>
      <c r="Q557" s="3">
        <v>2.9166666666666665</v>
      </c>
      <c r="R557" s="4">
        <v>175</v>
      </c>
      <c r="S557" s="3">
        <v>94</v>
      </c>
      <c r="T557" s="1">
        <v>0.77780000000000005</v>
      </c>
      <c r="U557" s="6">
        <v>94.113800000000012</v>
      </c>
    </row>
    <row r="558" spans="1:21" x14ac:dyDescent="0.35">
      <c r="A558">
        <v>557</v>
      </c>
      <c r="B558" s="5">
        <v>44753</v>
      </c>
      <c r="C558" s="4">
        <v>2022</v>
      </c>
      <c r="D558" s="4">
        <v>7</v>
      </c>
      <c r="E558" s="14">
        <v>44753</v>
      </c>
      <c r="F558" s="4">
        <v>11</v>
      </c>
      <c r="G558">
        <v>134</v>
      </c>
      <c r="H558">
        <v>125</v>
      </c>
      <c r="I558" s="13">
        <v>0.93</v>
      </c>
      <c r="J558">
        <v>9</v>
      </c>
      <c r="K558" s="2">
        <v>2.4305555555555555E-4</v>
      </c>
      <c r="L558" s="11">
        <v>43.75</v>
      </c>
      <c r="M558" s="3">
        <v>0.35</v>
      </c>
      <c r="N558" s="4">
        <v>21</v>
      </c>
      <c r="O558" s="2">
        <v>1.8287037037037037E-3</v>
      </c>
      <c r="P558" s="9">
        <v>329.16666666666669</v>
      </c>
      <c r="Q558" s="3">
        <v>2.6333333333333333</v>
      </c>
      <c r="R558" s="4">
        <v>158</v>
      </c>
      <c r="S558" s="3">
        <v>90</v>
      </c>
      <c r="T558" s="1">
        <v>0.72519999999999996</v>
      </c>
      <c r="U558" s="6">
        <v>90.649999999999991</v>
      </c>
    </row>
    <row r="559" spans="1:21" x14ac:dyDescent="0.35">
      <c r="A559">
        <v>558</v>
      </c>
      <c r="B559" s="5">
        <v>44754</v>
      </c>
      <c r="C559" s="4">
        <v>2022</v>
      </c>
      <c r="D559" s="4">
        <v>7</v>
      </c>
      <c r="E559" s="14">
        <v>44754</v>
      </c>
      <c r="F559" s="4">
        <v>12</v>
      </c>
      <c r="G559">
        <v>21</v>
      </c>
      <c r="H559">
        <v>21</v>
      </c>
      <c r="I559" s="13">
        <v>1</v>
      </c>
      <c r="J559">
        <v>0</v>
      </c>
      <c r="K559" s="2">
        <v>2.6620370370370372E-4</v>
      </c>
      <c r="L559" s="11">
        <v>8.0500000000000007</v>
      </c>
      <c r="M559" s="3">
        <v>0.38333333333333336</v>
      </c>
      <c r="N559" s="4">
        <v>23</v>
      </c>
      <c r="O559" s="2">
        <v>1.8171296296296297E-3</v>
      </c>
      <c r="P559" s="9">
        <v>54.95</v>
      </c>
      <c r="Q559" s="3">
        <v>2.6166666666666667</v>
      </c>
      <c r="R559" s="4">
        <v>157</v>
      </c>
      <c r="S559" s="3">
        <v>15</v>
      </c>
      <c r="T559" s="1">
        <v>0.76190000000000002</v>
      </c>
      <c r="U559" s="6">
        <v>15.9999</v>
      </c>
    </row>
    <row r="560" spans="1:21" x14ac:dyDescent="0.35">
      <c r="A560">
        <v>559</v>
      </c>
      <c r="B560" s="5">
        <v>44755</v>
      </c>
      <c r="C560" s="4">
        <v>2022</v>
      </c>
      <c r="D560" s="4">
        <v>7</v>
      </c>
      <c r="E560" s="14">
        <v>44755</v>
      </c>
      <c r="F560" s="4">
        <v>13</v>
      </c>
      <c r="G560">
        <v>150</v>
      </c>
      <c r="H560">
        <v>138</v>
      </c>
      <c r="I560" s="13">
        <v>0.92</v>
      </c>
      <c r="J560">
        <v>12</v>
      </c>
      <c r="K560" s="2">
        <v>3.4722222222222224E-4</v>
      </c>
      <c r="L560" s="11">
        <v>69</v>
      </c>
      <c r="M560" s="3">
        <v>0.5</v>
      </c>
      <c r="N560" s="4">
        <v>30</v>
      </c>
      <c r="O560" s="2">
        <v>1.9907407407407408E-3</v>
      </c>
      <c r="P560" s="9">
        <v>395.6</v>
      </c>
      <c r="Q560" s="3">
        <v>2.8666666666666667</v>
      </c>
      <c r="R560" s="4">
        <v>172</v>
      </c>
      <c r="S560" s="3">
        <v>80</v>
      </c>
      <c r="T560" s="1">
        <v>0.5867</v>
      </c>
      <c r="U560" s="6">
        <v>80.964600000000004</v>
      </c>
    </row>
    <row r="561" spans="1:21" x14ac:dyDescent="0.35">
      <c r="A561">
        <v>560</v>
      </c>
      <c r="B561" s="5">
        <v>44756</v>
      </c>
      <c r="C561" s="4">
        <v>2022</v>
      </c>
      <c r="D561" s="4">
        <v>7</v>
      </c>
      <c r="E561" s="14">
        <v>44756</v>
      </c>
      <c r="F561" s="4">
        <v>14</v>
      </c>
      <c r="G561">
        <v>163</v>
      </c>
      <c r="H561">
        <v>158</v>
      </c>
      <c r="I561" s="13">
        <v>0.96</v>
      </c>
      <c r="J561">
        <v>5</v>
      </c>
      <c r="K561" s="2">
        <v>1.6203703703703703E-4</v>
      </c>
      <c r="L561" s="11">
        <v>36.866666666666667</v>
      </c>
      <c r="M561" s="3">
        <v>0.23333333333333334</v>
      </c>
      <c r="N561" s="4">
        <v>14</v>
      </c>
      <c r="O561" s="2">
        <v>1.712962962962963E-3</v>
      </c>
      <c r="P561" s="9">
        <v>389.73333333333335</v>
      </c>
      <c r="Q561" s="3">
        <v>2.4666666666666668</v>
      </c>
      <c r="R561" s="4">
        <v>148</v>
      </c>
      <c r="S561" s="3">
        <v>129</v>
      </c>
      <c r="T561" s="1">
        <v>0.81989999999999996</v>
      </c>
      <c r="U561" s="6">
        <v>129.54419999999999</v>
      </c>
    </row>
    <row r="562" spans="1:21" x14ac:dyDescent="0.35">
      <c r="A562">
        <v>561</v>
      </c>
      <c r="B562" s="5">
        <v>44757</v>
      </c>
      <c r="C562" s="4">
        <v>2022</v>
      </c>
      <c r="D562" s="4">
        <v>7</v>
      </c>
      <c r="E562" s="14">
        <v>44757</v>
      </c>
      <c r="F562" s="4">
        <v>15</v>
      </c>
      <c r="G562">
        <v>160</v>
      </c>
      <c r="H562">
        <v>151</v>
      </c>
      <c r="I562" s="13">
        <v>0.94</v>
      </c>
      <c r="J562">
        <v>9</v>
      </c>
      <c r="K562" s="2">
        <v>1.3888888888888889E-4</v>
      </c>
      <c r="L562" s="11">
        <v>30.200000000000003</v>
      </c>
      <c r="M562" s="3">
        <v>0.2</v>
      </c>
      <c r="N562" s="4">
        <v>12</v>
      </c>
      <c r="O562" s="2">
        <v>1.8402777777777777E-3</v>
      </c>
      <c r="P562" s="9">
        <v>400.15</v>
      </c>
      <c r="Q562" s="3">
        <v>2.65</v>
      </c>
      <c r="R562" s="4">
        <v>159</v>
      </c>
      <c r="S562" s="3">
        <v>131</v>
      </c>
      <c r="T562" s="1">
        <v>0.87180000000000002</v>
      </c>
      <c r="U562" s="6">
        <v>131.64179999999999</v>
      </c>
    </row>
    <row r="563" spans="1:21" x14ac:dyDescent="0.35">
      <c r="A563">
        <v>562</v>
      </c>
      <c r="B563" s="5">
        <v>44758</v>
      </c>
      <c r="C563" s="4">
        <v>2022</v>
      </c>
      <c r="D563" s="4">
        <v>7</v>
      </c>
      <c r="E563" s="14">
        <v>44758</v>
      </c>
      <c r="F563" s="4">
        <v>16</v>
      </c>
      <c r="G563">
        <v>132</v>
      </c>
      <c r="H563">
        <v>125</v>
      </c>
      <c r="I563" s="13">
        <v>0.94</v>
      </c>
      <c r="J563">
        <v>7</v>
      </c>
      <c r="K563" s="2">
        <v>3.4722222222222224E-4</v>
      </c>
      <c r="L563" s="11">
        <v>62.5</v>
      </c>
      <c r="M563" s="3">
        <v>0.5</v>
      </c>
      <c r="N563" s="4">
        <v>30</v>
      </c>
      <c r="O563" s="2">
        <v>1.9212962962962964E-3</v>
      </c>
      <c r="P563" s="9">
        <v>345.83333333333331</v>
      </c>
      <c r="Q563" s="3">
        <v>2.7666666666666666</v>
      </c>
      <c r="R563" s="4">
        <v>166</v>
      </c>
      <c r="S563" s="3">
        <v>80</v>
      </c>
      <c r="T563" s="1">
        <v>0.6462</v>
      </c>
      <c r="U563" s="6">
        <v>80.775000000000006</v>
      </c>
    </row>
    <row r="564" spans="1:21" x14ac:dyDescent="0.35">
      <c r="A564">
        <v>563</v>
      </c>
      <c r="B564" s="5">
        <v>44759</v>
      </c>
      <c r="C564" s="4">
        <v>2022</v>
      </c>
      <c r="D564" s="4">
        <v>7</v>
      </c>
      <c r="E564" s="14">
        <v>44759</v>
      </c>
      <c r="F564" s="4">
        <v>17</v>
      </c>
      <c r="G564">
        <v>131</v>
      </c>
      <c r="H564">
        <v>126</v>
      </c>
      <c r="I564" s="13">
        <v>0.96</v>
      </c>
      <c r="J564">
        <v>5</v>
      </c>
      <c r="K564" s="2">
        <v>1.9675925925925926E-4</v>
      </c>
      <c r="L564" s="11">
        <v>35.699999999999996</v>
      </c>
      <c r="M564" s="3">
        <v>0.28333333333333333</v>
      </c>
      <c r="N564" s="4">
        <v>17</v>
      </c>
      <c r="O564" s="2">
        <v>1.9328703703703704E-3</v>
      </c>
      <c r="P564" s="9">
        <v>350.7</v>
      </c>
      <c r="Q564" s="3">
        <v>2.7833333333333332</v>
      </c>
      <c r="R564" s="4">
        <v>167</v>
      </c>
      <c r="S564" s="3">
        <v>98</v>
      </c>
      <c r="T564" s="1">
        <v>0.78290000000000004</v>
      </c>
      <c r="U564" s="6">
        <v>98.645400000000009</v>
      </c>
    </row>
    <row r="565" spans="1:21" x14ac:dyDescent="0.35">
      <c r="A565">
        <v>564</v>
      </c>
      <c r="B565" s="5">
        <v>44760</v>
      </c>
      <c r="C565" s="4">
        <v>2022</v>
      </c>
      <c r="D565" s="4">
        <v>7</v>
      </c>
      <c r="E565" s="14">
        <v>44760</v>
      </c>
      <c r="F565" s="4">
        <v>18</v>
      </c>
      <c r="G565">
        <v>158</v>
      </c>
      <c r="H565">
        <v>146</v>
      </c>
      <c r="I565" s="13">
        <v>0.92</v>
      </c>
      <c r="J565">
        <v>12</v>
      </c>
      <c r="K565" s="2">
        <v>2.4305555555555555E-4</v>
      </c>
      <c r="L565" s="11">
        <v>51.099999999999994</v>
      </c>
      <c r="M565" s="3">
        <v>0.35</v>
      </c>
      <c r="N565" s="4">
        <v>21</v>
      </c>
      <c r="O565" s="2">
        <v>1.8749999999999999E-3</v>
      </c>
      <c r="P565" s="9">
        <v>394.20000000000005</v>
      </c>
      <c r="Q565" s="3">
        <v>2.7</v>
      </c>
      <c r="R565" s="4">
        <v>162</v>
      </c>
      <c r="S565" s="3">
        <v>109</v>
      </c>
      <c r="T565" s="1">
        <v>0.75319999999999998</v>
      </c>
      <c r="U565" s="6">
        <v>109.96719999999999</v>
      </c>
    </row>
    <row r="566" spans="1:21" x14ac:dyDescent="0.35">
      <c r="A566">
        <v>565</v>
      </c>
      <c r="B566" s="5">
        <v>44761</v>
      </c>
      <c r="C566" s="4">
        <v>2022</v>
      </c>
      <c r="D566" s="4">
        <v>7</v>
      </c>
      <c r="E566" s="14">
        <v>44761</v>
      </c>
      <c r="F566" s="4">
        <v>19</v>
      </c>
      <c r="G566">
        <v>19</v>
      </c>
      <c r="H566">
        <v>16</v>
      </c>
      <c r="I566" s="13">
        <v>0.84</v>
      </c>
      <c r="J566">
        <v>3</v>
      </c>
      <c r="K566" s="2">
        <v>5.9027777777777778E-4</v>
      </c>
      <c r="L566" s="11">
        <v>13.6</v>
      </c>
      <c r="M566" s="3">
        <v>0.85</v>
      </c>
      <c r="N566" s="4">
        <v>51</v>
      </c>
      <c r="O566" s="2">
        <v>1.9212962962962964E-3</v>
      </c>
      <c r="P566" s="9">
        <v>44.266666666666666</v>
      </c>
      <c r="Q566" s="3">
        <v>2.7666666666666666</v>
      </c>
      <c r="R566" s="4">
        <v>166</v>
      </c>
      <c r="S566" s="3">
        <v>7</v>
      </c>
      <c r="T566" s="1">
        <v>0.47370000000000001</v>
      </c>
      <c r="U566" s="6">
        <v>7.5792000000000002</v>
      </c>
    </row>
    <row r="567" spans="1:21" x14ac:dyDescent="0.35">
      <c r="A567">
        <v>566</v>
      </c>
      <c r="B567" s="5">
        <v>44762</v>
      </c>
      <c r="C567" s="4">
        <v>2022</v>
      </c>
      <c r="D567" s="4">
        <v>7</v>
      </c>
      <c r="E567" s="14">
        <v>44762</v>
      </c>
      <c r="F567" s="4">
        <v>20</v>
      </c>
      <c r="G567">
        <v>151</v>
      </c>
      <c r="H567">
        <v>128</v>
      </c>
      <c r="I567" s="13">
        <v>0.84</v>
      </c>
      <c r="J567">
        <v>23</v>
      </c>
      <c r="K567" s="2">
        <v>6.018518518518519E-4</v>
      </c>
      <c r="L567" s="11">
        <v>110.93333333333334</v>
      </c>
      <c r="M567" s="3">
        <v>0.8666666666666667</v>
      </c>
      <c r="N567" s="4">
        <v>52</v>
      </c>
      <c r="O567" s="2">
        <v>1.736111111111111E-3</v>
      </c>
      <c r="P567" s="9">
        <v>320</v>
      </c>
      <c r="Q567" s="3">
        <v>2.5</v>
      </c>
      <c r="R567" s="4">
        <v>150</v>
      </c>
      <c r="S567" s="3">
        <v>48</v>
      </c>
      <c r="T567" s="1">
        <v>0.37930000000000003</v>
      </c>
      <c r="U567" s="6">
        <v>48.550400000000003</v>
      </c>
    </row>
    <row r="568" spans="1:21" x14ac:dyDescent="0.35">
      <c r="A568">
        <v>567</v>
      </c>
      <c r="B568" s="5">
        <v>44763</v>
      </c>
      <c r="C568" s="4">
        <v>2022</v>
      </c>
      <c r="D568" s="4">
        <v>7</v>
      </c>
      <c r="E568" s="14">
        <v>44763</v>
      </c>
      <c r="F568" s="4">
        <v>21</v>
      </c>
      <c r="G568">
        <v>139</v>
      </c>
      <c r="H568">
        <v>128</v>
      </c>
      <c r="I568" s="13">
        <v>0.92</v>
      </c>
      <c r="J568">
        <v>11</v>
      </c>
      <c r="K568" s="2">
        <v>3.7037037037037035E-4</v>
      </c>
      <c r="L568" s="11">
        <v>68.266666666666666</v>
      </c>
      <c r="M568" s="3">
        <v>0.53333333333333333</v>
      </c>
      <c r="N568" s="4">
        <v>32</v>
      </c>
      <c r="O568" s="2">
        <v>1.8981481481481482E-3</v>
      </c>
      <c r="P568" s="9">
        <v>349.86666666666667</v>
      </c>
      <c r="Q568" s="3">
        <v>2.7333333333333334</v>
      </c>
      <c r="R568" s="4">
        <v>164</v>
      </c>
      <c r="S568" s="3">
        <v>66</v>
      </c>
      <c r="T568" s="1">
        <v>0.51800000000000002</v>
      </c>
      <c r="U568" s="6">
        <v>66.304000000000002</v>
      </c>
    </row>
    <row r="569" spans="1:21" x14ac:dyDescent="0.35">
      <c r="A569">
        <v>568</v>
      </c>
      <c r="B569" s="5">
        <v>44764</v>
      </c>
      <c r="C569" s="4">
        <v>2022</v>
      </c>
      <c r="D569" s="4">
        <v>7</v>
      </c>
      <c r="E569" s="14">
        <v>44764</v>
      </c>
      <c r="F569" s="4">
        <v>22</v>
      </c>
      <c r="G569">
        <v>166</v>
      </c>
      <c r="H569">
        <v>135</v>
      </c>
      <c r="I569" s="13">
        <v>0.81</v>
      </c>
      <c r="J569">
        <v>31</v>
      </c>
      <c r="K569" s="2">
        <v>4.7453703703703704E-4</v>
      </c>
      <c r="L569" s="11">
        <v>92.25</v>
      </c>
      <c r="M569" s="3">
        <v>0.68333333333333335</v>
      </c>
      <c r="N569" s="4">
        <v>41</v>
      </c>
      <c r="O569" s="2">
        <v>1.8518518518518519E-3</v>
      </c>
      <c r="P569" s="9">
        <v>360</v>
      </c>
      <c r="Q569" s="3">
        <v>2.6666666666666665</v>
      </c>
      <c r="R569" s="4">
        <v>160</v>
      </c>
      <c r="S569" s="3">
        <v>62</v>
      </c>
      <c r="T569" s="1">
        <v>0.46500000000000002</v>
      </c>
      <c r="U569" s="6">
        <v>62.775000000000006</v>
      </c>
    </row>
    <row r="570" spans="1:21" x14ac:dyDescent="0.35">
      <c r="A570">
        <v>569</v>
      </c>
      <c r="B570" s="5">
        <v>44765</v>
      </c>
      <c r="C570" s="4">
        <v>2022</v>
      </c>
      <c r="D570" s="4">
        <v>7</v>
      </c>
      <c r="E570" s="14">
        <v>44765</v>
      </c>
      <c r="F570" s="4">
        <v>23</v>
      </c>
      <c r="G570">
        <v>258</v>
      </c>
      <c r="H570">
        <v>196</v>
      </c>
      <c r="I570" s="13">
        <v>0.75</v>
      </c>
      <c r="J570">
        <v>62</v>
      </c>
      <c r="K570" s="2">
        <v>8.1018518518518516E-4</v>
      </c>
      <c r="L570" s="11">
        <v>228.66666666666669</v>
      </c>
      <c r="M570" s="3">
        <v>1.1666666666666667</v>
      </c>
      <c r="N570" s="4">
        <v>70</v>
      </c>
      <c r="O570" s="2">
        <v>1.736111111111111E-3</v>
      </c>
      <c r="P570" s="9">
        <v>490</v>
      </c>
      <c r="Q570" s="3">
        <v>2.5</v>
      </c>
      <c r="R570" s="4">
        <v>150</v>
      </c>
      <c r="S570" s="3">
        <v>47</v>
      </c>
      <c r="T570" s="1">
        <v>0.2429</v>
      </c>
      <c r="U570" s="6">
        <v>47.608400000000003</v>
      </c>
    </row>
    <row r="571" spans="1:21" x14ac:dyDescent="0.35">
      <c r="A571">
        <v>570</v>
      </c>
      <c r="B571" s="5">
        <v>44766</v>
      </c>
      <c r="C571" s="4">
        <v>2022</v>
      </c>
      <c r="D571" s="4">
        <v>7</v>
      </c>
      <c r="E571" s="14">
        <v>44766</v>
      </c>
      <c r="F571" s="4">
        <v>24</v>
      </c>
      <c r="G571">
        <v>203</v>
      </c>
      <c r="H571">
        <v>176</v>
      </c>
      <c r="I571" s="13">
        <v>0.86</v>
      </c>
      <c r="J571">
        <v>27</v>
      </c>
      <c r="K571" s="2">
        <v>4.6296296296296298E-4</v>
      </c>
      <c r="L571" s="11">
        <v>117.33333333333333</v>
      </c>
      <c r="M571" s="3">
        <v>0.66666666666666663</v>
      </c>
      <c r="N571" s="4">
        <v>40</v>
      </c>
      <c r="O571" s="2">
        <v>1.736111111111111E-3</v>
      </c>
      <c r="P571" s="9">
        <v>440</v>
      </c>
      <c r="Q571" s="3">
        <v>2.5</v>
      </c>
      <c r="R571" s="4">
        <v>150</v>
      </c>
      <c r="S571" s="3">
        <v>78</v>
      </c>
      <c r="T571" s="1">
        <v>0.44779999999999998</v>
      </c>
      <c r="U571" s="6">
        <v>78.812799999999996</v>
      </c>
    </row>
    <row r="572" spans="1:21" x14ac:dyDescent="0.35">
      <c r="A572">
        <v>571</v>
      </c>
      <c r="B572" s="5">
        <v>44767</v>
      </c>
      <c r="C572" s="4">
        <v>2022</v>
      </c>
      <c r="D572" s="4">
        <v>7</v>
      </c>
      <c r="E572" s="14">
        <v>44767</v>
      </c>
      <c r="F572" s="4">
        <v>25</v>
      </c>
      <c r="G572">
        <v>182</v>
      </c>
      <c r="H572">
        <v>162</v>
      </c>
      <c r="I572" s="13">
        <v>0.89</v>
      </c>
      <c r="J572">
        <v>20</v>
      </c>
      <c r="K572" s="2">
        <v>2.8935185185185184E-4</v>
      </c>
      <c r="L572" s="11">
        <v>67.5</v>
      </c>
      <c r="M572" s="3">
        <v>0.41666666666666669</v>
      </c>
      <c r="N572" s="4">
        <v>25</v>
      </c>
      <c r="O572" s="2">
        <v>1.9444444444444444E-3</v>
      </c>
      <c r="P572" s="9">
        <v>453.59999999999997</v>
      </c>
      <c r="Q572" s="3">
        <v>2.8</v>
      </c>
      <c r="R572" s="4">
        <v>168</v>
      </c>
      <c r="S572" s="3">
        <v>96</v>
      </c>
      <c r="T572" s="1">
        <v>0.59430000000000005</v>
      </c>
      <c r="U572" s="6">
        <v>96.276600000000002</v>
      </c>
    </row>
    <row r="573" spans="1:21" x14ac:dyDescent="0.35">
      <c r="A573">
        <v>572</v>
      </c>
      <c r="B573" s="5">
        <v>44768</v>
      </c>
      <c r="C573" s="4">
        <v>2022</v>
      </c>
      <c r="D573" s="4">
        <v>7</v>
      </c>
      <c r="E573" s="14">
        <v>44768</v>
      </c>
      <c r="F573" s="4">
        <v>26</v>
      </c>
      <c r="G573">
        <v>18</v>
      </c>
      <c r="H573">
        <v>17</v>
      </c>
      <c r="I573" s="13">
        <v>0.94</v>
      </c>
      <c r="J573">
        <v>1</v>
      </c>
      <c r="K573" s="2">
        <v>6.3657407407407413E-4</v>
      </c>
      <c r="L573" s="11">
        <v>15.583333333333332</v>
      </c>
      <c r="M573" s="3">
        <v>0.91666666666666663</v>
      </c>
      <c r="N573" s="4">
        <v>55</v>
      </c>
      <c r="O573" s="2">
        <v>2.7893518518518519E-3</v>
      </c>
      <c r="P573" s="9">
        <v>68.283333333333331</v>
      </c>
      <c r="Q573" s="3">
        <v>4.0166666666666666</v>
      </c>
      <c r="R573" s="4">
        <v>241</v>
      </c>
      <c r="S573" s="3">
        <v>8</v>
      </c>
      <c r="T573" s="1">
        <v>0.5</v>
      </c>
      <c r="U573" s="6">
        <v>8.5</v>
      </c>
    </row>
    <row r="574" spans="1:21" x14ac:dyDescent="0.35">
      <c r="A574">
        <v>573</v>
      </c>
      <c r="B574" s="5">
        <v>44769</v>
      </c>
      <c r="C574" s="4">
        <v>2022</v>
      </c>
      <c r="D574" s="4">
        <v>7</v>
      </c>
      <c r="E574" s="14">
        <v>44769</v>
      </c>
      <c r="F574" s="4">
        <v>27</v>
      </c>
      <c r="G574">
        <v>215</v>
      </c>
      <c r="H574">
        <v>170</v>
      </c>
      <c r="I574" s="13">
        <v>0.79</v>
      </c>
      <c r="J574">
        <v>45</v>
      </c>
      <c r="K574" s="2">
        <v>6.3657407407407413E-4</v>
      </c>
      <c r="L574" s="11">
        <v>155.83333333333331</v>
      </c>
      <c r="M574" s="3">
        <v>0.91666666666666663</v>
      </c>
      <c r="N574" s="4">
        <v>55</v>
      </c>
      <c r="O574" s="2">
        <v>1.9560185185185184E-3</v>
      </c>
      <c r="P574" s="9">
        <v>478.83333333333331</v>
      </c>
      <c r="Q574" s="3">
        <v>2.8166666666666664</v>
      </c>
      <c r="R574" s="4">
        <v>169</v>
      </c>
      <c r="S574" s="3">
        <v>73</v>
      </c>
      <c r="T574" s="1">
        <v>0.43059999999999998</v>
      </c>
      <c r="U574" s="6">
        <v>73.201999999999998</v>
      </c>
    </row>
    <row r="575" spans="1:21" x14ac:dyDescent="0.35">
      <c r="A575">
        <v>574</v>
      </c>
      <c r="B575" s="5">
        <v>44770</v>
      </c>
      <c r="C575" s="4">
        <v>2022</v>
      </c>
      <c r="D575" s="4">
        <v>7</v>
      </c>
      <c r="E575" s="14">
        <v>44770</v>
      </c>
      <c r="F575" s="4">
        <v>28</v>
      </c>
      <c r="G575">
        <v>209</v>
      </c>
      <c r="H575">
        <v>203</v>
      </c>
      <c r="I575" s="13">
        <v>0.97</v>
      </c>
      <c r="J575">
        <v>6</v>
      </c>
      <c r="K575" s="2">
        <v>2.8935185185185184E-4</v>
      </c>
      <c r="L575" s="11">
        <v>84.583333333333343</v>
      </c>
      <c r="M575" s="3">
        <v>0.41666666666666669</v>
      </c>
      <c r="N575" s="4">
        <v>25</v>
      </c>
      <c r="O575" s="2">
        <v>1.8749999999999999E-3</v>
      </c>
      <c r="P575" s="9">
        <v>548.1</v>
      </c>
      <c r="Q575" s="3">
        <v>2.7</v>
      </c>
      <c r="R575" s="4">
        <v>162</v>
      </c>
      <c r="S575" s="3">
        <v>152</v>
      </c>
      <c r="T575" s="1">
        <v>0.74880000000000002</v>
      </c>
      <c r="U575" s="6">
        <v>152.00640000000001</v>
      </c>
    </row>
    <row r="576" spans="1:21" x14ac:dyDescent="0.35">
      <c r="A576">
        <v>575</v>
      </c>
      <c r="B576" s="5">
        <v>44771</v>
      </c>
      <c r="C576" s="4">
        <v>2022</v>
      </c>
      <c r="D576" s="4">
        <v>7</v>
      </c>
      <c r="E576" s="14">
        <v>44771</v>
      </c>
      <c r="F576" s="4">
        <v>29</v>
      </c>
      <c r="G576">
        <v>140</v>
      </c>
      <c r="H576">
        <v>134</v>
      </c>
      <c r="I576" s="13">
        <v>0.95</v>
      </c>
      <c r="J576">
        <v>6</v>
      </c>
      <c r="K576" s="2">
        <v>2.3148148148148149E-4</v>
      </c>
      <c r="L576" s="11">
        <v>44.666666666666664</v>
      </c>
      <c r="M576" s="3">
        <v>0.33333333333333331</v>
      </c>
      <c r="N576" s="4">
        <v>20</v>
      </c>
      <c r="O576" s="2">
        <v>2.0717592592592593E-3</v>
      </c>
      <c r="P576" s="9">
        <v>399.76666666666665</v>
      </c>
      <c r="Q576" s="3">
        <v>2.9833333333333334</v>
      </c>
      <c r="R576" s="4">
        <v>179</v>
      </c>
      <c r="S576" s="3">
        <v>102</v>
      </c>
      <c r="T576" s="1">
        <v>0.76259999999999994</v>
      </c>
      <c r="U576" s="6">
        <v>102.18839999999999</v>
      </c>
    </row>
    <row r="577" spans="1:21" x14ac:dyDescent="0.35">
      <c r="A577">
        <v>576</v>
      </c>
      <c r="B577" s="5">
        <v>44772</v>
      </c>
      <c r="C577" s="4">
        <v>2022</v>
      </c>
      <c r="D577" s="4">
        <v>7</v>
      </c>
      <c r="E577" s="14">
        <v>44772</v>
      </c>
      <c r="F577" s="4">
        <v>30</v>
      </c>
      <c r="G577">
        <v>124</v>
      </c>
      <c r="H577">
        <v>110</v>
      </c>
      <c r="I577" s="13">
        <v>0.88</v>
      </c>
      <c r="J577">
        <v>14</v>
      </c>
      <c r="K577" s="2">
        <v>1.7361111111111112E-4</v>
      </c>
      <c r="L577" s="11">
        <v>27.5</v>
      </c>
      <c r="M577" s="3">
        <v>0.25</v>
      </c>
      <c r="N577" s="4">
        <v>15</v>
      </c>
      <c r="O577" s="2">
        <v>2.0370370370370369E-3</v>
      </c>
      <c r="P577" s="9">
        <v>322.66666666666669</v>
      </c>
      <c r="Q577" s="3">
        <v>2.9333333333333336</v>
      </c>
      <c r="R577" s="4">
        <v>176</v>
      </c>
      <c r="S577" s="3">
        <v>90</v>
      </c>
      <c r="T577" s="1">
        <v>0.81820000000000004</v>
      </c>
      <c r="U577" s="6">
        <v>90.00200000000001</v>
      </c>
    </row>
    <row r="578" spans="1:21" x14ac:dyDescent="0.35">
      <c r="A578">
        <v>577</v>
      </c>
      <c r="B578" s="5">
        <v>44773</v>
      </c>
      <c r="C578" s="4">
        <v>2022</v>
      </c>
      <c r="D578" s="4">
        <v>7</v>
      </c>
      <c r="E578" s="14">
        <v>44773</v>
      </c>
      <c r="F578" s="4">
        <v>31</v>
      </c>
      <c r="G578">
        <v>179</v>
      </c>
      <c r="H578">
        <v>163</v>
      </c>
      <c r="I578" s="13">
        <v>0.91</v>
      </c>
      <c r="J578">
        <v>16</v>
      </c>
      <c r="K578" s="2">
        <v>2.6620370370370372E-4</v>
      </c>
      <c r="L578" s="11">
        <v>62.483333333333334</v>
      </c>
      <c r="M578" s="3">
        <v>0.38333333333333336</v>
      </c>
      <c r="N578" s="4">
        <v>23</v>
      </c>
      <c r="O578" s="2">
        <v>1.8981481481481482E-3</v>
      </c>
      <c r="P578" s="9">
        <v>445.53333333333336</v>
      </c>
      <c r="Q578" s="3">
        <v>2.7333333333333334</v>
      </c>
      <c r="R578" s="4">
        <v>164</v>
      </c>
      <c r="S578" s="3">
        <v>116</v>
      </c>
      <c r="T578" s="1">
        <v>0.71589999999999998</v>
      </c>
      <c r="U578" s="6">
        <v>116.6917</v>
      </c>
    </row>
    <row r="579" spans="1:21" x14ac:dyDescent="0.35">
      <c r="A579">
        <v>578</v>
      </c>
      <c r="B579" s="5">
        <v>44774</v>
      </c>
      <c r="C579" s="4">
        <v>2022</v>
      </c>
      <c r="D579" s="4">
        <v>8</v>
      </c>
      <c r="E579" s="14">
        <v>44774</v>
      </c>
      <c r="F579" s="4">
        <v>1</v>
      </c>
      <c r="G579">
        <v>163</v>
      </c>
      <c r="H579">
        <v>161</v>
      </c>
      <c r="I579" s="13">
        <v>0.98</v>
      </c>
      <c r="J579">
        <v>2</v>
      </c>
      <c r="K579" s="2">
        <v>1.1574074074074075E-4</v>
      </c>
      <c r="L579" s="11">
        <v>26.833333333333332</v>
      </c>
      <c r="M579" s="3">
        <v>0.16666666666666666</v>
      </c>
      <c r="N579" s="4">
        <v>10</v>
      </c>
      <c r="O579" s="2">
        <v>1.8518518518518519E-3</v>
      </c>
      <c r="P579" s="9">
        <v>429.33333333333331</v>
      </c>
      <c r="Q579" s="3">
        <v>2.6666666666666665</v>
      </c>
      <c r="R579" s="4">
        <v>160</v>
      </c>
      <c r="S579" s="3">
        <v>152</v>
      </c>
      <c r="T579" s="1">
        <v>0.94410000000000005</v>
      </c>
      <c r="U579" s="6">
        <v>152.0001</v>
      </c>
    </row>
    <row r="580" spans="1:21" x14ac:dyDescent="0.35">
      <c r="A580">
        <v>579</v>
      </c>
      <c r="B580" s="5">
        <v>44775</v>
      </c>
      <c r="C580" s="4">
        <v>2022</v>
      </c>
      <c r="D580" s="4">
        <v>8</v>
      </c>
      <c r="E580" s="14">
        <v>44775</v>
      </c>
      <c r="F580" s="4">
        <v>2</v>
      </c>
      <c r="G580">
        <v>27</v>
      </c>
      <c r="H580">
        <v>27</v>
      </c>
      <c r="I580" s="13">
        <v>1</v>
      </c>
      <c r="J580">
        <v>0</v>
      </c>
      <c r="K580" s="2">
        <v>5.7870370370370373E-5</v>
      </c>
      <c r="L580" s="11">
        <v>2.25</v>
      </c>
      <c r="M580" s="3">
        <v>8.3333333333333329E-2</v>
      </c>
      <c r="N580" s="4">
        <v>5</v>
      </c>
      <c r="O580" s="2">
        <v>1.9444444444444444E-3</v>
      </c>
      <c r="P580" s="9">
        <v>75.599999999999994</v>
      </c>
      <c r="Q580" s="3">
        <v>2.8</v>
      </c>
      <c r="R580" s="4">
        <v>168</v>
      </c>
      <c r="S580" s="3">
        <v>27</v>
      </c>
      <c r="T580" s="1">
        <v>1</v>
      </c>
      <c r="U580" s="6">
        <v>27</v>
      </c>
    </row>
    <row r="581" spans="1:21" x14ac:dyDescent="0.35">
      <c r="A581">
        <v>580</v>
      </c>
      <c r="B581" s="5">
        <v>44776</v>
      </c>
      <c r="C581" s="4">
        <v>2022</v>
      </c>
      <c r="D581" s="4">
        <v>8</v>
      </c>
      <c r="E581" s="14">
        <v>44776</v>
      </c>
      <c r="F581" s="4">
        <v>3</v>
      </c>
      <c r="G581">
        <v>182</v>
      </c>
      <c r="H581">
        <v>175</v>
      </c>
      <c r="I581" s="13">
        <v>0.96</v>
      </c>
      <c r="J581">
        <v>7</v>
      </c>
      <c r="K581" s="2">
        <v>2.199074074074074E-4</v>
      </c>
      <c r="L581" s="11">
        <v>55.416666666666664</v>
      </c>
      <c r="M581" s="3">
        <v>0.31666666666666665</v>
      </c>
      <c r="N581" s="4">
        <v>19</v>
      </c>
      <c r="O581" s="2">
        <v>1.8287037037037037E-3</v>
      </c>
      <c r="P581" s="9">
        <v>460.83333333333331</v>
      </c>
      <c r="Q581" s="3">
        <v>2.6333333333333333</v>
      </c>
      <c r="R581" s="4">
        <v>158</v>
      </c>
      <c r="S581" s="3">
        <v>139</v>
      </c>
      <c r="T581" s="1">
        <v>0.79890000000000005</v>
      </c>
      <c r="U581" s="6">
        <v>139.8075</v>
      </c>
    </row>
    <row r="582" spans="1:21" x14ac:dyDescent="0.35">
      <c r="A582">
        <v>581</v>
      </c>
      <c r="B582" s="5">
        <v>44777</v>
      </c>
      <c r="C582" s="4">
        <v>2022</v>
      </c>
      <c r="D582" s="4">
        <v>8</v>
      </c>
      <c r="E582" s="14">
        <v>44777</v>
      </c>
      <c r="F582" s="4">
        <v>4</v>
      </c>
      <c r="G582">
        <v>164</v>
      </c>
      <c r="H582">
        <v>159</v>
      </c>
      <c r="I582" s="13">
        <v>0.96</v>
      </c>
      <c r="J582">
        <v>5</v>
      </c>
      <c r="K582" s="2">
        <v>1.273148148148148E-4</v>
      </c>
      <c r="L582" s="11">
        <v>29.15</v>
      </c>
      <c r="M582" s="3">
        <v>0.18333333333333332</v>
      </c>
      <c r="N582" s="4">
        <v>11</v>
      </c>
      <c r="O582" s="2">
        <v>1.6550925925925926E-3</v>
      </c>
      <c r="P582" s="9">
        <v>378.95</v>
      </c>
      <c r="Q582" s="3">
        <v>2.3833333333333333</v>
      </c>
      <c r="R582" s="4">
        <v>143</v>
      </c>
      <c r="S582" s="3">
        <v>143</v>
      </c>
      <c r="T582" s="1">
        <v>0.90180000000000005</v>
      </c>
      <c r="U582" s="6">
        <v>143.3862</v>
      </c>
    </row>
    <row r="583" spans="1:21" x14ac:dyDescent="0.35">
      <c r="A583">
        <v>582</v>
      </c>
      <c r="B583" s="5">
        <v>44778</v>
      </c>
      <c r="C583" s="4">
        <v>2022</v>
      </c>
      <c r="D583" s="4">
        <v>8</v>
      </c>
      <c r="E583" s="14">
        <v>44778</v>
      </c>
      <c r="F583" s="4">
        <v>5</v>
      </c>
      <c r="G583">
        <v>160</v>
      </c>
      <c r="H583">
        <v>159</v>
      </c>
      <c r="I583" s="13">
        <v>0.99</v>
      </c>
      <c r="J583">
        <v>1</v>
      </c>
      <c r="K583" s="2">
        <v>5.7870370370370373E-5</v>
      </c>
      <c r="L583" s="11">
        <v>13.25</v>
      </c>
      <c r="M583" s="3">
        <v>8.3333333333333329E-2</v>
      </c>
      <c r="N583" s="4">
        <v>5</v>
      </c>
      <c r="O583" s="2">
        <v>1.8518518518518519E-3</v>
      </c>
      <c r="P583" s="9">
        <v>424</v>
      </c>
      <c r="Q583" s="3">
        <v>2.6666666666666665</v>
      </c>
      <c r="R583" s="4">
        <v>160</v>
      </c>
      <c r="S583" s="3">
        <v>156</v>
      </c>
      <c r="T583" s="1">
        <v>0.98740000000000006</v>
      </c>
      <c r="U583" s="6">
        <v>156.9966</v>
      </c>
    </row>
    <row r="584" spans="1:21" x14ac:dyDescent="0.35">
      <c r="A584">
        <v>583</v>
      </c>
      <c r="B584" s="5">
        <v>44779</v>
      </c>
      <c r="C584" s="4">
        <v>2022</v>
      </c>
      <c r="D584" s="4">
        <v>8</v>
      </c>
      <c r="E584" s="14">
        <v>44779</v>
      </c>
      <c r="F584" s="4">
        <v>6</v>
      </c>
      <c r="G584">
        <v>174</v>
      </c>
      <c r="H584">
        <v>155</v>
      </c>
      <c r="I584" s="13">
        <v>0.89</v>
      </c>
      <c r="J584">
        <v>19</v>
      </c>
      <c r="K584" s="2">
        <v>1.8518518518518518E-4</v>
      </c>
      <c r="L584" s="11">
        <v>41.333333333333336</v>
      </c>
      <c r="M584" s="3">
        <v>0.26666666666666666</v>
      </c>
      <c r="N584" s="4">
        <v>16</v>
      </c>
      <c r="O584" s="2">
        <v>1.8634259259259259E-3</v>
      </c>
      <c r="P584" s="9">
        <v>415.91666666666669</v>
      </c>
      <c r="Q584" s="3">
        <v>2.6833333333333336</v>
      </c>
      <c r="R584" s="4">
        <v>161</v>
      </c>
      <c r="S584" s="3">
        <v>119</v>
      </c>
      <c r="T584" s="1">
        <v>0.77059999999999995</v>
      </c>
      <c r="U584" s="6">
        <v>119.443</v>
      </c>
    </row>
    <row r="585" spans="1:21" x14ac:dyDescent="0.35">
      <c r="A585">
        <v>584</v>
      </c>
      <c r="B585" s="5">
        <v>44780</v>
      </c>
      <c r="C585" s="4">
        <v>2022</v>
      </c>
      <c r="D585" s="4">
        <v>8</v>
      </c>
      <c r="E585" s="14">
        <v>44780</v>
      </c>
      <c r="F585" s="4">
        <v>7</v>
      </c>
      <c r="G585">
        <v>235</v>
      </c>
      <c r="H585">
        <v>230</v>
      </c>
      <c r="I585" s="13">
        <v>0.97</v>
      </c>
      <c r="J585">
        <v>5</v>
      </c>
      <c r="K585" s="2">
        <v>5.7870370370370373E-5</v>
      </c>
      <c r="L585" s="11">
        <v>19.166666666666664</v>
      </c>
      <c r="M585" s="3">
        <v>8.3333333333333329E-2</v>
      </c>
      <c r="N585" s="4">
        <v>5</v>
      </c>
      <c r="O585" s="2">
        <v>1.7013888888888888E-3</v>
      </c>
      <c r="P585" s="9">
        <v>563.5</v>
      </c>
      <c r="Q585" s="3">
        <v>2.4500000000000002</v>
      </c>
      <c r="R585" s="4">
        <v>147</v>
      </c>
      <c r="S585" s="3">
        <v>220</v>
      </c>
      <c r="T585" s="1">
        <v>0.95740000000000003</v>
      </c>
      <c r="U585" s="6">
        <v>220.202</v>
      </c>
    </row>
    <row r="586" spans="1:21" x14ac:dyDescent="0.35">
      <c r="A586">
        <v>585</v>
      </c>
      <c r="B586" s="5">
        <v>44781</v>
      </c>
      <c r="C586" s="4">
        <v>2022</v>
      </c>
      <c r="D586" s="4">
        <v>8</v>
      </c>
      <c r="E586" s="14">
        <v>44781</v>
      </c>
      <c r="F586" s="4">
        <v>8</v>
      </c>
      <c r="G586">
        <v>175</v>
      </c>
      <c r="H586">
        <v>174</v>
      </c>
      <c r="I586" s="13">
        <v>0.99</v>
      </c>
      <c r="J586">
        <v>1</v>
      </c>
      <c r="K586" s="2">
        <v>4.6296296296296294E-5</v>
      </c>
      <c r="L586" s="11">
        <v>11.6</v>
      </c>
      <c r="M586" s="3">
        <v>6.6666666666666666E-2</v>
      </c>
      <c r="N586" s="4">
        <v>4</v>
      </c>
      <c r="O586" s="2">
        <v>1.6898148148148148E-3</v>
      </c>
      <c r="P586" s="9">
        <v>423.40000000000003</v>
      </c>
      <c r="Q586" s="3">
        <v>2.4333333333333336</v>
      </c>
      <c r="R586" s="4">
        <v>146</v>
      </c>
      <c r="S586" s="3">
        <v>172</v>
      </c>
      <c r="T586" s="1">
        <v>0.98860000000000003</v>
      </c>
      <c r="U586" s="6">
        <v>172.0164</v>
      </c>
    </row>
    <row r="587" spans="1:21" x14ac:dyDescent="0.35">
      <c r="A587">
        <v>586</v>
      </c>
      <c r="B587" s="5">
        <v>44782</v>
      </c>
      <c r="C587" s="4">
        <v>2022</v>
      </c>
      <c r="D587" s="4">
        <v>8</v>
      </c>
      <c r="E587" s="14">
        <v>44782</v>
      </c>
      <c r="F587" s="4">
        <v>9</v>
      </c>
      <c r="G587">
        <v>25</v>
      </c>
      <c r="H587">
        <v>25</v>
      </c>
      <c r="I587" s="13">
        <v>1</v>
      </c>
      <c r="J587">
        <v>0</v>
      </c>
      <c r="K587" s="2">
        <v>4.6296296296296294E-5</v>
      </c>
      <c r="L587" s="11">
        <v>1.6666666666666667</v>
      </c>
      <c r="M587" s="3">
        <v>6.6666666666666666E-2</v>
      </c>
      <c r="N587" s="4">
        <v>4</v>
      </c>
      <c r="O587" s="2">
        <v>2.2569444444444442E-3</v>
      </c>
      <c r="P587" s="9">
        <v>81.25</v>
      </c>
      <c r="Q587" s="3">
        <v>3.25</v>
      </c>
      <c r="R587" s="4">
        <v>195</v>
      </c>
      <c r="S587" s="3">
        <v>24</v>
      </c>
      <c r="T587" s="1">
        <v>0.96</v>
      </c>
      <c r="U587" s="6">
        <v>24</v>
      </c>
    </row>
    <row r="588" spans="1:21" x14ac:dyDescent="0.35">
      <c r="A588">
        <v>587</v>
      </c>
      <c r="B588" s="5">
        <v>44783</v>
      </c>
      <c r="C588" s="4">
        <v>2022</v>
      </c>
      <c r="D588" s="4">
        <v>8</v>
      </c>
      <c r="E588" s="14">
        <v>44783</v>
      </c>
      <c r="F588" s="4">
        <v>10</v>
      </c>
      <c r="G588">
        <v>170</v>
      </c>
      <c r="H588">
        <v>167</v>
      </c>
      <c r="I588" s="13">
        <v>0.98</v>
      </c>
      <c r="J588">
        <v>3</v>
      </c>
      <c r="K588" s="2">
        <v>6.9444444444444444E-5</v>
      </c>
      <c r="L588" s="11">
        <v>16.7</v>
      </c>
      <c r="M588" s="3">
        <v>0.1</v>
      </c>
      <c r="N588" s="4">
        <v>6</v>
      </c>
      <c r="O588" s="2">
        <v>1.7939814814814815E-3</v>
      </c>
      <c r="P588" s="9">
        <v>431.41666666666669</v>
      </c>
      <c r="Q588" s="3">
        <v>2.5833333333333335</v>
      </c>
      <c r="R588" s="4">
        <v>155</v>
      </c>
      <c r="S588" s="3">
        <v>157</v>
      </c>
      <c r="T588" s="1">
        <v>0.94079999999999997</v>
      </c>
      <c r="U588" s="6">
        <v>157.11359999999999</v>
      </c>
    </row>
    <row r="589" spans="1:21" x14ac:dyDescent="0.35">
      <c r="A589">
        <v>588</v>
      </c>
      <c r="B589" s="5">
        <v>44784</v>
      </c>
      <c r="C589" s="4">
        <v>2022</v>
      </c>
      <c r="D589" s="4">
        <v>8</v>
      </c>
      <c r="E589" s="14">
        <v>44784</v>
      </c>
      <c r="F589" s="4">
        <v>11</v>
      </c>
      <c r="G589">
        <v>187</v>
      </c>
      <c r="H589">
        <v>168</v>
      </c>
      <c r="I589" s="13">
        <v>0.89</v>
      </c>
      <c r="J589">
        <v>19</v>
      </c>
      <c r="K589" s="2">
        <v>3.0092592592592595E-4</v>
      </c>
      <c r="L589" s="11">
        <v>72.8</v>
      </c>
      <c r="M589" s="3">
        <v>0.43333333333333335</v>
      </c>
      <c r="N589" s="4">
        <v>26</v>
      </c>
      <c r="O589" s="2">
        <v>1.6203703703703703E-3</v>
      </c>
      <c r="P589" s="9">
        <v>392</v>
      </c>
      <c r="Q589" s="3">
        <v>2.3333333333333335</v>
      </c>
      <c r="R589" s="4">
        <v>140</v>
      </c>
      <c r="S589" s="3">
        <v>118</v>
      </c>
      <c r="T589" s="1">
        <v>0.70430000000000004</v>
      </c>
      <c r="U589" s="6">
        <v>118.3224</v>
      </c>
    </row>
    <row r="590" spans="1:21" x14ac:dyDescent="0.35">
      <c r="A590">
        <v>589</v>
      </c>
      <c r="B590" s="5">
        <v>44785</v>
      </c>
      <c r="C590" s="4">
        <v>2022</v>
      </c>
      <c r="D590" s="4">
        <v>8</v>
      </c>
      <c r="E590" s="14">
        <v>44785</v>
      </c>
      <c r="F590" s="4">
        <v>12</v>
      </c>
      <c r="G590">
        <v>53</v>
      </c>
      <c r="H590">
        <v>51</v>
      </c>
      <c r="I590" s="13">
        <v>0.96</v>
      </c>
      <c r="J590">
        <v>2</v>
      </c>
      <c r="K590" s="2">
        <v>6.9444444444444444E-5</v>
      </c>
      <c r="L590" s="11">
        <v>5.1000000000000005</v>
      </c>
      <c r="M590" s="3">
        <v>0.1</v>
      </c>
      <c r="N590" s="4">
        <v>6</v>
      </c>
      <c r="O590" s="2">
        <v>1.724537037037037E-3</v>
      </c>
      <c r="P590" s="9">
        <v>126.65</v>
      </c>
      <c r="Q590" s="3">
        <v>2.4833333333333334</v>
      </c>
      <c r="R590" s="4">
        <v>149</v>
      </c>
      <c r="S590" s="3">
        <v>45</v>
      </c>
      <c r="T590" s="1">
        <v>0.88680000000000003</v>
      </c>
      <c r="U590" s="6">
        <v>45.226800000000004</v>
      </c>
    </row>
    <row r="591" spans="1:21" x14ac:dyDescent="0.35">
      <c r="A591">
        <v>590</v>
      </c>
      <c r="B591" s="5">
        <v>44786</v>
      </c>
      <c r="C591" s="4">
        <v>2022</v>
      </c>
      <c r="D591" s="4">
        <v>8</v>
      </c>
      <c r="E591" s="14">
        <v>44786</v>
      </c>
      <c r="F591" s="4">
        <v>13</v>
      </c>
      <c r="G591">
        <v>121</v>
      </c>
      <c r="H591">
        <v>117</v>
      </c>
      <c r="I591" s="13">
        <v>0.96</v>
      </c>
      <c r="J591">
        <v>4</v>
      </c>
      <c r="K591" s="2">
        <v>1.5046296296296297E-4</v>
      </c>
      <c r="L591" s="11">
        <v>25.35</v>
      </c>
      <c r="M591" s="3">
        <v>0.21666666666666667</v>
      </c>
      <c r="N591" s="4">
        <v>13</v>
      </c>
      <c r="O591" s="2">
        <v>1.8055555555555555E-3</v>
      </c>
      <c r="P591" s="9">
        <v>304.2</v>
      </c>
      <c r="Q591" s="3">
        <v>2.6</v>
      </c>
      <c r="R591" s="4">
        <v>156</v>
      </c>
      <c r="S591" s="3">
        <v>100</v>
      </c>
      <c r="T591" s="1">
        <v>0.85829999999999995</v>
      </c>
      <c r="U591" s="6">
        <v>100.4211</v>
      </c>
    </row>
    <row r="592" spans="1:21" x14ac:dyDescent="0.35">
      <c r="A592">
        <v>591</v>
      </c>
      <c r="B592" s="5">
        <v>44787</v>
      </c>
      <c r="C592" s="4">
        <v>2022</v>
      </c>
      <c r="D592" s="4">
        <v>8</v>
      </c>
      <c r="E592" s="14">
        <v>44787</v>
      </c>
      <c r="F592" s="4">
        <v>14</v>
      </c>
      <c r="G592">
        <v>143</v>
      </c>
      <c r="H592">
        <v>139</v>
      </c>
      <c r="I592" s="13">
        <v>0.97</v>
      </c>
      <c r="J592">
        <v>4</v>
      </c>
      <c r="K592" s="2">
        <v>5.7870370370370373E-5</v>
      </c>
      <c r="L592" s="11">
        <v>11.583333333333332</v>
      </c>
      <c r="M592" s="3">
        <v>8.3333333333333329E-2</v>
      </c>
      <c r="N592" s="4">
        <v>5</v>
      </c>
      <c r="O592" s="2">
        <v>1.6898148148148148E-3</v>
      </c>
      <c r="P592" s="9">
        <v>338.23333333333335</v>
      </c>
      <c r="Q592" s="3">
        <v>2.4333333333333336</v>
      </c>
      <c r="R592" s="4">
        <v>146</v>
      </c>
      <c r="S592" s="3">
        <v>131</v>
      </c>
      <c r="T592" s="1">
        <v>0.94410000000000005</v>
      </c>
      <c r="U592" s="6">
        <v>131.22990000000001</v>
      </c>
    </row>
    <row r="593" spans="1:21" x14ac:dyDescent="0.35">
      <c r="A593">
        <v>592</v>
      </c>
      <c r="B593" s="5">
        <v>44788</v>
      </c>
      <c r="C593" s="4">
        <v>2022</v>
      </c>
      <c r="D593" s="4">
        <v>8</v>
      </c>
      <c r="E593" s="14">
        <v>44788</v>
      </c>
      <c r="F593" s="4">
        <v>15</v>
      </c>
      <c r="G593">
        <v>100</v>
      </c>
      <c r="H593">
        <v>96</v>
      </c>
      <c r="I593" s="13">
        <v>0.96</v>
      </c>
      <c r="J593">
        <v>4</v>
      </c>
      <c r="K593" s="2">
        <v>6.9444444444444444E-5</v>
      </c>
      <c r="L593" s="11">
        <v>9.6000000000000014</v>
      </c>
      <c r="M593" s="3">
        <v>0.1</v>
      </c>
      <c r="N593" s="4">
        <v>6</v>
      </c>
      <c r="O593" s="2">
        <v>1.712962962962963E-3</v>
      </c>
      <c r="P593" s="9">
        <v>236.8</v>
      </c>
      <c r="Q593" s="3">
        <v>2.4666666666666668</v>
      </c>
      <c r="R593" s="4">
        <v>148</v>
      </c>
      <c r="S593" s="3">
        <v>88</v>
      </c>
      <c r="T593" s="1">
        <v>0.91920000000000002</v>
      </c>
      <c r="U593" s="6">
        <v>88.243200000000002</v>
      </c>
    </row>
    <row r="594" spans="1:21" x14ac:dyDescent="0.35">
      <c r="A594">
        <v>593</v>
      </c>
      <c r="B594" s="5">
        <v>44789</v>
      </c>
      <c r="C594" s="4">
        <v>2022</v>
      </c>
      <c r="D594" s="4">
        <v>8</v>
      </c>
      <c r="E594" s="14">
        <v>44789</v>
      </c>
      <c r="F594" s="4">
        <v>16</v>
      </c>
      <c r="G594">
        <v>17</v>
      </c>
      <c r="H594">
        <v>17</v>
      </c>
      <c r="I594" s="13">
        <v>1</v>
      </c>
      <c r="J594">
        <v>0</v>
      </c>
      <c r="K594" s="2">
        <v>9.2592592592592588E-5</v>
      </c>
      <c r="L594" s="11">
        <v>2.2666666666666666</v>
      </c>
      <c r="M594" s="3">
        <v>0.13333333333333333</v>
      </c>
      <c r="N594" s="4">
        <v>8</v>
      </c>
      <c r="O594" s="2">
        <v>2.0254629629629629E-3</v>
      </c>
      <c r="P594" s="9">
        <v>49.583333333333329</v>
      </c>
      <c r="Q594" s="3">
        <v>2.9166666666666665</v>
      </c>
      <c r="R594" s="4">
        <v>175</v>
      </c>
      <c r="S594" s="3">
        <v>15</v>
      </c>
      <c r="T594" s="1">
        <v>0.88239999999999996</v>
      </c>
      <c r="U594" s="6">
        <v>15.0008</v>
      </c>
    </row>
    <row r="595" spans="1:21" x14ac:dyDescent="0.35">
      <c r="A595">
        <v>594</v>
      </c>
      <c r="B595" s="5">
        <v>44790</v>
      </c>
      <c r="C595" s="4">
        <v>2022</v>
      </c>
      <c r="D595" s="4">
        <v>8</v>
      </c>
      <c r="E595" s="14">
        <v>44790</v>
      </c>
      <c r="F595" s="4">
        <v>17</v>
      </c>
      <c r="G595">
        <v>113</v>
      </c>
      <c r="H595">
        <v>110</v>
      </c>
      <c r="I595" s="13">
        <v>0.97</v>
      </c>
      <c r="J595">
        <v>3</v>
      </c>
      <c r="K595" s="2">
        <v>9.2592592592592588E-5</v>
      </c>
      <c r="L595" s="11">
        <v>14.666666666666666</v>
      </c>
      <c r="M595" s="3">
        <v>0.13333333333333333</v>
      </c>
      <c r="N595" s="4">
        <v>8</v>
      </c>
      <c r="O595" s="2">
        <v>1.7708333333333332E-3</v>
      </c>
      <c r="P595" s="9">
        <v>280.5</v>
      </c>
      <c r="Q595" s="3">
        <v>2.5499999999999998</v>
      </c>
      <c r="R595" s="4">
        <v>153</v>
      </c>
      <c r="S595" s="3">
        <v>99</v>
      </c>
      <c r="T595" s="1">
        <v>0.90180000000000005</v>
      </c>
      <c r="U595" s="6">
        <v>99.198000000000008</v>
      </c>
    </row>
    <row r="596" spans="1:21" x14ac:dyDescent="0.35">
      <c r="A596">
        <v>595</v>
      </c>
      <c r="B596" s="5">
        <v>44791</v>
      </c>
      <c r="C596" s="4">
        <v>2022</v>
      </c>
      <c r="D596" s="4">
        <v>8</v>
      </c>
      <c r="E596" s="14">
        <v>44791</v>
      </c>
      <c r="F596" s="4">
        <v>18</v>
      </c>
      <c r="G596">
        <v>139</v>
      </c>
      <c r="H596">
        <v>128</v>
      </c>
      <c r="I596" s="13">
        <v>0.92</v>
      </c>
      <c r="J596">
        <v>11</v>
      </c>
      <c r="K596" s="2">
        <v>1.5046296296296297E-4</v>
      </c>
      <c r="L596" s="11">
        <v>27.733333333333334</v>
      </c>
      <c r="M596" s="3">
        <v>0.21666666666666667</v>
      </c>
      <c r="N596" s="4">
        <v>13</v>
      </c>
      <c r="O596" s="2">
        <v>1.8287037037037037E-3</v>
      </c>
      <c r="P596" s="9">
        <v>337.06666666666666</v>
      </c>
      <c r="Q596" s="3">
        <v>2.6333333333333333</v>
      </c>
      <c r="R596" s="4">
        <v>158</v>
      </c>
      <c r="S596" s="3">
        <v>104</v>
      </c>
      <c r="T596" s="1">
        <v>0.82010000000000005</v>
      </c>
      <c r="U596" s="6">
        <v>104.97280000000001</v>
      </c>
    </row>
    <row r="597" spans="1:21" x14ac:dyDescent="0.35">
      <c r="A597">
        <v>596</v>
      </c>
      <c r="B597" s="5">
        <v>44792</v>
      </c>
      <c r="C597" s="4">
        <v>2022</v>
      </c>
      <c r="D597" s="4">
        <v>8</v>
      </c>
      <c r="E597" s="14">
        <v>44792</v>
      </c>
      <c r="F597" s="4">
        <v>19</v>
      </c>
      <c r="G597">
        <v>135</v>
      </c>
      <c r="H597">
        <v>134</v>
      </c>
      <c r="I597" s="13">
        <v>0.99</v>
      </c>
      <c r="J597">
        <v>1</v>
      </c>
      <c r="K597" s="2">
        <v>4.6296296296296294E-5</v>
      </c>
      <c r="L597" s="11">
        <v>8.9333333333333336</v>
      </c>
      <c r="M597" s="3">
        <v>6.6666666666666666E-2</v>
      </c>
      <c r="N597" s="4">
        <v>4</v>
      </c>
      <c r="O597" s="2">
        <v>1.7824074074074075E-3</v>
      </c>
      <c r="P597" s="9">
        <v>343.93333333333328</v>
      </c>
      <c r="Q597" s="3">
        <v>2.5666666666666664</v>
      </c>
      <c r="R597" s="4">
        <v>154</v>
      </c>
      <c r="S597" s="3">
        <v>132</v>
      </c>
      <c r="T597" s="1">
        <v>0.98519999999999996</v>
      </c>
      <c r="U597" s="6">
        <v>132.01679999999999</v>
      </c>
    </row>
    <row r="598" spans="1:21" x14ac:dyDescent="0.35">
      <c r="A598">
        <v>597</v>
      </c>
      <c r="B598" s="5">
        <v>44793</v>
      </c>
      <c r="C598" s="4">
        <v>2022</v>
      </c>
      <c r="D598" s="4">
        <v>8</v>
      </c>
      <c r="E598" s="14">
        <v>44793</v>
      </c>
      <c r="F598" s="4">
        <v>20</v>
      </c>
      <c r="G598">
        <v>29</v>
      </c>
      <c r="H598">
        <v>29</v>
      </c>
      <c r="I598" s="13">
        <v>1</v>
      </c>
      <c r="J598">
        <v>0</v>
      </c>
      <c r="K598" s="2">
        <v>1.7361111111111112E-4</v>
      </c>
      <c r="L598" s="11">
        <v>7.25</v>
      </c>
      <c r="M598" s="3">
        <v>0.25</v>
      </c>
      <c r="N598" s="4">
        <v>15</v>
      </c>
      <c r="O598" s="2">
        <v>2.2337962962962962E-3</v>
      </c>
      <c r="P598" s="9">
        <v>93.283333333333331</v>
      </c>
      <c r="Q598" s="3">
        <v>3.2166666666666668</v>
      </c>
      <c r="R598" s="4">
        <v>193</v>
      </c>
      <c r="S598" s="3">
        <v>22</v>
      </c>
      <c r="T598" s="1">
        <v>0.79310000000000003</v>
      </c>
      <c r="U598" s="6">
        <v>22.9999</v>
      </c>
    </row>
    <row r="599" spans="1:21" x14ac:dyDescent="0.35">
      <c r="A599">
        <v>598</v>
      </c>
      <c r="B599" s="5">
        <v>44794</v>
      </c>
      <c r="C599" s="4">
        <v>2022</v>
      </c>
      <c r="D599" s="4">
        <v>8</v>
      </c>
      <c r="E599" s="14">
        <v>44794</v>
      </c>
      <c r="F599" s="4">
        <v>21</v>
      </c>
      <c r="G599">
        <v>120</v>
      </c>
      <c r="H599">
        <v>116</v>
      </c>
      <c r="I599" s="13">
        <v>0.96</v>
      </c>
      <c r="J599">
        <v>4</v>
      </c>
      <c r="K599" s="2">
        <v>5.7870370370370373E-5</v>
      </c>
      <c r="L599" s="11">
        <v>9.6666666666666661</v>
      </c>
      <c r="M599" s="3">
        <v>8.3333333333333329E-2</v>
      </c>
      <c r="N599" s="4">
        <v>5</v>
      </c>
      <c r="O599" s="2">
        <v>1.8865740740740742E-3</v>
      </c>
      <c r="P599" s="9">
        <v>315.13333333333333</v>
      </c>
      <c r="Q599" s="3">
        <v>2.7166666666666668</v>
      </c>
      <c r="R599" s="4">
        <v>163</v>
      </c>
      <c r="S599" s="3">
        <v>111</v>
      </c>
      <c r="T599" s="1">
        <v>0.95830000000000004</v>
      </c>
      <c r="U599" s="6">
        <v>111.1628</v>
      </c>
    </row>
    <row r="600" spans="1:21" x14ac:dyDescent="0.35">
      <c r="A600">
        <v>599</v>
      </c>
      <c r="B600" s="5">
        <v>44795</v>
      </c>
      <c r="C600" s="4">
        <v>2022</v>
      </c>
      <c r="D600" s="4">
        <v>8</v>
      </c>
      <c r="E600" s="14">
        <v>44795</v>
      </c>
      <c r="F600" s="4">
        <v>22</v>
      </c>
      <c r="G600">
        <v>115</v>
      </c>
      <c r="H600">
        <v>108</v>
      </c>
      <c r="I600" s="13">
        <v>0.93</v>
      </c>
      <c r="J600">
        <v>7</v>
      </c>
      <c r="K600" s="2">
        <v>1.0416666666666667E-4</v>
      </c>
      <c r="L600" s="11">
        <v>16.2</v>
      </c>
      <c r="M600" s="3">
        <v>0.15</v>
      </c>
      <c r="N600" s="4">
        <v>9</v>
      </c>
      <c r="O600" s="2">
        <v>1.9675925925925924E-3</v>
      </c>
      <c r="P600" s="9">
        <v>306</v>
      </c>
      <c r="Q600" s="3">
        <v>2.8333333333333335</v>
      </c>
      <c r="R600" s="4">
        <v>170</v>
      </c>
      <c r="S600" s="3">
        <v>95</v>
      </c>
      <c r="T600" s="1">
        <v>0.88700000000000001</v>
      </c>
      <c r="U600" s="6">
        <v>95.796000000000006</v>
      </c>
    </row>
    <row r="601" spans="1:21" x14ac:dyDescent="0.35">
      <c r="A601">
        <v>600</v>
      </c>
      <c r="B601" s="5">
        <v>44796</v>
      </c>
      <c r="C601" s="4">
        <v>2022</v>
      </c>
      <c r="D601" s="4">
        <v>8</v>
      </c>
      <c r="E601" s="14">
        <v>44796</v>
      </c>
      <c r="F601" s="4">
        <v>23</v>
      </c>
      <c r="G601">
        <v>14</v>
      </c>
      <c r="H601">
        <v>14</v>
      </c>
      <c r="I601" s="13">
        <v>1</v>
      </c>
      <c r="J601">
        <v>0</v>
      </c>
      <c r="K601" s="2">
        <v>1.6203703703703703E-4</v>
      </c>
      <c r="L601" s="11">
        <v>3.2666666666666666</v>
      </c>
      <c r="M601" s="3">
        <v>0.23333333333333334</v>
      </c>
      <c r="N601" s="4">
        <v>14</v>
      </c>
      <c r="O601" s="2">
        <v>1.5856481481481481E-3</v>
      </c>
      <c r="P601" s="9">
        <v>31.966666666666665</v>
      </c>
      <c r="Q601" s="3">
        <v>2.2833333333333332</v>
      </c>
      <c r="R601" s="4">
        <v>137</v>
      </c>
      <c r="S601" s="3">
        <v>10</v>
      </c>
      <c r="T601" s="1">
        <v>0.78569999999999995</v>
      </c>
      <c r="U601" s="6">
        <v>10.999799999999999</v>
      </c>
    </row>
    <row r="602" spans="1:21" x14ac:dyDescent="0.35">
      <c r="A602">
        <v>601</v>
      </c>
      <c r="B602" s="5">
        <v>44797</v>
      </c>
      <c r="C602" s="4">
        <v>2022</v>
      </c>
      <c r="D602" s="4">
        <v>8</v>
      </c>
      <c r="E602" s="14">
        <v>44797</v>
      </c>
      <c r="F602" s="4">
        <v>24</v>
      </c>
      <c r="G602">
        <v>107</v>
      </c>
      <c r="H602">
        <v>104</v>
      </c>
      <c r="I602" s="13">
        <v>0.97</v>
      </c>
      <c r="J602">
        <v>3</v>
      </c>
      <c r="K602" s="2">
        <v>8.1018518518518516E-5</v>
      </c>
      <c r="L602" s="11">
        <v>12.133333333333333</v>
      </c>
      <c r="M602" s="3">
        <v>0.11666666666666667</v>
      </c>
      <c r="N602" s="4">
        <v>7</v>
      </c>
      <c r="O602" s="2">
        <v>1.724537037037037E-3</v>
      </c>
      <c r="P602" s="9">
        <v>258.26666666666665</v>
      </c>
      <c r="Q602" s="3">
        <v>2.4833333333333334</v>
      </c>
      <c r="R602" s="4">
        <v>149</v>
      </c>
      <c r="S602" s="3">
        <v>94</v>
      </c>
      <c r="T602" s="1">
        <v>0.90569999999999995</v>
      </c>
      <c r="U602" s="6">
        <v>94.192799999999991</v>
      </c>
    </row>
    <row r="603" spans="1:21" x14ac:dyDescent="0.35">
      <c r="A603">
        <v>602</v>
      </c>
      <c r="B603" s="5">
        <v>44798</v>
      </c>
      <c r="C603" s="4">
        <v>2022</v>
      </c>
      <c r="D603" s="4">
        <v>8</v>
      </c>
      <c r="E603" s="14">
        <v>44798</v>
      </c>
      <c r="F603" s="4">
        <v>25</v>
      </c>
      <c r="G603">
        <v>137</v>
      </c>
      <c r="H603">
        <v>128</v>
      </c>
      <c r="I603" s="13">
        <v>0.93</v>
      </c>
      <c r="J603">
        <v>9</v>
      </c>
      <c r="K603" s="2">
        <v>1.1574074074074075E-4</v>
      </c>
      <c r="L603" s="11">
        <v>21.333333333333332</v>
      </c>
      <c r="M603" s="3">
        <v>0.16666666666666666</v>
      </c>
      <c r="N603" s="4">
        <v>10</v>
      </c>
      <c r="O603" s="2">
        <v>1.736111111111111E-3</v>
      </c>
      <c r="P603" s="9">
        <v>320</v>
      </c>
      <c r="Q603" s="3">
        <v>2.5</v>
      </c>
      <c r="R603" s="4">
        <v>150</v>
      </c>
      <c r="S603" s="3">
        <v>109</v>
      </c>
      <c r="T603" s="1">
        <v>0.85289999999999999</v>
      </c>
      <c r="U603" s="6">
        <v>109.1712</v>
      </c>
    </row>
    <row r="604" spans="1:21" x14ac:dyDescent="0.35">
      <c r="A604">
        <v>603</v>
      </c>
      <c r="B604" s="5">
        <v>44799</v>
      </c>
      <c r="C604" s="4">
        <v>2022</v>
      </c>
      <c r="D604" s="4">
        <v>8</v>
      </c>
      <c r="E604" s="14">
        <v>44799</v>
      </c>
      <c r="F604" s="4">
        <v>26</v>
      </c>
      <c r="G604">
        <v>106</v>
      </c>
      <c r="H604">
        <v>105</v>
      </c>
      <c r="I604" s="13">
        <v>0.99</v>
      </c>
      <c r="J604">
        <v>1</v>
      </c>
      <c r="K604" s="2">
        <v>1.273148148148148E-4</v>
      </c>
      <c r="L604" s="11">
        <v>19.25</v>
      </c>
      <c r="M604" s="3">
        <v>0.18333333333333332</v>
      </c>
      <c r="N604" s="4">
        <v>11</v>
      </c>
      <c r="O604" s="2">
        <v>1.9328703703703704E-3</v>
      </c>
      <c r="P604" s="9">
        <v>292.25</v>
      </c>
      <c r="Q604" s="3">
        <v>2.7833333333333332</v>
      </c>
      <c r="R604" s="4">
        <v>167</v>
      </c>
      <c r="S604" s="3">
        <v>90</v>
      </c>
      <c r="T604" s="1">
        <v>0.85850000000000004</v>
      </c>
      <c r="U604" s="6">
        <v>90.142499999999998</v>
      </c>
    </row>
    <row r="605" spans="1:21" x14ac:dyDescent="0.35">
      <c r="A605">
        <v>604</v>
      </c>
      <c r="B605" s="5">
        <v>44800</v>
      </c>
      <c r="C605" s="4">
        <v>2022</v>
      </c>
      <c r="D605" s="4">
        <v>8</v>
      </c>
      <c r="E605" s="14">
        <v>44800</v>
      </c>
      <c r="F605" s="4">
        <v>27</v>
      </c>
      <c r="G605">
        <v>116</v>
      </c>
      <c r="H605">
        <v>108</v>
      </c>
      <c r="I605" s="13">
        <v>0.93</v>
      </c>
      <c r="J605">
        <v>8</v>
      </c>
      <c r="K605" s="2">
        <v>2.199074074074074E-4</v>
      </c>
      <c r="L605" s="11">
        <v>34.199999999999996</v>
      </c>
      <c r="M605" s="3">
        <v>0.31666666666666665</v>
      </c>
      <c r="N605" s="4">
        <v>19</v>
      </c>
      <c r="O605" s="2">
        <v>1.6898148148148148E-3</v>
      </c>
      <c r="P605" s="9">
        <v>262.8</v>
      </c>
      <c r="Q605" s="3">
        <v>2.4333333333333336</v>
      </c>
      <c r="R605" s="4">
        <v>146</v>
      </c>
      <c r="S605" s="3">
        <v>90</v>
      </c>
      <c r="T605" s="1">
        <v>0.8407</v>
      </c>
      <c r="U605" s="6">
        <v>90.795600000000007</v>
      </c>
    </row>
    <row r="606" spans="1:21" x14ac:dyDescent="0.35">
      <c r="A606">
        <v>605</v>
      </c>
      <c r="B606" s="5">
        <v>44801</v>
      </c>
      <c r="C606" s="4">
        <v>2022</v>
      </c>
      <c r="D606" s="4">
        <v>8</v>
      </c>
      <c r="E606" s="14">
        <v>44801</v>
      </c>
      <c r="F606" s="4">
        <v>28</v>
      </c>
      <c r="G606">
        <v>120</v>
      </c>
      <c r="H606">
        <v>117</v>
      </c>
      <c r="I606" s="13">
        <v>0.97</v>
      </c>
      <c r="J606">
        <v>3</v>
      </c>
      <c r="K606" s="2">
        <v>1.0416666666666667E-4</v>
      </c>
      <c r="L606" s="11">
        <v>17.55</v>
      </c>
      <c r="M606" s="3">
        <v>0.15</v>
      </c>
      <c r="N606" s="4">
        <v>9</v>
      </c>
      <c r="O606" s="2">
        <v>1.8171296296296297E-3</v>
      </c>
      <c r="P606" s="9">
        <v>306.14999999999998</v>
      </c>
      <c r="Q606" s="3">
        <v>2.6166666666666667</v>
      </c>
      <c r="R606" s="4">
        <v>157</v>
      </c>
      <c r="S606" s="3">
        <v>106</v>
      </c>
      <c r="T606" s="1">
        <v>0.90759999999999996</v>
      </c>
      <c r="U606" s="6">
        <v>106.1892</v>
      </c>
    </row>
    <row r="607" spans="1:21" x14ac:dyDescent="0.35">
      <c r="A607">
        <v>606</v>
      </c>
      <c r="B607" s="5">
        <v>44802</v>
      </c>
      <c r="C607" s="4">
        <v>2022</v>
      </c>
      <c r="D607" s="4">
        <v>8</v>
      </c>
      <c r="E607" s="14">
        <v>44802</v>
      </c>
      <c r="F607" s="4">
        <v>29</v>
      </c>
      <c r="G607">
        <v>123</v>
      </c>
      <c r="H607">
        <v>121</v>
      </c>
      <c r="I607" s="13">
        <v>0.98</v>
      </c>
      <c r="J607">
        <v>2</v>
      </c>
      <c r="K607" s="2">
        <v>8.1018518518518516E-5</v>
      </c>
      <c r="L607" s="11">
        <v>14.116666666666667</v>
      </c>
      <c r="M607" s="3">
        <v>0.11666666666666667</v>
      </c>
      <c r="N607" s="4">
        <v>7</v>
      </c>
      <c r="O607" s="2">
        <v>1.7013888888888888E-3</v>
      </c>
      <c r="P607" s="9">
        <v>296.45000000000005</v>
      </c>
      <c r="Q607" s="3">
        <v>2.4500000000000002</v>
      </c>
      <c r="R607" s="4">
        <v>147</v>
      </c>
      <c r="S607" s="3">
        <v>110</v>
      </c>
      <c r="T607" s="1">
        <v>0.91059999999999997</v>
      </c>
      <c r="U607" s="6">
        <v>110.18259999999999</v>
      </c>
    </row>
    <row r="608" spans="1:21" x14ac:dyDescent="0.35">
      <c r="A608">
        <v>607</v>
      </c>
      <c r="B608" s="5">
        <v>44803</v>
      </c>
      <c r="C608" s="4">
        <v>2022</v>
      </c>
      <c r="D608" s="4">
        <v>8</v>
      </c>
      <c r="E608" s="14">
        <v>44803</v>
      </c>
      <c r="F608" s="4">
        <v>30</v>
      </c>
      <c r="G608">
        <v>31</v>
      </c>
      <c r="H608">
        <v>31</v>
      </c>
      <c r="I608" s="13">
        <v>1</v>
      </c>
      <c r="J608">
        <v>0</v>
      </c>
      <c r="K608" s="2">
        <v>3.4722222222222222E-5</v>
      </c>
      <c r="L608" s="11">
        <v>1.55</v>
      </c>
      <c r="M608" s="3">
        <v>0.05</v>
      </c>
      <c r="N608" s="4">
        <v>3</v>
      </c>
      <c r="O608" s="2">
        <v>1.5972222222222223E-3</v>
      </c>
      <c r="P608" s="9">
        <v>71.3</v>
      </c>
      <c r="Q608" s="3">
        <v>2.2999999999999998</v>
      </c>
      <c r="R608" s="4">
        <v>138</v>
      </c>
      <c r="S608" s="3">
        <v>31</v>
      </c>
      <c r="T608" s="1">
        <v>1</v>
      </c>
      <c r="U608" s="6">
        <v>31</v>
      </c>
    </row>
    <row r="609" spans="1:21" x14ac:dyDescent="0.35">
      <c r="A609">
        <v>608</v>
      </c>
      <c r="B609" s="5">
        <v>44804</v>
      </c>
      <c r="C609" s="4">
        <v>2022</v>
      </c>
      <c r="D609" s="4">
        <v>8</v>
      </c>
      <c r="E609" s="14">
        <v>44804</v>
      </c>
      <c r="F609" s="4">
        <v>31</v>
      </c>
      <c r="G609">
        <v>140</v>
      </c>
      <c r="H609">
        <v>139</v>
      </c>
      <c r="I609" s="13">
        <v>0.99</v>
      </c>
      <c r="J609">
        <v>1</v>
      </c>
      <c r="K609" s="2">
        <v>9.2592592592592588E-5</v>
      </c>
      <c r="L609" s="11">
        <v>18.533333333333331</v>
      </c>
      <c r="M609" s="3">
        <v>0.13333333333333333</v>
      </c>
      <c r="N609" s="4">
        <v>8</v>
      </c>
      <c r="O609" s="2">
        <v>1.8402777777777777E-3</v>
      </c>
      <c r="P609" s="9">
        <v>368.34999999999997</v>
      </c>
      <c r="Q609" s="3">
        <v>2.65</v>
      </c>
      <c r="R609" s="4">
        <v>159</v>
      </c>
      <c r="S609" s="3">
        <v>128</v>
      </c>
      <c r="T609" s="1">
        <v>0.9214</v>
      </c>
      <c r="U609" s="6">
        <v>128.0746</v>
      </c>
    </row>
    <row r="610" spans="1:21" x14ac:dyDescent="0.35">
      <c r="A610">
        <v>609</v>
      </c>
      <c r="B610" s="5">
        <v>44805</v>
      </c>
      <c r="C610" s="4">
        <v>2022</v>
      </c>
      <c r="D610" s="4">
        <v>9</v>
      </c>
      <c r="E610" s="14">
        <v>44805</v>
      </c>
      <c r="F610" s="4">
        <v>1</v>
      </c>
      <c r="G610">
        <v>168</v>
      </c>
      <c r="H610">
        <v>161</v>
      </c>
      <c r="I610" s="13">
        <v>0.95</v>
      </c>
      <c r="J610">
        <v>7</v>
      </c>
      <c r="K610" s="2">
        <v>2.0833333333333335E-4</v>
      </c>
      <c r="L610" s="11">
        <v>48.3</v>
      </c>
      <c r="M610" s="3">
        <v>0.3</v>
      </c>
      <c r="N610" s="4">
        <v>18</v>
      </c>
      <c r="O610" s="2">
        <v>1.6666666666666668E-3</v>
      </c>
      <c r="P610" s="9">
        <v>386.4</v>
      </c>
      <c r="Q610" s="3">
        <v>2.4</v>
      </c>
      <c r="R610" s="4">
        <v>144</v>
      </c>
      <c r="S610" s="3">
        <v>118</v>
      </c>
      <c r="T610" s="1">
        <v>0.73650000000000004</v>
      </c>
      <c r="U610" s="6">
        <v>118.57650000000001</v>
      </c>
    </row>
    <row r="611" spans="1:21" x14ac:dyDescent="0.35">
      <c r="A611">
        <v>610</v>
      </c>
      <c r="B611" s="5">
        <v>44806</v>
      </c>
      <c r="C611" s="4">
        <v>2022</v>
      </c>
      <c r="D611" s="4">
        <v>9</v>
      </c>
      <c r="E611" s="14">
        <v>44806</v>
      </c>
      <c r="F611" s="4">
        <v>2</v>
      </c>
      <c r="G611">
        <v>146</v>
      </c>
      <c r="H611">
        <v>144</v>
      </c>
      <c r="I611" s="13">
        <v>0.98</v>
      </c>
      <c r="J611">
        <v>2</v>
      </c>
      <c r="K611" s="2">
        <v>6.9444444444444444E-5</v>
      </c>
      <c r="L611" s="11">
        <v>14.4</v>
      </c>
      <c r="M611" s="3">
        <v>0.1</v>
      </c>
      <c r="N611" s="4">
        <v>6</v>
      </c>
      <c r="O611" s="2">
        <v>1.8287037037037037E-3</v>
      </c>
      <c r="P611" s="9">
        <v>379.2</v>
      </c>
      <c r="Q611" s="3">
        <v>2.6333333333333333</v>
      </c>
      <c r="R611" s="4">
        <v>158</v>
      </c>
      <c r="S611" s="3">
        <v>136</v>
      </c>
      <c r="T611" s="1">
        <v>0.94479999999999997</v>
      </c>
      <c r="U611" s="6">
        <v>136.05119999999999</v>
      </c>
    </row>
    <row r="612" spans="1:21" x14ac:dyDescent="0.35">
      <c r="A612">
        <v>611</v>
      </c>
      <c r="B612" s="5">
        <v>44807</v>
      </c>
      <c r="C612" s="4">
        <v>2022</v>
      </c>
      <c r="D612" s="4">
        <v>9</v>
      </c>
      <c r="E612" s="14">
        <v>44807</v>
      </c>
      <c r="F612" s="4">
        <v>3</v>
      </c>
      <c r="G612">
        <v>110</v>
      </c>
      <c r="H612">
        <v>106</v>
      </c>
      <c r="I612" s="13">
        <v>0.96</v>
      </c>
      <c r="J612">
        <v>4</v>
      </c>
      <c r="K612" s="2">
        <v>1.7361111111111112E-4</v>
      </c>
      <c r="L612" s="11">
        <v>26.5</v>
      </c>
      <c r="M612" s="3">
        <v>0.25</v>
      </c>
      <c r="N612" s="4">
        <v>15</v>
      </c>
      <c r="O612" s="2">
        <v>1.9675925925925924E-3</v>
      </c>
      <c r="P612" s="9">
        <v>300.33333333333337</v>
      </c>
      <c r="Q612" s="3">
        <v>2.8333333333333335</v>
      </c>
      <c r="R612" s="4">
        <v>170</v>
      </c>
      <c r="S612" s="3">
        <v>84</v>
      </c>
      <c r="T612" s="1">
        <v>0.8</v>
      </c>
      <c r="U612" s="6">
        <v>84.800000000000011</v>
      </c>
    </row>
    <row r="613" spans="1:21" x14ac:dyDescent="0.35">
      <c r="A613">
        <v>612</v>
      </c>
      <c r="B613" s="5">
        <v>44808</v>
      </c>
      <c r="C613" s="4">
        <v>2022</v>
      </c>
      <c r="D613" s="4">
        <v>9</v>
      </c>
      <c r="E613" s="14">
        <v>44808</v>
      </c>
      <c r="F613" s="4">
        <v>4</v>
      </c>
      <c r="G613">
        <v>342</v>
      </c>
      <c r="H613">
        <v>333</v>
      </c>
      <c r="I613" s="13">
        <v>0.97</v>
      </c>
      <c r="J613">
        <v>9</v>
      </c>
      <c r="K613" s="2">
        <v>1.7361111111111112E-4</v>
      </c>
      <c r="L613" s="11">
        <v>83.25</v>
      </c>
      <c r="M613" s="3">
        <v>0.25</v>
      </c>
      <c r="N613" s="4">
        <v>15</v>
      </c>
      <c r="O613" s="2">
        <v>1.5046296296296296E-3</v>
      </c>
      <c r="P613" s="9">
        <v>721.5</v>
      </c>
      <c r="Q613" s="3">
        <v>2.1666666666666665</v>
      </c>
      <c r="R613" s="4">
        <v>130</v>
      </c>
      <c r="S613" s="3">
        <v>271</v>
      </c>
      <c r="T613" s="1">
        <v>0.81420000000000003</v>
      </c>
      <c r="U613" s="6">
        <v>271.12860000000001</v>
      </c>
    </row>
    <row r="614" spans="1:21" x14ac:dyDescent="0.35">
      <c r="A614">
        <v>613</v>
      </c>
      <c r="B614" s="5">
        <v>44809</v>
      </c>
      <c r="C614" s="4">
        <v>2022</v>
      </c>
      <c r="D614" s="4">
        <v>9</v>
      </c>
      <c r="E614" s="14">
        <v>44809</v>
      </c>
      <c r="F614" s="4">
        <v>5</v>
      </c>
      <c r="G614">
        <v>190</v>
      </c>
      <c r="H614">
        <v>183</v>
      </c>
      <c r="I614" s="13">
        <v>0.96</v>
      </c>
      <c r="J614">
        <v>7</v>
      </c>
      <c r="K614" s="2">
        <v>1.8518518518518518E-4</v>
      </c>
      <c r="L614" s="11">
        <v>48.8</v>
      </c>
      <c r="M614" s="3">
        <v>0.26666666666666666</v>
      </c>
      <c r="N614" s="4">
        <v>16</v>
      </c>
      <c r="O614" s="2">
        <v>1.7592592592592592E-3</v>
      </c>
      <c r="P614" s="9">
        <v>463.59999999999997</v>
      </c>
      <c r="Q614" s="3">
        <v>2.5333333333333332</v>
      </c>
      <c r="R614" s="4">
        <v>152</v>
      </c>
      <c r="S614" s="3">
        <v>144</v>
      </c>
      <c r="T614" s="1">
        <v>0.78949999999999998</v>
      </c>
      <c r="U614" s="6">
        <v>144.4785</v>
      </c>
    </row>
    <row r="615" spans="1:21" x14ac:dyDescent="0.35">
      <c r="A615">
        <v>614</v>
      </c>
      <c r="B615" s="5">
        <v>44810</v>
      </c>
      <c r="C615" s="4">
        <v>2022</v>
      </c>
      <c r="D615" s="4">
        <v>9</v>
      </c>
      <c r="E615" s="14">
        <v>44810</v>
      </c>
      <c r="F615" s="4">
        <v>6</v>
      </c>
      <c r="G615">
        <v>25</v>
      </c>
      <c r="H615">
        <v>24</v>
      </c>
      <c r="I615" s="13">
        <v>0.96</v>
      </c>
      <c r="J615">
        <v>1</v>
      </c>
      <c r="K615" s="2">
        <v>6.9444444444444444E-5</v>
      </c>
      <c r="L615" s="11">
        <v>2.4000000000000004</v>
      </c>
      <c r="M615" s="3">
        <v>0.1</v>
      </c>
      <c r="N615" s="4">
        <v>6</v>
      </c>
      <c r="O615" s="2">
        <v>1.6435185185185185E-3</v>
      </c>
      <c r="P615" s="9">
        <v>56.8</v>
      </c>
      <c r="Q615" s="3">
        <v>2.3666666666666667</v>
      </c>
      <c r="R615" s="4">
        <v>142</v>
      </c>
      <c r="S615" s="3">
        <v>22</v>
      </c>
      <c r="T615" s="1">
        <v>0.91669999999999996</v>
      </c>
      <c r="U615" s="6">
        <v>22.000799999999998</v>
      </c>
    </row>
    <row r="616" spans="1:21" x14ac:dyDescent="0.35">
      <c r="A616">
        <v>615</v>
      </c>
      <c r="B616" s="5">
        <v>44811</v>
      </c>
      <c r="C616" s="4">
        <v>2022</v>
      </c>
      <c r="D616" s="4">
        <v>9</v>
      </c>
      <c r="E616" s="14">
        <v>44811</v>
      </c>
      <c r="F616" s="4">
        <v>7</v>
      </c>
      <c r="G616">
        <v>169</v>
      </c>
      <c r="H616">
        <v>162</v>
      </c>
      <c r="I616" s="13">
        <v>0.95</v>
      </c>
      <c r="J616">
        <v>7</v>
      </c>
      <c r="K616" s="2">
        <v>1.0416666666666667E-4</v>
      </c>
      <c r="L616" s="11">
        <v>24.3</v>
      </c>
      <c r="M616" s="3">
        <v>0.15</v>
      </c>
      <c r="N616" s="4">
        <v>9</v>
      </c>
      <c r="O616" s="2">
        <v>1.7476851851851852E-3</v>
      </c>
      <c r="P616" s="9">
        <v>407.7</v>
      </c>
      <c r="Q616" s="3">
        <v>2.5166666666666666</v>
      </c>
      <c r="R616" s="4">
        <v>151</v>
      </c>
      <c r="S616" s="3">
        <v>144</v>
      </c>
      <c r="T616" s="1">
        <v>0.89159999999999995</v>
      </c>
      <c r="U616" s="6">
        <v>144.4392</v>
      </c>
    </row>
    <row r="617" spans="1:21" x14ac:dyDescent="0.35">
      <c r="A617">
        <v>616</v>
      </c>
      <c r="B617" s="5">
        <v>44812</v>
      </c>
      <c r="C617" s="4">
        <v>2022</v>
      </c>
      <c r="D617" s="4">
        <v>9</v>
      </c>
      <c r="E617" s="14">
        <v>44812</v>
      </c>
      <c r="F617" s="4">
        <v>8</v>
      </c>
      <c r="G617">
        <v>130</v>
      </c>
      <c r="H617">
        <v>129</v>
      </c>
      <c r="I617" s="13">
        <v>0.99</v>
      </c>
      <c r="J617">
        <v>1</v>
      </c>
      <c r="K617" s="2">
        <v>1.273148148148148E-4</v>
      </c>
      <c r="L617" s="11">
        <v>23.65</v>
      </c>
      <c r="M617" s="3">
        <v>0.18333333333333332</v>
      </c>
      <c r="N617" s="4">
        <v>11</v>
      </c>
      <c r="O617" s="2">
        <v>1.736111111111111E-3</v>
      </c>
      <c r="P617" s="9">
        <v>322.5</v>
      </c>
      <c r="Q617" s="3">
        <v>2.5</v>
      </c>
      <c r="R617" s="4">
        <v>150</v>
      </c>
      <c r="S617" s="3">
        <v>112</v>
      </c>
      <c r="T617" s="1">
        <v>0.86919999999999997</v>
      </c>
      <c r="U617" s="6">
        <v>112.1268</v>
      </c>
    </row>
    <row r="618" spans="1:21" x14ac:dyDescent="0.35">
      <c r="A618">
        <v>617</v>
      </c>
      <c r="B618" s="5">
        <v>44813</v>
      </c>
      <c r="C618" s="4">
        <v>2022</v>
      </c>
      <c r="D618" s="4">
        <v>9</v>
      </c>
      <c r="E618" s="14">
        <v>44813</v>
      </c>
      <c r="F618" s="4">
        <v>9</v>
      </c>
      <c r="G618">
        <v>22</v>
      </c>
      <c r="H618">
        <v>20</v>
      </c>
      <c r="I618" s="13">
        <v>0.9</v>
      </c>
      <c r="J618">
        <v>2</v>
      </c>
      <c r="K618" s="2">
        <v>1.0416666666666667E-4</v>
      </c>
      <c r="L618" s="11">
        <v>3</v>
      </c>
      <c r="M618" s="3">
        <v>0.15</v>
      </c>
      <c r="N618" s="4">
        <v>9</v>
      </c>
      <c r="O618" s="2">
        <v>2.2569444444444442E-3</v>
      </c>
      <c r="P618" s="9">
        <v>65</v>
      </c>
      <c r="Q618" s="3">
        <v>3.25</v>
      </c>
      <c r="R618" s="4">
        <v>195</v>
      </c>
      <c r="S618" s="3">
        <v>18</v>
      </c>
      <c r="T618" s="1">
        <v>0.90480000000000005</v>
      </c>
      <c r="U618" s="6">
        <v>18.096</v>
      </c>
    </row>
    <row r="619" spans="1:21" x14ac:dyDescent="0.35">
      <c r="A619">
        <v>618</v>
      </c>
      <c r="B619" s="5">
        <v>44814</v>
      </c>
      <c r="C619" s="4">
        <v>2022</v>
      </c>
      <c r="D619" s="4">
        <v>9</v>
      </c>
      <c r="E619" s="14">
        <v>44814</v>
      </c>
      <c r="F619" s="4">
        <v>10</v>
      </c>
      <c r="G619">
        <v>5</v>
      </c>
      <c r="H619">
        <v>5</v>
      </c>
      <c r="I619" s="13">
        <v>1</v>
      </c>
      <c r="J619">
        <v>0</v>
      </c>
      <c r="K619" s="2">
        <v>3.2407407407407406E-4</v>
      </c>
      <c r="L619" s="11">
        <v>2.3333333333333335</v>
      </c>
      <c r="M619" s="3">
        <v>0.46666666666666667</v>
      </c>
      <c r="N619" s="4">
        <v>28</v>
      </c>
      <c r="O619" s="2">
        <v>1.6782407407407408E-3</v>
      </c>
      <c r="P619" s="9">
        <v>12.083333333333332</v>
      </c>
      <c r="Q619" s="3">
        <v>2.4166666666666665</v>
      </c>
      <c r="R619" s="4">
        <v>145</v>
      </c>
      <c r="S619" s="3">
        <v>3</v>
      </c>
      <c r="T619" s="1">
        <v>0.6</v>
      </c>
      <c r="U619" s="6">
        <v>3</v>
      </c>
    </row>
    <row r="620" spans="1:21" x14ac:dyDescent="0.35">
      <c r="A620">
        <v>619</v>
      </c>
      <c r="B620" s="5">
        <v>44815</v>
      </c>
      <c r="C620" s="4">
        <v>2022</v>
      </c>
      <c r="D620" s="4">
        <v>9</v>
      </c>
      <c r="E620" s="14">
        <v>44815</v>
      </c>
      <c r="F620" s="4">
        <v>11</v>
      </c>
      <c r="G620">
        <v>119</v>
      </c>
      <c r="H620">
        <v>115</v>
      </c>
      <c r="I620" s="13">
        <v>0.96</v>
      </c>
      <c r="J620">
        <v>4</v>
      </c>
      <c r="K620" s="2">
        <v>1.273148148148148E-4</v>
      </c>
      <c r="L620" s="11">
        <v>21.083333333333332</v>
      </c>
      <c r="M620" s="3">
        <v>0.18333333333333332</v>
      </c>
      <c r="N620" s="4">
        <v>11</v>
      </c>
      <c r="O620" s="2">
        <v>1.712962962962963E-3</v>
      </c>
      <c r="P620" s="9">
        <v>283.66666666666669</v>
      </c>
      <c r="Q620" s="3">
        <v>2.4666666666666668</v>
      </c>
      <c r="R620" s="4">
        <v>148</v>
      </c>
      <c r="S620" s="3">
        <v>99</v>
      </c>
      <c r="T620" s="1">
        <v>0.86439999999999995</v>
      </c>
      <c r="U620" s="6">
        <v>99.405999999999992</v>
      </c>
    </row>
    <row r="621" spans="1:21" x14ac:dyDescent="0.35">
      <c r="A621">
        <v>620</v>
      </c>
      <c r="B621" s="5">
        <v>44816</v>
      </c>
      <c r="C621" s="4">
        <v>2022</v>
      </c>
      <c r="D621" s="4">
        <v>9</v>
      </c>
      <c r="E621" s="14">
        <v>44816</v>
      </c>
      <c r="F621" s="4">
        <v>12</v>
      </c>
      <c r="G621">
        <v>140</v>
      </c>
      <c r="H621">
        <v>138</v>
      </c>
      <c r="I621" s="13">
        <v>0.98</v>
      </c>
      <c r="J621">
        <v>2</v>
      </c>
      <c r="K621" s="2">
        <v>1.0416666666666667E-4</v>
      </c>
      <c r="L621" s="11">
        <v>20.7</v>
      </c>
      <c r="M621" s="3">
        <v>0.15</v>
      </c>
      <c r="N621" s="4">
        <v>9</v>
      </c>
      <c r="O621" s="2">
        <v>1.5856481481481481E-3</v>
      </c>
      <c r="P621" s="9">
        <v>315.09999999999997</v>
      </c>
      <c r="Q621" s="3">
        <v>2.2833333333333332</v>
      </c>
      <c r="R621" s="4">
        <v>137</v>
      </c>
      <c r="S621" s="3">
        <v>127</v>
      </c>
      <c r="T621" s="1">
        <v>0.9214</v>
      </c>
      <c r="U621" s="6">
        <v>127.1532</v>
      </c>
    </row>
    <row r="622" spans="1:21" x14ac:dyDescent="0.35">
      <c r="A622">
        <v>621</v>
      </c>
      <c r="B622" s="5">
        <v>44817</v>
      </c>
      <c r="C622" s="4">
        <v>2022</v>
      </c>
      <c r="D622" s="4">
        <v>9</v>
      </c>
      <c r="E622" s="14">
        <v>44817</v>
      </c>
      <c r="F622" s="4">
        <v>13</v>
      </c>
      <c r="G622">
        <v>22</v>
      </c>
      <c r="H622">
        <v>22</v>
      </c>
      <c r="I622" s="13">
        <v>1</v>
      </c>
      <c r="J622">
        <v>0</v>
      </c>
      <c r="K622" s="2">
        <v>6.9444444444444444E-5</v>
      </c>
      <c r="L622" s="11">
        <v>2.2000000000000002</v>
      </c>
      <c r="M622" s="3">
        <v>0.1</v>
      </c>
      <c r="N622" s="4">
        <v>6</v>
      </c>
      <c r="O622" s="2">
        <v>1.6319444444444445E-3</v>
      </c>
      <c r="P622" s="9">
        <v>51.7</v>
      </c>
      <c r="Q622" s="3">
        <v>2.35</v>
      </c>
      <c r="R622" s="4">
        <v>141</v>
      </c>
      <c r="S622" s="3">
        <v>20</v>
      </c>
      <c r="T622" s="1">
        <v>0.90910000000000002</v>
      </c>
      <c r="U622" s="6">
        <v>20.0002</v>
      </c>
    </row>
    <row r="623" spans="1:21" x14ac:dyDescent="0.35">
      <c r="A623">
        <v>622</v>
      </c>
      <c r="B623" s="5">
        <v>44818</v>
      </c>
      <c r="C623" s="4">
        <v>2022</v>
      </c>
      <c r="D623" s="4">
        <v>9</v>
      </c>
      <c r="E623" s="14">
        <v>44818</v>
      </c>
      <c r="F623" s="4">
        <v>14</v>
      </c>
      <c r="G623">
        <v>126</v>
      </c>
      <c r="H623">
        <v>124</v>
      </c>
      <c r="I623" s="13">
        <v>0.98</v>
      </c>
      <c r="J623">
        <v>2</v>
      </c>
      <c r="K623" s="2">
        <v>9.2592592592592588E-5</v>
      </c>
      <c r="L623" s="11">
        <v>16.533333333333331</v>
      </c>
      <c r="M623" s="3">
        <v>0.13333333333333333</v>
      </c>
      <c r="N623" s="4">
        <v>8</v>
      </c>
      <c r="O623" s="2">
        <v>1.7939814814814815E-3</v>
      </c>
      <c r="P623" s="9">
        <v>320.33333333333337</v>
      </c>
      <c r="Q623" s="3">
        <v>2.5833333333333335</v>
      </c>
      <c r="R623" s="4">
        <v>155</v>
      </c>
      <c r="S623" s="3">
        <v>117</v>
      </c>
      <c r="T623" s="1">
        <v>0.94399999999999995</v>
      </c>
      <c r="U623" s="6">
        <v>117.056</v>
      </c>
    </row>
    <row r="624" spans="1:21" x14ac:dyDescent="0.35">
      <c r="A624">
        <v>623</v>
      </c>
      <c r="B624" s="5">
        <v>44819</v>
      </c>
      <c r="C624" s="4">
        <v>2022</v>
      </c>
      <c r="D624" s="4">
        <v>9</v>
      </c>
      <c r="E624" s="14">
        <v>44819</v>
      </c>
      <c r="F624" s="4">
        <v>15</v>
      </c>
      <c r="G624">
        <v>122</v>
      </c>
      <c r="H624">
        <v>111</v>
      </c>
      <c r="I624" s="13">
        <v>0.9</v>
      </c>
      <c r="J624">
        <v>11</v>
      </c>
      <c r="K624" s="2">
        <v>1.5046296296296297E-4</v>
      </c>
      <c r="L624" s="11">
        <v>24.05</v>
      </c>
      <c r="M624" s="3">
        <v>0.21666666666666667</v>
      </c>
      <c r="N624" s="4">
        <v>13</v>
      </c>
      <c r="O624" s="2">
        <v>1.8865740740740742E-3</v>
      </c>
      <c r="P624" s="9">
        <v>301.55</v>
      </c>
      <c r="Q624" s="3">
        <v>2.7166666666666668</v>
      </c>
      <c r="R624" s="4">
        <v>163</v>
      </c>
      <c r="S624" s="3">
        <v>86</v>
      </c>
      <c r="T624" s="1">
        <v>0.77690000000000003</v>
      </c>
      <c r="U624" s="6">
        <v>86.235900000000001</v>
      </c>
    </row>
    <row r="625" spans="1:21" x14ac:dyDescent="0.35">
      <c r="A625">
        <v>624</v>
      </c>
      <c r="B625" s="5">
        <v>44820</v>
      </c>
      <c r="C625" s="4">
        <v>2022</v>
      </c>
      <c r="D625" s="4">
        <v>9</v>
      </c>
      <c r="E625" s="14">
        <v>44820</v>
      </c>
      <c r="F625" s="4">
        <v>16</v>
      </c>
      <c r="G625">
        <v>113</v>
      </c>
      <c r="H625">
        <v>108</v>
      </c>
      <c r="I625" s="13">
        <v>0.95</v>
      </c>
      <c r="J625">
        <v>5</v>
      </c>
      <c r="K625" s="2">
        <v>1.5046296296296297E-4</v>
      </c>
      <c r="L625" s="11">
        <v>23.400000000000002</v>
      </c>
      <c r="M625" s="3">
        <v>0.21666666666666667</v>
      </c>
      <c r="N625" s="4">
        <v>13</v>
      </c>
      <c r="O625" s="2">
        <v>1.7476851851851852E-3</v>
      </c>
      <c r="P625" s="9">
        <v>271.8</v>
      </c>
      <c r="Q625" s="3">
        <v>2.5166666666666666</v>
      </c>
      <c r="R625" s="4">
        <v>151</v>
      </c>
      <c r="S625" s="3">
        <v>89</v>
      </c>
      <c r="T625" s="1">
        <v>0.82879999999999998</v>
      </c>
      <c r="U625" s="6">
        <v>89.510400000000004</v>
      </c>
    </row>
    <row r="626" spans="1:21" x14ac:dyDescent="0.35">
      <c r="A626">
        <v>625</v>
      </c>
      <c r="B626" s="5">
        <v>44821</v>
      </c>
      <c r="C626" s="4">
        <v>2022</v>
      </c>
      <c r="D626" s="4">
        <v>9</v>
      </c>
      <c r="E626" s="14">
        <v>44821</v>
      </c>
      <c r="F626" s="4">
        <v>17</v>
      </c>
      <c r="G626">
        <v>119</v>
      </c>
      <c r="H626">
        <v>109</v>
      </c>
      <c r="I626" s="13">
        <v>0.91</v>
      </c>
      <c r="J626">
        <v>10</v>
      </c>
      <c r="K626" s="2">
        <v>1.9675925925925926E-4</v>
      </c>
      <c r="L626" s="11">
        <v>30.883333333333333</v>
      </c>
      <c r="M626" s="3">
        <v>0.28333333333333333</v>
      </c>
      <c r="N626" s="4">
        <v>17</v>
      </c>
      <c r="O626" s="2">
        <v>1.8055555555555555E-3</v>
      </c>
      <c r="P626" s="9">
        <v>283.40000000000003</v>
      </c>
      <c r="Q626" s="3">
        <v>2.6</v>
      </c>
      <c r="R626" s="4">
        <v>156</v>
      </c>
      <c r="S626" s="3">
        <v>91</v>
      </c>
      <c r="T626" s="1">
        <v>0.83620000000000005</v>
      </c>
      <c r="U626" s="6">
        <v>91.145800000000008</v>
      </c>
    </row>
    <row r="627" spans="1:21" x14ac:dyDescent="0.35">
      <c r="A627">
        <v>626</v>
      </c>
      <c r="B627" s="5">
        <v>44822</v>
      </c>
      <c r="C627" s="4">
        <v>2022</v>
      </c>
      <c r="D627" s="4">
        <v>9</v>
      </c>
      <c r="E627" s="14">
        <v>44822</v>
      </c>
      <c r="F627" s="4">
        <v>18</v>
      </c>
      <c r="G627">
        <v>134</v>
      </c>
      <c r="H627">
        <v>119</v>
      </c>
      <c r="I627" s="13">
        <v>0.88</v>
      </c>
      <c r="J627">
        <v>15</v>
      </c>
      <c r="K627" s="2">
        <v>2.7777777777777778E-4</v>
      </c>
      <c r="L627" s="11">
        <v>47.6</v>
      </c>
      <c r="M627" s="3">
        <v>0.4</v>
      </c>
      <c r="N627" s="4">
        <v>24</v>
      </c>
      <c r="O627" s="2">
        <v>1.9212962962962964E-3</v>
      </c>
      <c r="P627" s="9">
        <v>329.23333333333335</v>
      </c>
      <c r="Q627" s="3">
        <v>2.7666666666666666</v>
      </c>
      <c r="R627" s="4">
        <v>166</v>
      </c>
      <c r="S627" s="3">
        <v>75</v>
      </c>
      <c r="T627" s="1">
        <v>0.63429999999999997</v>
      </c>
      <c r="U627" s="6">
        <v>75.481700000000004</v>
      </c>
    </row>
    <row r="628" spans="1:21" x14ac:dyDescent="0.35">
      <c r="A628">
        <v>627</v>
      </c>
      <c r="B628" s="5">
        <v>44823</v>
      </c>
      <c r="C628" s="4">
        <v>2022</v>
      </c>
      <c r="D628" s="4">
        <v>9</v>
      </c>
      <c r="E628" s="14">
        <v>44823</v>
      </c>
      <c r="F628" s="4">
        <v>19</v>
      </c>
      <c r="G628">
        <v>101</v>
      </c>
      <c r="H628">
        <v>97</v>
      </c>
      <c r="I628" s="13">
        <v>0.96</v>
      </c>
      <c r="J628">
        <v>4</v>
      </c>
      <c r="K628" s="2">
        <v>1.8518518518518518E-4</v>
      </c>
      <c r="L628" s="11">
        <v>25.866666666666667</v>
      </c>
      <c r="M628" s="3">
        <v>0.26666666666666666</v>
      </c>
      <c r="N628" s="4">
        <v>16</v>
      </c>
      <c r="O628" s="2">
        <v>1.7708333333333332E-3</v>
      </c>
      <c r="P628" s="9">
        <v>247.35</v>
      </c>
      <c r="Q628" s="3">
        <v>2.5499999999999998</v>
      </c>
      <c r="R628" s="4">
        <v>153</v>
      </c>
      <c r="S628" s="3">
        <v>74</v>
      </c>
      <c r="T628" s="1">
        <v>0.77</v>
      </c>
      <c r="U628" s="6">
        <v>74.69</v>
      </c>
    </row>
    <row r="629" spans="1:21" x14ac:dyDescent="0.35">
      <c r="A629">
        <v>628</v>
      </c>
      <c r="B629" s="5">
        <v>44824</v>
      </c>
      <c r="C629" s="4">
        <v>2022</v>
      </c>
      <c r="D629" s="4">
        <v>9</v>
      </c>
      <c r="E629" s="14">
        <v>44824</v>
      </c>
      <c r="F629" s="4">
        <v>20</v>
      </c>
      <c r="G629">
        <v>20</v>
      </c>
      <c r="H629">
        <v>20</v>
      </c>
      <c r="I629" s="13">
        <v>1</v>
      </c>
      <c r="J629">
        <v>0</v>
      </c>
      <c r="K629" s="2">
        <v>4.6296296296296294E-5</v>
      </c>
      <c r="L629" s="11">
        <v>1.3333333333333333</v>
      </c>
      <c r="M629" s="3">
        <v>6.6666666666666666E-2</v>
      </c>
      <c r="N629" s="4">
        <v>4</v>
      </c>
      <c r="O629" s="2">
        <v>1.6666666666666668E-3</v>
      </c>
      <c r="P629" s="9">
        <v>48</v>
      </c>
      <c r="Q629" s="3">
        <v>2.4</v>
      </c>
      <c r="R629" s="4">
        <v>144</v>
      </c>
      <c r="S629" s="3">
        <v>20</v>
      </c>
      <c r="T629" s="1">
        <v>1</v>
      </c>
      <c r="U629" s="6">
        <v>20</v>
      </c>
    </row>
    <row r="630" spans="1:21" x14ac:dyDescent="0.35">
      <c r="A630">
        <v>629</v>
      </c>
      <c r="B630" s="5">
        <v>44825</v>
      </c>
      <c r="C630" s="4">
        <v>2022</v>
      </c>
      <c r="D630" s="4">
        <v>9</v>
      </c>
      <c r="E630" s="14">
        <v>44825</v>
      </c>
      <c r="F630" s="4">
        <v>21</v>
      </c>
      <c r="G630">
        <v>169</v>
      </c>
      <c r="H630">
        <v>162</v>
      </c>
      <c r="I630" s="13">
        <v>0.95</v>
      </c>
      <c r="J630">
        <v>7</v>
      </c>
      <c r="K630" s="2">
        <v>1.9675925925925926E-4</v>
      </c>
      <c r="L630" s="11">
        <v>45.9</v>
      </c>
      <c r="M630" s="3">
        <v>0.28333333333333333</v>
      </c>
      <c r="N630" s="4">
        <v>17</v>
      </c>
      <c r="O630" s="2">
        <v>1.7592592592592592E-3</v>
      </c>
      <c r="P630" s="9">
        <v>410.4</v>
      </c>
      <c r="Q630" s="3">
        <v>2.5333333333333332</v>
      </c>
      <c r="R630" s="4">
        <v>152</v>
      </c>
      <c r="S630" s="3">
        <v>129</v>
      </c>
      <c r="T630" s="1">
        <v>0.80120000000000002</v>
      </c>
      <c r="U630" s="6">
        <v>129.7944</v>
      </c>
    </row>
    <row r="631" spans="1:21" x14ac:dyDescent="0.35">
      <c r="A631">
        <v>630</v>
      </c>
      <c r="B631" s="5">
        <v>44826</v>
      </c>
      <c r="C631" s="4">
        <v>2022</v>
      </c>
      <c r="D631" s="4">
        <v>9</v>
      </c>
      <c r="E631" s="14">
        <v>44826</v>
      </c>
      <c r="F631" s="4">
        <v>22</v>
      </c>
      <c r="G631">
        <v>137</v>
      </c>
      <c r="H631">
        <v>133</v>
      </c>
      <c r="I631" s="13">
        <v>0.97</v>
      </c>
      <c r="J631">
        <v>4</v>
      </c>
      <c r="K631" s="2">
        <v>3.3564814814814812E-4</v>
      </c>
      <c r="L631" s="11">
        <v>64.283333333333331</v>
      </c>
      <c r="M631" s="3">
        <v>0.48333333333333334</v>
      </c>
      <c r="N631" s="4">
        <v>29</v>
      </c>
      <c r="O631" s="2">
        <v>1.8171296296296297E-3</v>
      </c>
      <c r="P631" s="9">
        <v>348.01666666666665</v>
      </c>
      <c r="Q631" s="3">
        <v>2.6166666666666667</v>
      </c>
      <c r="R631" s="4">
        <v>157</v>
      </c>
      <c r="S631" s="3">
        <v>82</v>
      </c>
      <c r="T631" s="1">
        <v>0.62039999999999995</v>
      </c>
      <c r="U631" s="6">
        <v>82.513199999999998</v>
      </c>
    </row>
    <row r="632" spans="1:21" x14ac:dyDescent="0.35">
      <c r="A632">
        <v>631</v>
      </c>
      <c r="B632" s="5">
        <v>44827</v>
      </c>
      <c r="C632" s="4">
        <v>2022</v>
      </c>
      <c r="D632" s="4">
        <v>9</v>
      </c>
      <c r="E632" s="14">
        <v>44827</v>
      </c>
      <c r="F632" s="4">
        <v>23</v>
      </c>
      <c r="G632">
        <v>133</v>
      </c>
      <c r="H632">
        <v>127</v>
      </c>
      <c r="I632" s="13">
        <v>0.95</v>
      </c>
      <c r="J632">
        <v>6</v>
      </c>
      <c r="K632" s="2">
        <v>2.0833333333333335E-4</v>
      </c>
      <c r="L632" s="11">
        <v>38.1</v>
      </c>
      <c r="M632" s="3">
        <v>0.3</v>
      </c>
      <c r="N632" s="4">
        <v>18</v>
      </c>
      <c r="O632" s="2">
        <v>1.8402777777777777E-3</v>
      </c>
      <c r="P632" s="9">
        <v>336.55</v>
      </c>
      <c r="Q632" s="3">
        <v>2.65</v>
      </c>
      <c r="R632" s="4">
        <v>159</v>
      </c>
      <c r="S632" s="3">
        <v>104</v>
      </c>
      <c r="T632" s="1">
        <v>0.81950000000000001</v>
      </c>
      <c r="U632" s="6">
        <v>104.0765</v>
      </c>
    </row>
    <row r="633" spans="1:21" x14ac:dyDescent="0.35">
      <c r="A633">
        <v>632</v>
      </c>
      <c r="B633" s="5">
        <v>44828</v>
      </c>
      <c r="C633" s="4">
        <v>2022</v>
      </c>
      <c r="D633" s="4">
        <v>9</v>
      </c>
      <c r="E633" s="14">
        <v>44828</v>
      </c>
      <c r="F633" s="4">
        <v>24</v>
      </c>
      <c r="G633">
        <v>184</v>
      </c>
      <c r="H633">
        <v>179</v>
      </c>
      <c r="I633" s="13">
        <v>0.97</v>
      </c>
      <c r="J633">
        <v>5</v>
      </c>
      <c r="K633" s="2">
        <v>1.1574074074074075E-4</v>
      </c>
      <c r="L633" s="11">
        <v>29.833333333333332</v>
      </c>
      <c r="M633" s="3">
        <v>0.16666666666666666</v>
      </c>
      <c r="N633" s="4">
        <v>10</v>
      </c>
      <c r="O633" s="2">
        <v>1.4236111111111112E-3</v>
      </c>
      <c r="P633" s="9">
        <v>366.95</v>
      </c>
      <c r="Q633" s="3">
        <v>2.0499999999999998</v>
      </c>
      <c r="R633" s="4">
        <v>122.99999999999999</v>
      </c>
      <c r="S633" s="3">
        <v>162</v>
      </c>
      <c r="T633" s="1">
        <v>0.90559999999999996</v>
      </c>
      <c r="U633" s="6">
        <v>162.10239999999999</v>
      </c>
    </row>
    <row r="634" spans="1:21" x14ac:dyDescent="0.35">
      <c r="A634">
        <v>633</v>
      </c>
      <c r="B634" s="5">
        <v>44829</v>
      </c>
      <c r="C634" s="4">
        <v>2022</v>
      </c>
      <c r="D634" s="4">
        <v>9</v>
      </c>
      <c r="E634" s="14">
        <v>44829</v>
      </c>
      <c r="F634" s="4">
        <v>25</v>
      </c>
      <c r="G634">
        <v>145</v>
      </c>
      <c r="H634">
        <v>135</v>
      </c>
      <c r="I634" s="13">
        <v>0.93</v>
      </c>
      <c r="J634">
        <v>10</v>
      </c>
      <c r="K634" s="2">
        <v>2.4305555555555555E-4</v>
      </c>
      <c r="L634" s="11">
        <v>47.25</v>
      </c>
      <c r="M634" s="3">
        <v>0.35</v>
      </c>
      <c r="N634" s="4">
        <v>21</v>
      </c>
      <c r="O634" s="2">
        <v>1.7939814814814815E-3</v>
      </c>
      <c r="P634" s="9">
        <v>348.75</v>
      </c>
      <c r="Q634" s="3">
        <v>2.5833333333333335</v>
      </c>
      <c r="R634" s="4">
        <v>155</v>
      </c>
      <c r="S634" s="3">
        <v>100</v>
      </c>
      <c r="T634" s="1">
        <v>0.74129999999999996</v>
      </c>
      <c r="U634" s="6">
        <v>100.07549999999999</v>
      </c>
    </row>
    <row r="635" spans="1:21" x14ac:dyDescent="0.35">
      <c r="A635">
        <v>634</v>
      </c>
      <c r="B635" s="5">
        <v>44830</v>
      </c>
      <c r="C635" s="4">
        <v>2022</v>
      </c>
      <c r="D635" s="4">
        <v>9</v>
      </c>
      <c r="E635" s="14">
        <v>44830</v>
      </c>
      <c r="F635" s="4">
        <v>26</v>
      </c>
      <c r="G635">
        <v>114</v>
      </c>
      <c r="H635">
        <v>108</v>
      </c>
      <c r="I635" s="13">
        <v>0.94</v>
      </c>
      <c r="J635">
        <v>6</v>
      </c>
      <c r="K635" s="2">
        <v>1.6203703703703703E-4</v>
      </c>
      <c r="L635" s="11">
        <v>25.2</v>
      </c>
      <c r="M635" s="3">
        <v>0.23333333333333334</v>
      </c>
      <c r="N635" s="4">
        <v>14</v>
      </c>
      <c r="O635" s="2">
        <v>1.7476851851851852E-3</v>
      </c>
      <c r="P635" s="9">
        <v>271.8</v>
      </c>
      <c r="Q635" s="3">
        <v>2.5166666666666666</v>
      </c>
      <c r="R635" s="4">
        <v>151</v>
      </c>
      <c r="S635" s="3">
        <v>89</v>
      </c>
      <c r="T635" s="1">
        <v>0.82879999999999998</v>
      </c>
      <c r="U635" s="6">
        <v>89.510400000000004</v>
      </c>
    </row>
    <row r="636" spans="1:21" x14ac:dyDescent="0.35">
      <c r="A636">
        <v>635</v>
      </c>
      <c r="B636" s="5">
        <v>44831</v>
      </c>
      <c r="C636" s="4">
        <v>2022</v>
      </c>
      <c r="D636" s="4">
        <v>9</v>
      </c>
      <c r="E636" s="14">
        <v>44831</v>
      </c>
      <c r="F636" s="4">
        <v>27</v>
      </c>
      <c r="G636">
        <v>24</v>
      </c>
      <c r="H636">
        <v>23</v>
      </c>
      <c r="I636" s="13">
        <v>0.95</v>
      </c>
      <c r="J636">
        <v>1</v>
      </c>
      <c r="K636" s="2">
        <v>5.7870370370370373E-5</v>
      </c>
      <c r="L636" s="11">
        <v>1.9166666666666665</v>
      </c>
      <c r="M636" s="3">
        <v>8.3333333333333329E-2</v>
      </c>
      <c r="N636" s="4">
        <v>5</v>
      </c>
      <c r="O636" s="2">
        <v>1.5277777777777779E-3</v>
      </c>
      <c r="P636" s="9">
        <v>50.6</v>
      </c>
      <c r="Q636" s="3">
        <v>2.2000000000000002</v>
      </c>
      <c r="R636" s="4">
        <v>132</v>
      </c>
      <c r="S636" s="3">
        <v>22</v>
      </c>
      <c r="T636" s="1">
        <v>0.95830000000000004</v>
      </c>
      <c r="U636" s="6">
        <v>22.040900000000001</v>
      </c>
    </row>
    <row r="637" spans="1:21" x14ac:dyDescent="0.35">
      <c r="A637">
        <v>636</v>
      </c>
      <c r="B637" s="5">
        <v>44832</v>
      </c>
      <c r="C637" s="4">
        <v>2022</v>
      </c>
      <c r="D637" s="4">
        <v>9</v>
      </c>
      <c r="E637" s="14">
        <v>44832</v>
      </c>
      <c r="F637" s="4">
        <v>28</v>
      </c>
      <c r="G637">
        <v>143</v>
      </c>
      <c r="H637">
        <v>136</v>
      </c>
      <c r="I637" s="13">
        <v>0.95</v>
      </c>
      <c r="J637">
        <v>7</v>
      </c>
      <c r="K637" s="2">
        <v>1.0416666666666667E-4</v>
      </c>
      <c r="L637" s="11">
        <v>20.399999999999999</v>
      </c>
      <c r="M637" s="3">
        <v>0.15</v>
      </c>
      <c r="N637" s="4">
        <v>9</v>
      </c>
      <c r="O637" s="2">
        <v>1.7592592592592592E-3</v>
      </c>
      <c r="P637" s="9">
        <v>344.5333333333333</v>
      </c>
      <c r="Q637" s="3">
        <v>2.5333333333333332</v>
      </c>
      <c r="R637" s="4">
        <v>152</v>
      </c>
      <c r="S637" s="3">
        <v>114</v>
      </c>
      <c r="T637" s="1">
        <v>0.84509999999999996</v>
      </c>
      <c r="U637" s="6">
        <v>114.9336</v>
      </c>
    </row>
    <row r="638" spans="1:21" x14ac:dyDescent="0.35">
      <c r="A638">
        <v>637</v>
      </c>
      <c r="B638" s="5">
        <v>44833</v>
      </c>
      <c r="C638" s="4">
        <v>2022</v>
      </c>
      <c r="D638" s="4">
        <v>9</v>
      </c>
      <c r="E638" s="14">
        <v>44833</v>
      </c>
      <c r="F638" s="4">
        <v>29</v>
      </c>
      <c r="G638">
        <v>119</v>
      </c>
      <c r="H638">
        <v>114</v>
      </c>
      <c r="I638" s="13">
        <v>0.95</v>
      </c>
      <c r="J638">
        <v>5</v>
      </c>
      <c r="K638" s="2">
        <v>9.2592592592592588E-5</v>
      </c>
      <c r="L638" s="11">
        <v>15.2</v>
      </c>
      <c r="M638" s="3">
        <v>0.13333333333333333</v>
      </c>
      <c r="N638" s="4">
        <v>8</v>
      </c>
      <c r="O638" s="2">
        <v>1.6435185185185185E-3</v>
      </c>
      <c r="P638" s="9">
        <v>269.8</v>
      </c>
      <c r="Q638" s="3">
        <v>2.3666666666666667</v>
      </c>
      <c r="R638" s="4">
        <v>142</v>
      </c>
      <c r="S638" s="3">
        <v>103</v>
      </c>
      <c r="T638" s="1">
        <v>0.90600000000000003</v>
      </c>
      <c r="U638" s="6">
        <v>103.28400000000001</v>
      </c>
    </row>
    <row r="639" spans="1:21" x14ac:dyDescent="0.35">
      <c r="A639">
        <v>638</v>
      </c>
      <c r="B639" s="5">
        <v>44834</v>
      </c>
      <c r="C639" s="4">
        <v>2022</v>
      </c>
      <c r="D639" s="4">
        <v>9</v>
      </c>
      <c r="E639" s="14">
        <v>44834</v>
      </c>
      <c r="F639" s="4">
        <v>30</v>
      </c>
      <c r="G639">
        <v>123</v>
      </c>
      <c r="H639">
        <v>118</v>
      </c>
      <c r="I639" s="13">
        <v>0.95</v>
      </c>
      <c r="J639">
        <v>5</v>
      </c>
      <c r="K639" s="2">
        <v>2.4305555555555555E-4</v>
      </c>
      <c r="L639" s="11">
        <v>41.3</v>
      </c>
      <c r="M639" s="3">
        <v>0.35</v>
      </c>
      <c r="N639" s="4">
        <v>21</v>
      </c>
      <c r="O639" s="2">
        <v>1.9212962962962964E-3</v>
      </c>
      <c r="P639" s="9">
        <v>326.46666666666664</v>
      </c>
      <c r="Q639" s="3">
        <v>2.7666666666666666</v>
      </c>
      <c r="R639" s="4">
        <v>166</v>
      </c>
      <c r="S639" s="3">
        <v>83</v>
      </c>
      <c r="T639" s="1">
        <v>0.70730000000000004</v>
      </c>
      <c r="U639" s="6">
        <v>83.461399999999998</v>
      </c>
    </row>
    <row r="640" spans="1:21" x14ac:dyDescent="0.35">
      <c r="A640">
        <v>639</v>
      </c>
      <c r="B640" s="5">
        <v>44835</v>
      </c>
      <c r="C640" s="4">
        <v>2022</v>
      </c>
      <c r="D640" s="4">
        <v>10</v>
      </c>
      <c r="E640" s="14">
        <v>44835</v>
      </c>
      <c r="F640" s="4">
        <v>1</v>
      </c>
      <c r="G640">
        <v>145</v>
      </c>
      <c r="H640">
        <v>141</v>
      </c>
      <c r="I640" s="13">
        <v>0.97</v>
      </c>
      <c r="J640">
        <v>4</v>
      </c>
      <c r="K640" s="2">
        <v>1.6203703703703703E-4</v>
      </c>
      <c r="L640" s="11">
        <v>32.9</v>
      </c>
      <c r="M640" s="3">
        <v>0.23333333333333334</v>
      </c>
      <c r="N640" s="4">
        <v>14</v>
      </c>
      <c r="O640" s="2">
        <v>1.8055555555555555E-3</v>
      </c>
      <c r="P640" s="9">
        <v>366.6</v>
      </c>
      <c r="Q640" s="3">
        <v>2.6</v>
      </c>
      <c r="R640" s="4">
        <v>156</v>
      </c>
      <c r="S640" s="3">
        <v>117</v>
      </c>
      <c r="T640" s="1">
        <v>0.83330000000000004</v>
      </c>
      <c r="U640" s="6">
        <v>117.4953</v>
      </c>
    </row>
    <row r="641" spans="1:21" x14ac:dyDescent="0.35">
      <c r="A641">
        <v>640</v>
      </c>
      <c r="B641" s="5">
        <v>44836</v>
      </c>
      <c r="C641" s="4">
        <v>2022</v>
      </c>
      <c r="D641" s="4">
        <v>10</v>
      </c>
      <c r="E641" s="14">
        <v>44836</v>
      </c>
      <c r="F641" s="4">
        <v>2</v>
      </c>
      <c r="G641">
        <v>108</v>
      </c>
      <c r="H641">
        <v>106</v>
      </c>
      <c r="I641" s="13">
        <v>0.98</v>
      </c>
      <c r="J641">
        <v>2</v>
      </c>
      <c r="K641" s="2">
        <v>3.0092592592592595E-4</v>
      </c>
      <c r="L641" s="11">
        <v>45.933333333333337</v>
      </c>
      <c r="M641" s="3">
        <v>0.43333333333333335</v>
      </c>
      <c r="N641" s="4">
        <v>26</v>
      </c>
      <c r="O641" s="2">
        <v>1.9675925925925924E-3</v>
      </c>
      <c r="P641" s="9">
        <v>300.33333333333337</v>
      </c>
      <c r="Q641" s="3">
        <v>2.8333333333333335</v>
      </c>
      <c r="R641" s="4">
        <v>170</v>
      </c>
      <c r="S641" s="3">
        <v>72</v>
      </c>
      <c r="T641" s="1">
        <v>0.68220000000000003</v>
      </c>
      <c r="U641" s="6">
        <v>72.313200000000009</v>
      </c>
    </row>
    <row r="642" spans="1:21" x14ac:dyDescent="0.35">
      <c r="A642">
        <v>641</v>
      </c>
      <c r="B642" s="5">
        <v>44837</v>
      </c>
      <c r="C642" s="4">
        <v>2022</v>
      </c>
      <c r="D642" s="4">
        <v>10</v>
      </c>
      <c r="E642" s="14">
        <v>44837</v>
      </c>
      <c r="F642" s="4">
        <v>3</v>
      </c>
      <c r="G642">
        <v>128</v>
      </c>
      <c r="H642">
        <v>125</v>
      </c>
      <c r="I642" s="13">
        <v>0.97</v>
      </c>
      <c r="J642">
        <v>3</v>
      </c>
      <c r="K642" s="2">
        <v>1.5046296296296297E-4</v>
      </c>
      <c r="L642" s="11">
        <v>27.083333333333336</v>
      </c>
      <c r="M642" s="3">
        <v>0.21666666666666667</v>
      </c>
      <c r="N642" s="4">
        <v>13</v>
      </c>
      <c r="O642" s="2">
        <v>1.9097222222222222E-3</v>
      </c>
      <c r="P642" s="9">
        <v>343.75</v>
      </c>
      <c r="Q642" s="3">
        <v>2.75</v>
      </c>
      <c r="R642" s="4">
        <v>165</v>
      </c>
      <c r="S642" s="3">
        <v>103</v>
      </c>
      <c r="T642" s="1">
        <v>0.82679999999999998</v>
      </c>
      <c r="U642" s="6">
        <v>103.35</v>
      </c>
    </row>
    <row r="643" spans="1:21" x14ac:dyDescent="0.35">
      <c r="A643">
        <v>642</v>
      </c>
      <c r="B643" s="5">
        <v>44838</v>
      </c>
      <c r="C643" s="4">
        <v>2022</v>
      </c>
      <c r="D643" s="4">
        <v>10</v>
      </c>
      <c r="E643" s="14">
        <v>44838</v>
      </c>
      <c r="F643" s="4">
        <v>4</v>
      </c>
      <c r="G643">
        <v>27</v>
      </c>
      <c r="H643">
        <v>26</v>
      </c>
      <c r="I643" s="13">
        <v>0.96</v>
      </c>
      <c r="J643">
        <v>1</v>
      </c>
      <c r="K643" s="2">
        <v>2.3148148148148149E-4</v>
      </c>
      <c r="L643" s="11">
        <v>8.6666666666666661</v>
      </c>
      <c r="M643" s="3">
        <v>0.33333333333333331</v>
      </c>
      <c r="N643" s="4">
        <v>20</v>
      </c>
      <c r="O643" s="2">
        <v>1.9791666666666668E-3</v>
      </c>
      <c r="P643" s="9">
        <v>74.100000000000009</v>
      </c>
      <c r="Q643" s="3">
        <v>2.85</v>
      </c>
      <c r="R643" s="4">
        <v>171</v>
      </c>
      <c r="S643" s="3">
        <v>22</v>
      </c>
      <c r="T643" s="1">
        <v>0.84619999999999995</v>
      </c>
      <c r="U643" s="6">
        <v>22.001199999999997</v>
      </c>
    </row>
    <row r="644" spans="1:21" x14ac:dyDescent="0.35">
      <c r="A644">
        <v>643</v>
      </c>
      <c r="B644" s="5">
        <v>44839</v>
      </c>
      <c r="C644" s="4">
        <v>2022</v>
      </c>
      <c r="D644" s="4">
        <v>10</v>
      </c>
      <c r="E644" s="14">
        <v>44839</v>
      </c>
      <c r="F644" s="4">
        <v>5</v>
      </c>
      <c r="G644">
        <v>155</v>
      </c>
      <c r="H644">
        <v>151</v>
      </c>
      <c r="I644" s="13">
        <v>0.97</v>
      </c>
      <c r="J644">
        <v>4</v>
      </c>
      <c r="K644" s="2">
        <v>1.273148148148148E-4</v>
      </c>
      <c r="L644" s="11">
        <v>27.68333333333333</v>
      </c>
      <c r="M644" s="3">
        <v>0.18333333333333332</v>
      </c>
      <c r="N644" s="4">
        <v>11</v>
      </c>
      <c r="O644" s="2">
        <v>1.7592592592592592E-3</v>
      </c>
      <c r="P644" s="9">
        <v>382.5333333333333</v>
      </c>
      <c r="Q644" s="3">
        <v>2.5333333333333332</v>
      </c>
      <c r="R644" s="4">
        <v>152</v>
      </c>
      <c r="S644" s="3">
        <v>135</v>
      </c>
      <c r="T644" s="1">
        <v>0.89610000000000001</v>
      </c>
      <c r="U644" s="6">
        <v>135.31110000000001</v>
      </c>
    </row>
    <row r="645" spans="1:21" x14ac:dyDescent="0.35">
      <c r="A645">
        <v>644</v>
      </c>
      <c r="B645" s="5">
        <v>44840</v>
      </c>
      <c r="C645" s="4">
        <v>2022</v>
      </c>
      <c r="D645" s="4">
        <v>10</v>
      </c>
      <c r="E645" s="14">
        <v>44840</v>
      </c>
      <c r="F645" s="4">
        <v>6</v>
      </c>
      <c r="G645">
        <v>116</v>
      </c>
      <c r="H645">
        <v>110</v>
      </c>
      <c r="I645" s="13">
        <v>0.94</v>
      </c>
      <c r="J645">
        <v>6</v>
      </c>
      <c r="K645" s="2">
        <v>2.0833333333333335E-4</v>
      </c>
      <c r="L645" s="11">
        <v>33</v>
      </c>
      <c r="M645" s="3">
        <v>0.3</v>
      </c>
      <c r="N645" s="4">
        <v>18</v>
      </c>
      <c r="O645" s="2">
        <v>1.6550925925925926E-3</v>
      </c>
      <c r="P645" s="9">
        <v>262.16666666666669</v>
      </c>
      <c r="Q645" s="3">
        <v>2.3833333333333333</v>
      </c>
      <c r="R645" s="4">
        <v>143</v>
      </c>
      <c r="S645" s="3">
        <v>82</v>
      </c>
      <c r="T645" s="1">
        <v>0.75</v>
      </c>
      <c r="U645" s="6">
        <v>82.5</v>
      </c>
    </row>
    <row r="646" spans="1:21" x14ac:dyDescent="0.35">
      <c r="A646">
        <v>645</v>
      </c>
      <c r="B646" s="5">
        <v>44841</v>
      </c>
      <c r="C646" s="4">
        <v>2022</v>
      </c>
      <c r="D646" s="4">
        <v>10</v>
      </c>
      <c r="E646" s="14">
        <v>44841</v>
      </c>
      <c r="F646" s="4">
        <v>7</v>
      </c>
      <c r="G646">
        <v>117</v>
      </c>
      <c r="H646">
        <v>111</v>
      </c>
      <c r="I646" s="13">
        <v>0.94</v>
      </c>
      <c r="J646">
        <v>6</v>
      </c>
      <c r="K646" s="2">
        <v>2.0833333333333335E-4</v>
      </c>
      <c r="L646" s="11">
        <v>33.299999999999997</v>
      </c>
      <c r="M646" s="3">
        <v>0.3</v>
      </c>
      <c r="N646" s="4">
        <v>18</v>
      </c>
      <c r="O646" s="2">
        <v>1.8865740740740742E-3</v>
      </c>
      <c r="P646" s="9">
        <v>301.55</v>
      </c>
      <c r="Q646" s="3">
        <v>2.7166666666666668</v>
      </c>
      <c r="R646" s="4">
        <v>163</v>
      </c>
      <c r="S646" s="3">
        <v>84</v>
      </c>
      <c r="T646" s="1">
        <v>0.76519999999999999</v>
      </c>
      <c r="U646" s="6">
        <v>84.937200000000004</v>
      </c>
    </row>
    <row r="647" spans="1:21" x14ac:dyDescent="0.35">
      <c r="A647">
        <v>646</v>
      </c>
      <c r="B647" s="5">
        <v>44842</v>
      </c>
      <c r="C647" s="4">
        <v>2022</v>
      </c>
      <c r="D647" s="4">
        <v>10</v>
      </c>
      <c r="E647" s="14">
        <v>44842</v>
      </c>
      <c r="F647" s="4">
        <v>8</v>
      </c>
      <c r="G647">
        <v>113</v>
      </c>
      <c r="H647">
        <v>105</v>
      </c>
      <c r="I647" s="13">
        <v>0.92</v>
      </c>
      <c r="J647">
        <v>8</v>
      </c>
      <c r="K647" s="2">
        <v>3.5879629629629629E-4</v>
      </c>
      <c r="L647" s="11">
        <v>54.250000000000007</v>
      </c>
      <c r="M647" s="3">
        <v>0.51666666666666672</v>
      </c>
      <c r="N647" s="4">
        <v>31.000000000000004</v>
      </c>
      <c r="O647" s="2">
        <v>1.8171296296296297E-3</v>
      </c>
      <c r="P647" s="9">
        <v>274.75</v>
      </c>
      <c r="Q647" s="3">
        <v>2.6166666666666667</v>
      </c>
      <c r="R647" s="4">
        <v>157</v>
      </c>
      <c r="S647" s="3">
        <v>56</v>
      </c>
      <c r="T647" s="1">
        <v>0.53979999999999995</v>
      </c>
      <c r="U647" s="6">
        <v>56.678999999999995</v>
      </c>
    </row>
    <row r="648" spans="1:21" x14ac:dyDescent="0.35">
      <c r="A648">
        <v>647</v>
      </c>
      <c r="B648" s="5">
        <v>44843</v>
      </c>
      <c r="C648" s="4">
        <v>2022</v>
      </c>
      <c r="D648" s="4">
        <v>10</v>
      </c>
      <c r="E648" s="14">
        <v>44843</v>
      </c>
      <c r="F648" s="4">
        <v>9</v>
      </c>
      <c r="G648">
        <v>107</v>
      </c>
      <c r="H648">
        <v>101</v>
      </c>
      <c r="I648" s="13">
        <v>0.94</v>
      </c>
      <c r="J648">
        <v>6</v>
      </c>
      <c r="K648" s="2">
        <v>2.6620370370370372E-4</v>
      </c>
      <c r="L648" s="11">
        <v>38.716666666666669</v>
      </c>
      <c r="M648" s="3">
        <v>0.38333333333333336</v>
      </c>
      <c r="N648" s="4">
        <v>23</v>
      </c>
      <c r="O648" s="2">
        <v>1.8981481481481482E-3</v>
      </c>
      <c r="P648" s="9">
        <v>276.06666666666666</v>
      </c>
      <c r="Q648" s="3">
        <v>2.7333333333333334</v>
      </c>
      <c r="R648" s="4">
        <v>164</v>
      </c>
      <c r="S648" s="3">
        <v>74</v>
      </c>
      <c r="T648" s="1">
        <v>0.73580000000000001</v>
      </c>
      <c r="U648" s="6">
        <v>74.315799999999996</v>
      </c>
    </row>
    <row r="649" spans="1:21" x14ac:dyDescent="0.35">
      <c r="A649">
        <v>648</v>
      </c>
      <c r="B649" s="5">
        <v>44844</v>
      </c>
      <c r="C649" s="4">
        <v>2022</v>
      </c>
      <c r="D649" s="4">
        <v>10</v>
      </c>
      <c r="E649" s="14">
        <v>44844</v>
      </c>
      <c r="F649" s="4">
        <v>10</v>
      </c>
      <c r="G649">
        <v>146</v>
      </c>
      <c r="H649">
        <v>141</v>
      </c>
      <c r="I649" s="13">
        <v>0.96</v>
      </c>
      <c r="J649">
        <v>5</v>
      </c>
      <c r="K649" s="2">
        <v>2.8935185185185184E-4</v>
      </c>
      <c r="L649" s="11">
        <v>58.75</v>
      </c>
      <c r="M649" s="3">
        <v>0.41666666666666669</v>
      </c>
      <c r="N649" s="4">
        <v>25</v>
      </c>
      <c r="O649" s="2">
        <v>1.6435185185185185E-3</v>
      </c>
      <c r="P649" s="9">
        <v>333.7</v>
      </c>
      <c r="Q649" s="3">
        <v>2.3666666666666667</v>
      </c>
      <c r="R649" s="4">
        <v>142</v>
      </c>
      <c r="S649" s="3">
        <v>92</v>
      </c>
      <c r="T649" s="1">
        <v>0.65749999999999997</v>
      </c>
      <c r="U649" s="6">
        <v>92.707499999999996</v>
      </c>
    </row>
    <row r="650" spans="1:21" x14ac:dyDescent="0.35">
      <c r="A650">
        <v>649</v>
      </c>
      <c r="B650" s="5">
        <v>44845</v>
      </c>
      <c r="C650" s="4">
        <v>2022</v>
      </c>
      <c r="D650" s="4">
        <v>10</v>
      </c>
      <c r="E650" s="14">
        <v>44845</v>
      </c>
      <c r="F650" s="4">
        <v>11</v>
      </c>
      <c r="G650">
        <v>29</v>
      </c>
      <c r="H650">
        <v>26</v>
      </c>
      <c r="I650" s="13">
        <v>0.89</v>
      </c>
      <c r="J650">
        <v>3</v>
      </c>
      <c r="K650" s="2">
        <v>1.0416666666666667E-4</v>
      </c>
      <c r="L650" s="11">
        <v>3.9</v>
      </c>
      <c r="M650" s="3">
        <v>0.15</v>
      </c>
      <c r="N650" s="4">
        <v>9</v>
      </c>
      <c r="O650" s="2">
        <v>1.8171296296296297E-3</v>
      </c>
      <c r="P650" s="9">
        <v>68.033333333333331</v>
      </c>
      <c r="Q650" s="3">
        <v>2.6166666666666667</v>
      </c>
      <c r="R650" s="4">
        <v>157</v>
      </c>
      <c r="S650" s="3">
        <v>22</v>
      </c>
      <c r="T650" s="1">
        <v>0.85709999999999997</v>
      </c>
      <c r="U650" s="6">
        <v>22.284599999999998</v>
      </c>
    </row>
    <row r="651" spans="1:21" x14ac:dyDescent="0.35">
      <c r="A651">
        <v>650</v>
      </c>
      <c r="B651" s="5">
        <v>44846</v>
      </c>
      <c r="C651" s="4">
        <v>2022</v>
      </c>
      <c r="D651" s="4">
        <v>10</v>
      </c>
      <c r="E651" s="14">
        <v>44846</v>
      </c>
      <c r="F651" s="4">
        <v>12</v>
      </c>
      <c r="G651">
        <v>231</v>
      </c>
      <c r="H651">
        <v>228</v>
      </c>
      <c r="I651" s="13">
        <v>0.98</v>
      </c>
      <c r="J651">
        <v>3</v>
      </c>
      <c r="K651" s="2">
        <v>1.7361111111111112E-4</v>
      </c>
      <c r="L651" s="11">
        <v>57</v>
      </c>
      <c r="M651" s="3">
        <v>0.25</v>
      </c>
      <c r="N651" s="4">
        <v>15</v>
      </c>
      <c r="O651" s="2">
        <v>1.4930555555555556E-3</v>
      </c>
      <c r="P651" s="9">
        <v>490.2</v>
      </c>
      <c r="Q651" s="3">
        <v>2.15</v>
      </c>
      <c r="R651" s="4">
        <v>129</v>
      </c>
      <c r="S651" s="3">
        <v>185</v>
      </c>
      <c r="T651" s="1">
        <v>0.81389999999999996</v>
      </c>
      <c r="U651" s="6">
        <v>185.5692</v>
      </c>
    </row>
    <row r="652" spans="1:21" x14ac:dyDescent="0.35">
      <c r="A652">
        <v>651</v>
      </c>
      <c r="B652" s="5">
        <v>44847</v>
      </c>
      <c r="C652" s="4">
        <v>2022</v>
      </c>
      <c r="D652" s="4">
        <v>10</v>
      </c>
      <c r="E652" s="14">
        <v>44847</v>
      </c>
      <c r="F652" s="4">
        <v>13</v>
      </c>
      <c r="G652">
        <v>239</v>
      </c>
      <c r="H652">
        <v>215</v>
      </c>
      <c r="I652" s="13">
        <v>0.89</v>
      </c>
      <c r="J652">
        <v>24</v>
      </c>
      <c r="K652" s="2">
        <v>2.6620370370370372E-4</v>
      </c>
      <c r="L652" s="11">
        <v>82.416666666666671</v>
      </c>
      <c r="M652" s="3">
        <v>0.38333333333333336</v>
      </c>
      <c r="N652" s="4">
        <v>23</v>
      </c>
      <c r="O652" s="2">
        <v>1.8055555555555555E-3</v>
      </c>
      <c r="P652" s="9">
        <v>559</v>
      </c>
      <c r="Q652" s="3">
        <v>2.6</v>
      </c>
      <c r="R652" s="4">
        <v>156</v>
      </c>
      <c r="S652" s="3">
        <v>143</v>
      </c>
      <c r="T652" s="1">
        <v>0.66669999999999996</v>
      </c>
      <c r="U652" s="6">
        <v>143.34049999999999</v>
      </c>
    </row>
    <row r="653" spans="1:21" x14ac:dyDescent="0.35">
      <c r="A653">
        <v>652</v>
      </c>
      <c r="B653" s="5">
        <v>44848</v>
      </c>
      <c r="C653" s="4">
        <v>2022</v>
      </c>
      <c r="D653" s="4">
        <v>10</v>
      </c>
      <c r="E653" s="14">
        <v>44848</v>
      </c>
      <c r="F653" s="4">
        <v>14</v>
      </c>
      <c r="G653">
        <v>174</v>
      </c>
      <c r="H653">
        <v>154</v>
      </c>
      <c r="I653" s="13">
        <v>0.88</v>
      </c>
      <c r="J653">
        <v>20</v>
      </c>
      <c r="K653" s="2">
        <v>3.3564814814814812E-4</v>
      </c>
      <c r="L653" s="11">
        <v>74.433333333333337</v>
      </c>
      <c r="M653" s="3">
        <v>0.48333333333333334</v>
      </c>
      <c r="N653" s="4">
        <v>29</v>
      </c>
      <c r="O653" s="2">
        <v>1.8518518518518519E-3</v>
      </c>
      <c r="P653" s="9">
        <v>410.66666666666663</v>
      </c>
      <c r="Q653" s="3">
        <v>2.6666666666666665</v>
      </c>
      <c r="R653" s="4">
        <v>160</v>
      </c>
      <c r="S653" s="3">
        <v>94</v>
      </c>
      <c r="T653" s="1">
        <v>0.61309999999999998</v>
      </c>
      <c r="U653" s="6">
        <v>94.417400000000001</v>
      </c>
    </row>
    <row r="654" spans="1:21" x14ac:dyDescent="0.35">
      <c r="A654">
        <v>653</v>
      </c>
      <c r="B654" s="5">
        <v>44849</v>
      </c>
      <c r="C654" s="4">
        <v>2022</v>
      </c>
      <c r="D654" s="4">
        <v>10</v>
      </c>
      <c r="E654" s="14">
        <v>44849</v>
      </c>
      <c r="F654" s="4">
        <v>15</v>
      </c>
      <c r="G654">
        <v>168</v>
      </c>
      <c r="H654">
        <v>163</v>
      </c>
      <c r="I654" s="13">
        <v>0.97</v>
      </c>
      <c r="J654">
        <v>5</v>
      </c>
      <c r="K654" s="2">
        <v>2.4305555555555555E-4</v>
      </c>
      <c r="L654" s="11">
        <v>57.05</v>
      </c>
      <c r="M654" s="3">
        <v>0.35</v>
      </c>
      <c r="N654" s="4">
        <v>21</v>
      </c>
      <c r="O654" s="2">
        <v>1.9560185185185184E-3</v>
      </c>
      <c r="P654" s="9">
        <v>459.11666666666662</v>
      </c>
      <c r="Q654" s="3">
        <v>2.8166666666666664</v>
      </c>
      <c r="R654" s="4">
        <v>169</v>
      </c>
      <c r="S654" s="3">
        <v>115</v>
      </c>
      <c r="T654" s="1">
        <v>0.70660000000000001</v>
      </c>
      <c r="U654" s="6">
        <v>115.1758</v>
      </c>
    </row>
    <row r="655" spans="1:21" x14ac:dyDescent="0.35">
      <c r="A655">
        <v>654</v>
      </c>
      <c r="B655" s="5">
        <v>44850</v>
      </c>
      <c r="C655" s="4">
        <v>2022</v>
      </c>
      <c r="D655" s="4">
        <v>10</v>
      </c>
      <c r="E655" s="14">
        <v>44850</v>
      </c>
      <c r="F655" s="4">
        <v>16</v>
      </c>
      <c r="G655">
        <v>135</v>
      </c>
      <c r="H655">
        <v>128</v>
      </c>
      <c r="I655" s="13">
        <v>0.94</v>
      </c>
      <c r="J655">
        <v>7</v>
      </c>
      <c r="K655" s="2">
        <v>2.0833333333333335E-4</v>
      </c>
      <c r="L655" s="11">
        <v>38.4</v>
      </c>
      <c r="M655" s="3">
        <v>0.3</v>
      </c>
      <c r="N655" s="4">
        <v>18</v>
      </c>
      <c r="O655" s="2">
        <v>1.8055555555555555E-3</v>
      </c>
      <c r="P655" s="9">
        <v>332.8</v>
      </c>
      <c r="Q655" s="3">
        <v>2.6</v>
      </c>
      <c r="R655" s="4">
        <v>156</v>
      </c>
      <c r="S655" s="3">
        <v>92</v>
      </c>
      <c r="T655" s="1">
        <v>0.72589999999999999</v>
      </c>
      <c r="U655" s="6">
        <v>92.915199999999999</v>
      </c>
    </row>
    <row r="656" spans="1:21" x14ac:dyDescent="0.35">
      <c r="A656">
        <v>655</v>
      </c>
      <c r="B656" s="5">
        <v>44851</v>
      </c>
      <c r="C656" s="4">
        <v>2022</v>
      </c>
      <c r="D656" s="4">
        <v>10</v>
      </c>
      <c r="E656" s="14">
        <v>44851</v>
      </c>
      <c r="F656" s="4">
        <v>17</v>
      </c>
      <c r="G656">
        <v>122</v>
      </c>
      <c r="H656">
        <v>113</v>
      </c>
      <c r="I656" s="13">
        <v>0.92</v>
      </c>
      <c r="J656">
        <v>9</v>
      </c>
      <c r="K656" s="2">
        <v>3.4722222222222224E-4</v>
      </c>
      <c r="L656" s="11">
        <v>56.5</v>
      </c>
      <c r="M656" s="3">
        <v>0.5</v>
      </c>
      <c r="N656" s="4">
        <v>30</v>
      </c>
      <c r="O656" s="2">
        <v>1.9560185185185184E-3</v>
      </c>
      <c r="P656" s="9">
        <v>318.2833333333333</v>
      </c>
      <c r="Q656" s="3">
        <v>2.8166666666666664</v>
      </c>
      <c r="R656" s="4">
        <v>169</v>
      </c>
      <c r="S656" s="3">
        <v>69</v>
      </c>
      <c r="T656" s="1">
        <v>0.61160000000000003</v>
      </c>
      <c r="U656" s="6">
        <v>69.110799999999998</v>
      </c>
    </row>
    <row r="657" spans="1:21" x14ac:dyDescent="0.35">
      <c r="A657">
        <v>656</v>
      </c>
      <c r="B657" s="5">
        <v>44852</v>
      </c>
      <c r="C657" s="4">
        <v>2022</v>
      </c>
      <c r="D657" s="4">
        <v>10</v>
      </c>
      <c r="E657" s="14">
        <v>44852</v>
      </c>
      <c r="F657" s="4">
        <v>18</v>
      </c>
      <c r="G657">
        <v>13</v>
      </c>
      <c r="H657">
        <v>12</v>
      </c>
      <c r="I657" s="13">
        <v>0.92</v>
      </c>
      <c r="J657">
        <v>1</v>
      </c>
      <c r="K657" s="2">
        <v>2.7777777777777778E-4</v>
      </c>
      <c r="L657" s="11">
        <v>4.8000000000000007</v>
      </c>
      <c r="M657" s="3">
        <v>0.4</v>
      </c>
      <c r="N657" s="4">
        <v>24</v>
      </c>
      <c r="O657" s="2">
        <v>1.9097222222222222E-3</v>
      </c>
      <c r="P657" s="9">
        <v>33</v>
      </c>
      <c r="Q657" s="3">
        <v>2.75</v>
      </c>
      <c r="R657" s="4">
        <v>165</v>
      </c>
      <c r="S657" s="3">
        <v>8</v>
      </c>
      <c r="T657" s="1">
        <v>0.66669999999999996</v>
      </c>
      <c r="U657" s="6">
        <v>8.0003999999999991</v>
      </c>
    </row>
    <row r="658" spans="1:21" x14ac:dyDescent="0.35">
      <c r="A658">
        <v>657</v>
      </c>
      <c r="B658" s="5">
        <v>44853</v>
      </c>
      <c r="C658" s="4">
        <v>2022</v>
      </c>
      <c r="D658" s="4">
        <v>10</v>
      </c>
      <c r="E658" s="14">
        <v>44853</v>
      </c>
      <c r="F658" s="4">
        <v>19</v>
      </c>
      <c r="G658">
        <v>20</v>
      </c>
      <c r="H658">
        <v>18</v>
      </c>
      <c r="I658" s="13">
        <v>0.9</v>
      </c>
      <c r="J658">
        <v>2</v>
      </c>
      <c r="K658" s="2">
        <v>2.6620370370370372E-4</v>
      </c>
      <c r="L658" s="11">
        <v>6.9</v>
      </c>
      <c r="M658" s="3">
        <v>0.38333333333333336</v>
      </c>
      <c r="N658" s="4">
        <v>23</v>
      </c>
      <c r="O658" s="2">
        <v>1.8865740740740742E-3</v>
      </c>
      <c r="P658" s="9">
        <v>48.900000000000006</v>
      </c>
      <c r="Q658" s="3">
        <v>2.7166666666666668</v>
      </c>
      <c r="R658" s="4">
        <v>163</v>
      </c>
      <c r="S658" s="3">
        <v>13</v>
      </c>
      <c r="T658" s="1">
        <v>0.73680000000000001</v>
      </c>
      <c r="U658" s="6">
        <v>13.2624</v>
      </c>
    </row>
    <row r="659" spans="1:21" x14ac:dyDescent="0.35">
      <c r="A659">
        <v>658</v>
      </c>
      <c r="B659" s="5">
        <v>44854</v>
      </c>
      <c r="C659" s="4">
        <v>2022</v>
      </c>
      <c r="D659" s="4">
        <v>10</v>
      </c>
      <c r="E659" s="14">
        <v>44854</v>
      </c>
      <c r="F659" s="4">
        <v>20</v>
      </c>
      <c r="G659">
        <v>152</v>
      </c>
      <c r="H659">
        <v>141</v>
      </c>
      <c r="I659" s="13">
        <v>0.92</v>
      </c>
      <c r="J659">
        <v>11</v>
      </c>
      <c r="K659" s="2">
        <v>2.5462962962962961E-4</v>
      </c>
      <c r="L659" s="11">
        <v>51.699999999999996</v>
      </c>
      <c r="M659" s="3">
        <v>0.36666666666666664</v>
      </c>
      <c r="N659" s="4">
        <v>22</v>
      </c>
      <c r="O659" s="2">
        <v>1.8634259259259259E-3</v>
      </c>
      <c r="P659" s="9">
        <v>378.35</v>
      </c>
      <c r="Q659" s="3">
        <v>2.6833333333333336</v>
      </c>
      <c r="R659" s="4">
        <v>161</v>
      </c>
      <c r="S659" s="3">
        <v>98</v>
      </c>
      <c r="T659" s="1">
        <v>0.7</v>
      </c>
      <c r="U659" s="6">
        <v>98.699999999999989</v>
      </c>
    </row>
    <row r="660" spans="1:21" x14ac:dyDescent="0.35">
      <c r="A660">
        <v>659</v>
      </c>
      <c r="B660" s="5">
        <v>44855</v>
      </c>
      <c r="C660" s="4">
        <v>2022</v>
      </c>
      <c r="D660" s="4">
        <v>10</v>
      </c>
      <c r="E660" s="14">
        <v>44855</v>
      </c>
      <c r="F660" s="4">
        <v>21</v>
      </c>
      <c r="G660">
        <v>132</v>
      </c>
      <c r="H660">
        <v>131</v>
      </c>
      <c r="I660" s="13">
        <v>0.99</v>
      </c>
      <c r="J660">
        <v>1</v>
      </c>
      <c r="K660" s="2">
        <v>1.3888888888888889E-4</v>
      </c>
      <c r="L660" s="11">
        <v>26.200000000000003</v>
      </c>
      <c r="M660" s="3">
        <v>0.2</v>
      </c>
      <c r="N660" s="4">
        <v>12</v>
      </c>
      <c r="O660" s="2">
        <v>1.8402777777777777E-3</v>
      </c>
      <c r="P660" s="9">
        <v>347.15</v>
      </c>
      <c r="Q660" s="3">
        <v>2.65</v>
      </c>
      <c r="R660" s="4">
        <v>159</v>
      </c>
      <c r="S660" s="3">
        <v>113</v>
      </c>
      <c r="T660" s="1">
        <v>0.87019999999999997</v>
      </c>
      <c r="U660" s="6">
        <v>113.9962</v>
      </c>
    </row>
    <row r="661" spans="1:21" x14ac:dyDescent="0.35">
      <c r="A661">
        <v>660</v>
      </c>
      <c r="B661" s="5">
        <v>44856</v>
      </c>
      <c r="C661" s="4">
        <v>2022</v>
      </c>
      <c r="D661" s="4">
        <v>10</v>
      </c>
      <c r="E661" s="14">
        <v>44856</v>
      </c>
      <c r="F661" s="4">
        <v>22</v>
      </c>
      <c r="G661">
        <v>180</v>
      </c>
      <c r="H661">
        <v>171</v>
      </c>
      <c r="I661" s="13">
        <v>0.95</v>
      </c>
      <c r="J661">
        <v>9</v>
      </c>
      <c r="K661" s="2">
        <v>2.4305555555555555E-4</v>
      </c>
      <c r="L661" s="11">
        <v>59.849999999999994</v>
      </c>
      <c r="M661" s="3">
        <v>0.35</v>
      </c>
      <c r="N661" s="4">
        <v>21</v>
      </c>
      <c r="O661" s="2">
        <v>1.9791666666666668E-3</v>
      </c>
      <c r="P661" s="9">
        <v>487.35</v>
      </c>
      <c r="Q661" s="3">
        <v>2.85</v>
      </c>
      <c r="R661" s="4">
        <v>171</v>
      </c>
      <c r="S661" s="3">
        <v>122</v>
      </c>
      <c r="T661" s="1">
        <v>0.71909999999999996</v>
      </c>
      <c r="U661" s="6">
        <v>122.9661</v>
      </c>
    </row>
    <row r="662" spans="1:21" x14ac:dyDescent="0.35">
      <c r="A662">
        <v>661</v>
      </c>
      <c r="B662" s="5">
        <v>44857</v>
      </c>
      <c r="C662" s="4">
        <v>2022</v>
      </c>
      <c r="D662" s="4">
        <v>10</v>
      </c>
      <c r="E662" s="14">
        <v>44857</v>
      </c>
      <c r="F662" s="4">
        <v>23</v>
      </c>
      <c r="G662">
        <v>193</v>
      </c>
      <c r="H662">
        <v>189</v>
      </c>
      <c r="I662" s="13">
        <v>0.97</v>
      </c>
      <c r="J662">
        <v>4</v>
      </c>
      <c r="K662" s="2">
        <v>1.5046296296296297E-4</v>
      </c>
      <c r="L662" s="11">
        <v>40.950000000000003</v>
      </c>
      <c r="M662" s="3">
        <v>0.21666666666666667</v>
      </c>
      <c r="N662" s="4">
        <v>13</v>
      </c>
      <c r="O662" s="2">
        <v>1.7939814814814815E-3</v>
      </c>
      <c r="P662" s="9">
        <v>488.25</v>
      </c>
      <c r="Q662" s="3">
        <v>2.5833333333333335</v>
      </c>
      <c r="R662" s="4">
        <v>155</v>
      </c>
      <c r="S662" s="3">
        <v>156</v>
      </c>
      <c r="T662" s="1">
        <v>0.82899999999999996</v>
      </c>
      <c r="U662" s="6">
        <v>156.68099999999998</v>
      </c>
    </row>
    <row r="663" spans="1:21" x14ac:dyDescent="0.35">
      <c r="A663">
        <v>662</v>
      </c>
      <c r="B663" s="5">
        <v>44858</v>
      </c>
      <c r="C663" s="4">
        <v>2022</v>
      </c>
      <c r="D663" s="4">
        <v>10</v>
      </c>
      <c r="E663" s="14">
        <v>44858</v>
      </c>
      <c r="F663" s="4">
        <v>24</v>
      </c>
      <c r="G663">
        <v>245</v>
      </c>
      <c r="H663">
        <v>236</v>
      </c>
      <c r="I663" s="13">
        <v>0.96</v>
      </c>
      <c r="J663">
        <v>9</v>
      </c>
      <c r="K663" s="2">
        <v>1.5046296296296297E-4</v>
      </c>
      <c r="L663" s="11">
        <v>51.133333333333333</v>
      </c>
      <c r="M663" s="3">
        <v>0.21666666666666667</v>
      </c>
      <c r="N663" s="4">
        <v>13</v>
      </c>
      <c r="O663" s="2">
        <v>1.8981481481481482E-3</v>
      </c>
      <c r="P663" s="9">
        <v>645.06666666666672</v>
      </c>
      <c r="Q663" s="3">
        <v>2.7333333333333334</v>
      </c>
      <c r="R663" s="4">
        <v>164</v>
      </c>
      <c r="S663" s="3">
        <v>195</v>
      </c>
      <c r="T663" s="1">
        <v>0.82789999999999997</v>
      </c>
      <c r="U663" s="6">
        <v>195.3844</v>
      </c>
    </row>
    <row r="664" spans="1:21" x14ac:dyDescent="0.35">
      <c r="A664">
        <v>663</v>
      </c>
      <c r="B664" s="5">
        <v>44859</v>
      </c>
      <c r="C664" s="4">
        <v>2022</v>
      </c>
      <c r="D664" s="4">
        <v>10</v>
      </c>
      <c r="E664" s="14">
        <v>44859</v>
      </c>
      <c r="F664" s="4">
        <v>25</v>
      </c>
      <c r="G664">
        <v>35</v>
      </c>
      <c r="H664">
        <v>34</v>
      </c>
      <c r="I664" s="13">
        <v>0.97</v>
      </c>
      <c r="J664">
        <v>1</v>
      </c>
      <c r="K664" s="2">
        <v>1.273148148148148E-4</v>
      </c>
      <c r="L664" s="11">
        <v>6.2333333333333325</v>
      </c>
      <c r="M664" s="3">
        <v>0.18333333333333332</v>
      </c>
      <c r="N664" s="4">
        <v>11</v>
      </c>
      <c r="O664" s="2">
        <v>1.5162037037037036E-3</v>
      </c>
      <c r="P664" s="9">
        <v>74.23333333333332</v>
      </c>
      <c r="Q664" s="3">
        <v>2.1833333333333331</v>
      </c>
      <c r="R664" s="4">
        <v>131</v>
      </c>
      <c r="S664" s="3">
        <v>30</v>
      </c>
      <c r="T664" s="1">
        <v>0.88239999999999996</v>
      </c>
      <c r="U664" s="6">
        <v>30.0016</v>
      </c>
    </row>
    <row r="665" spans="1:21" x14ac:dyDescent="0.35">
      <c r="A665">
        <v>664</v>
      </c>
      <c r="B665" s="5">
        <v>44860</v>
      </c>
      <c r="C665" s="4">
        <v>2022</v>
      </c>
      <c r="D665" s="4">
        <v>10</v>
      </c>
      <c r="E665" s="14">
        <v>44860</v>
      </c>
      <c r="F665" s="4">
        <v>26</v>
      </c>
      <c r="G665">
        <v>198</v>
      </c>
      <c r="H665">
        <v>190</v>
      </c>
      <c r="I665" s="13">
        <v>0.95</v>
      </c>
      <c r="J665">
        <v>8</v>
      </c>
      <c r="K665" s="2">
        <v>1.3888888888888889E-4</v>
      </c>
      <c r="L665" s="11">
        <v>38</v>
      </c>
      <c r="M665" s="3">
        <v>0.2</v>
      </c>
      <c r="N665" s="4">
        <v>12</v>
      </c>
      <c r="O665" s="2">
        <v>1.8287037037037037E-3</v>
      </c>
      <c r="P665" s="9">
        <v>500.33333333333331</v>
      </c>
      <c r="Q665" s="3">
        <v>2.6333333333333333</v>
      </c>
      <c r="R665" s="4">
        <v>158</v>
      </c>
      <c r="S665" s="3">
        <v>160</v>
      </c>
      <c r="T665" s="1">
        <v>0.84689999999999999</v>
      </c>
      <c r="U665" s="6">
        <v>160.911</v>
      </c>
    </row>
    <row r="666" spans="1:21" x14ac:dyDescent="0.35">
      <c r="A666">
        <v>665</v>
      </c>
      <c r="B666" s="5">
        <v>44861</v>
      </c>
      <c r="C666" s="4">
        <v>2022</v>
      </c>
      <c r="D666" s="4">
        <v>10</v>
      </c>
      <c r="E666" s="14">
        <v>44861</v>
      </c>
      <c r="F666" s="4">
        <v>27</v>
      </c>
      <c r="G666">
        <v>47</v>
      </c>
      <c r="H666">
        <v>47</v>
      </c>
      <c r="I666" s="13">
        <v>1</v>
      </c>
      <c r="J666">
        <v>0</v>
      </c>
      <c r="K666" s="2">
        <v>6.9444444444444444E-5</v>
      </c>
      <c r="L666" s="11">
        <v>4.7</v>
      </c>
      <c r="M666" s="3">
        <v>0.1</v>
      </c>
      <c r="N666" s="4">
        <v>6</v>
      </c>
      <c r="O666" s="2">
        <v>1.4930555555555556E-3</v>
      </c>
      <c r="P666" s="9">
        <v>101.05</v>
      </c>
      <c r="Q666" s="3">
        <v>2.15</v>
      </c>
      <c r="R666" s="4">
        <v>129</v>
      </c>
      <c r="S666" s="3">
        <v>44</v>
      </c>
      <c r="T666" s="1">
        <v>0.93620000000000003</v>
      </c>
      <c r="U666" s="6">
        <v>44.001400000000004</v>
      </c>
    </row>
    <row r="667" spans="1:21" x14ac:dyDescent="0.35">
      <c r="A667">
        <v>666</v>
      </c>
      <c r="B667" s="5">
        <v>44862</v>
      </c>
      <c r="C667" s="4">
        <v>2022</v>
      </c>
      <c r="D667" s="4">
        <v>10</v>
      </c>
      <c r="E667" s="14">
        <v>44862</v>
      </c>
      <c r="F667" s="4">
        <v>28</v>
      </c>
      <c r="G667">
        <v>187</v>
      </c>
      <c r="H667">
        <v>186</v>
      </c>
      <c r="I667" s="13">
        <v>0.99</v>
      </c>
      <c r="J667">
        <v>1</v>
      </c>
      <c r="K667" s="2">
        <v>8.1018518518518516E-5</v>
      </c>
      <c r="L667" s="11">
        <v>21.7</v>
      </c>
      <c r="M667" s="3">
        <v>0.11666666666666667</v>
      </c>
      <c r="N667" s="4">
        <v>7</v>
      </c>
      <c r="O667" s="2">
        <v>1.736111111111111E-3</v>
      </c>
      <c r="P667" s="9">
        <v>465</v>
      </c>
      <c r="Q667" s="3">
        <v>2.5</v>
      </c>
      <c r="R667" s="4">
        <v>150</v>
      </c>
      <c r="S667" s="3">
        <v>174</v>
      </c>
      <c r="T667" s="1">
        <v>0.93579999999999997</v>
      </c>
      <c r="U667" s="6">
        <v>174.05879999999999</v>
      </c>
    </row>
    <row r="668" spans="1:21" x14ac:dyDescent="0.35">
      <c r="A668">
        <v>667</v>
      </c>
      <c r="B668" s="5">
        <v>44863</v>
      </c>
      <c r="C668" s="4">
        <v>2022</v>
      </c>
      <c r="D668" s="4">
        <v>10</v>
      </c>
      <c r="E668" s="14">
        <v>44863</v>
      </c>
      <c r="F668" s="4">
        <v>29</v>
      </c>
      <c r="G668">
        <v>57</v>
      </c>
      <c r="H668">
        <v>54</v>
      </c>
      <c r="I668" s="13">
        <v>0.94</v>
      </c>
      <c r="J668">
        <v>3</v>
      </c>
      <c r="K668" s="2">
        <v>8.1018518518518516E-5</v>
      </c>
      <c r="L668" s="11">
        <v>6.3</v>
      </c>
      <c r="M668" s="3">
        <v>0.11666666666666667</v>
      </c>
      <c r="N668" s="4">
        <v>7</v>
      </c>
      <c r="O668" s="2">
        <v>1.8171296296296297E-3</v>
      </c>
      <c r="P668" s="9">
        <v>141.30000000000001</v>
      </c>
      <c r="Q668" s="3">
        <v>2.6166666666666667</v>
      </c>
      <c r="R668" s="4">
        <v>157</v>
      </c>
      <c r="S668" s="3">
        <v>49</v>
      </c>
      <c r="T668" s="1">
        <v>0.91069999999999995</v>
      </c>
      <c r="U668" s="6">
        <v>49.177799999999998</v>
      </c>
    </row>
    <row r="669" spans="1:21" x14ac:dyDescent="0.35">
      <c r="A669">
        <v>668</v>
      </c>
      <c r="B669" s="5">
        <v>44864</v>
      </c>
      <c r="C669" s="4">
        <v>2022</v>
      </c>
      <c r="D669" s="4">
        <v>10</v>
      </c>
      <c r="E669" s="14">
        <v>44864</v>
      </c>
      <c r="F669" s="4">
        <v>30</v>
      </c>
      <c r="G669">
        <v>169</v>
      </c>
      <c r="H669">
        <v>162</v>
      </c>
      <c r="I669" s="13">
        <v>0.95</v>
      </c>
      <c r="J669">
        <v>7</v>
      </c>
      <c r="K669" s="2">
        <v>1.0416666666666667E-4</v>
      </c>
      <c r="L669" s="11">
        <v>24.3</v>
      </c>
      <c r="M669" s="3">
        <v>0.15</v>
      </c>
      <c r="N669" s="4">
        <v>9</v>
      </c>
      <c r="O669" s="2">
        <v>1.8402777777777777E-3</v>
      </c>
      <c r="P669" s="9">
        <v>429.3</v>
      </c>
      <c r="Q669" s="3">
        <v>2.65</v>
      </c>
      <c r="R669" s="4">
        <v>159</v>
      </c>
      <c r="S669" s="3">
        <v>142</v>
      </c>
      <c r="T669" s="1">
        <v>0.88170000000000004</v>
      </c>
      <c r="U669" s="6">
        <v>142.83539999999999</v>
      </c>
    </row>
    <row r="670" spans="1:21" x14ac:dyDescent="0.35">
      <c r="A670">
        <v>669</v>
      </c>
      <c r="B670" s="5">
        <v>44865</v>
      </c>
      <c r="C670" s="4">
        <v>2022</v>
      </c>
      <c r="D670" s="4">
        <v>10</v>
      </c>
      <c r="E670" s="14">
        <v>44865</v>
      </c>
      <c r="F670" s="4">
        <v>31</v>
      </c>
      <c r="G670">
        <v>337</v>
      </c>
      <c r="H670">
        <v>316</v>
      </c>
      <c r="I670" s="13">
        <v>0.93</v>
      </c>
      <c r="J670">
        <v>21</v>
      </c>
      <c r="K670" s="2">
        <v>2.6620370370370372E-4</v>
      </c>
      <c r="L670" s="11">
        <v>121.13333333333334</v>
      </c>
      <c r="M670" s="3">
        <v>0.38333333333333336</v>
      </c>
      <c r="N670" s="4">
        <v>23</v>
      </c>
      <c r="O670" s="2">
        <v>1.5393518518518519E-3</v>
      </c>
      <c r="P670" s="9">
        <v>700.4666666666667</v>
      </c>
      <c r="Q670" s="3">
        <v>2.2166666666666668</v>
      </c>
      <c r="R670" s="4">
        <v>133</v>
      </c>
      <c r="S670" s="3">
        <v>230</v>
      </c>
      <c r="T670" s="1">
        <v>0.72919999999999996</v>
      </c>
      <c r="U670" s="6">
        <v>230.4272</v>
      </c>
    </row>
    <row r="671" spans="1:21" x14ac:dyDescent="0.35">
      <c r="A671">
        <v>670</v>
      </c>
      <c r="B671" s="5">
        <v>44866</v>
      </c>
      <c r="C671" s="4">
        <v>2022</v>
      </c>
      <c r="D671" s="4">
        <v>11</v>
      </c>
      <c r="E671" s="14">
        <v>44866</v>
      </c>
      <c r="F671" s="4">
        <v>1</v>
      </c>
      <c r="G671">
        <v>44</v>
      </c>
      <c r="H671">
        <v>43</v>
      </c>
      <c r="I671" s="13">
        <v>0.97</v>
      </c>
      <c r="J671">
        <v>1</v>
      </c>
      <c r="K671" s="2">
        <v>1.0416666666666667E-4</v>
      </c>
      <c r="L671" s="11">
        <v>6.45</v>
      </c>
      <c r="M671" s="3">
        <v>0.15</v>
      </c>
      <c r="N671" s="4">
        <v>9</v>
      </c>
      <c r="O671" s="2">
        <v>1.7939814814814815E-3</v>
      </c>
      <c r="P671" s="9">
        <v>111.08333333333334</v>
      </c>
      <c r="Q671" s="3">
        <v>2.5833333333333335</v>
      </c>
      <c r="R671" s="4">
        <v>155</v>
      </c>
      <c r="S671" s="3">
        <v>36</v>
      </c>
      <c r="T671" s="1">
        <v>0.84089999999999998</v>
      </c>
      <c r="U671" s="6">
        <v>36.158699999999996</v>
      </c>
    </row>
    <row r="672" spans="1:21" x14ac:dyDescent="0.35">
      <c r="A672">
        <v>671</v>
      </c>
      <c r="B672" s="5">
        <v>44867</v>
      </c>
      <c r="C672" s="4">
        <v>2022</v>
      </c>
      <c r="D672" s="4">
        <v>11</v>
      </c>
      <c r="E672" s="14">
        <v>44867</v>
      </c>
      <c r="F672" s="4">
        <v>2</v>
      </c>
      <c r="G672">
        <v>210</v>
      </c>
      <c r="H672">
        <v>206</v>
      </c>
      <c r="I672" s="13">
        <v>0.98</v>
      </c>
      <c r="J672">
        <v>4</v>
      </c>
      <c r="K672" s="2">
        <v>1.3888888888888889E-4</v>
      </c>
      <c r="L672" s="11">
        <v>41.2</v>
      </c>
      <c r="M672" s="3">
        <v>0.2</v>
      </c>
      <c r="N672" s="4">
        <v>12</v>
      </c>
      <c r="O672" s="2">
        <v>1.8402777777777777E-3</v>
      </c>
      <c r="P672" s="9">
        <v>545.9</v>
      </c>
      <c r="Q672" s="3">
        <v>2.65</v>
      </c>
      <c r="R672" s="4">
        <v>159</v>
      </c>
      <c r="S672" s="3">
        <v>179</v>
      </c>
      <c r="T672" s="1">
        <v>0.87080000000000002</v>
      </c>
      <c r="U672" s="6">
        <v>179.38480000000001</v>
      </c>
    </row>
    <row r="673" spans="1:21" x14ac:dyDescent="0.35">
      <c r="A673">
        <v>672</v>
      </c>
      <c r="B673" s="5">
        <v>44868</v>
      </c>
      <c r="C673" s="4">
        <v>2022</v>
      </c>
      <c r="D673" s="4">
        <v>11</v>
      </c>
      <c r="E673" s="14">
        <v>44868</v>
      </c>
      <c r="F673" s="4">
        <v>3</v>
      </c>
      <c r="G673">
        <v>190</v>
      </c>
      <c r="H673">
        <v>186</v>
      </c>
      <c r="I673" s="13">
        <v>0.97</v>
      </c>
      <c r="J673">
        <v>4</v>
      </c>
      <c r="K673" s="2">
        <v>1.9675925925925926E-4</v>
      </c>
      <c r="L673" s="11">
        <v>52.699999999999996</v>
      </c>
      <c r="M673" s="3">
        <v>0.28333333333333333</v>
      </c>
      <c r="N673" s="4">
        <v>17</v>
      </c>
      <c r="O673" s="2">
        <v>1.6435185185185185E-3</v>
      </c>
      <c r="P673" s="9">
        <v>440.2</v>
      </c>
      <c r="Q673" s="3">
        <v>2.3666666666666667</v>
      </c>
      <c r="R673" s="4">
        <v>142</v>
      </c>
      <c r="S673" s="3">
        <v>156</v>
      </c>
      <c r="T673" s="1">
        <v>0.84130000000000005</v>
      </c>
      <c r="U673" s="6">
        <v>156.48180000000002</v>
      </c>
    </row>
    <row r="674" spans="1:21" x14ac:dyDescent="0.35">
      <c r="A674">
        <v>673</v>
      </c>
      <c r="B674" s="5">
        <v>44869</v>
      </c>
      <c r="C674" s="4">
        <v>2022</v>
      </c>
      <c r="D674" s="4">
        <v>11</v>
      </c>
      <c r="E674" s="14">
        <v>44869</v>
      </c>
      <c r="F674" s="4">
        <v>4</v>
      </c>
      <c r="G674">
        <v>190</v>
      </c>
      <c r="H674">
        <v>182</v>
      </c>
      <c r="I674" s="13">
        <v>0.95</v>
      </c>
      <c r="J674">
        <v>8</v>
      </c>
      <c r="K674" s="2">
        <v>1.1574074074074075E-4</v>
      </c>
      <c r="L674" s="11">
        <v>30.333333333333332</v>
      </c>
      <c r="M674" s="3">
        <v>0.16666666666666666</v>
      </c>
      <c r="N674" s="4">
        <v>10</v>
      </c>
      <c r="O674" s="2">
        <v>1.8518518518518519E-3</v>
      </c>
      <c r="P674" s="9">
        <v>485.33333333333331</v>
      </c>
      <c r="Q674" s="3">
        <v>2.6666666666666665</v>
      </c>
      <c r="R674" s="4">
        <v>160</v>
      </c>
      <c r="S674" s="3">
        <v>158</v>
      </c>
      <c r="T674" s="1">
        <v>0.87029999999999996</v>
      </c>
      <c r="U674" s="6">
        <v>158.3946</v>
      </c>
    </row>
    <row r="675" spans="1:21" x14ac:dyDescent="0.35">
      <c r="A675">
        <v>674</v>
      </c>
      <c r="B675" s="5">
        <v>44870</v>
      </c>
      <c r="C675" s="4">
        <v>2022</v>
      </c>
      <c r="D675" s="4">
        <v>11</v>
      </c>
      <c r="E675" s="14">
        <v>44870</v>
      </c>
      <c r="F675" s="4">
        <v>5</v>
      </c>
      <c r="G675">
        <v>169</v>
      </c>
      <c r="H675">
        <v>168</v>
      </c>
      <c r="I675" s="13">
        <v>0.99</v>
      </c>
      <c r="J675">
        <v>1</v>
      </c>
      <c r="K675" s="2">
        <v>1.273148148148148E-4</v>
      </c>
      <c r="L675" s="11">
        <v>30.799999999999997</v>
      </c>
      <c r="M675" s="3">
        <v>0.18333333333333332</v>
      </c>
      <c r="N675" s="4">
        <v>11</v>
      </c>
      <c r="O675" s="2">
        <v>1.6782407407407408E-3</v>
      </c>
      <c r="P675" s="9">
        <v>406</v>
      </c>
      <c r="Q675" s="3">
        <v>2.4166666666666665</v>
      </c>
      <c r="R675" s="4">
        <v>145</v>
      </c>
      <c r="S675" s="3">
        <v>148</v>
      </c>
      <c r="T675" s="1">
        <v>0.88170000000000004</v>
      </c>
      <c r="U675" s="6">
        <v>148.12560000000002</v>
      </c>
    </row>
    <row r="676" spans="1:21" x14ac:dyDescent="0.35">
      <c r="A676">
        <v>675</v>
      </c>
      <c r="B676" s="5">
        <v>44871</v>
      </c>
      <c r="C676" s="4">
        <v>2022</v>
      </c>
      <c r="D676" s="4">
        <v>11</v>
      </c>
      <c r="E676" s="14">
        <v>44871</v>
      </c>
      <c r="F676" s="4">
        <v>6</v>
      </c>
      <c r="G676">
        <v>52</v>
      </c>
      <c r="H676">
        <v>50</v>
      </c>
      <c r="I676" s="13">
        <v>0.96</v>
      </c>
      <c r="J676">
        <v>2</v>
      </c>
      <c r="K676" s="2">
        <v>6.9444444444444444E-5</v>
      </c>
      <c r="L676" s="11">
        <v>5</v>
      </c>
      <c r="M676" s="3">
        <v>0.1</v>
      </c>
      <c r="N676" s="4">
        <v>6</v>
      </c>
      <c r="O676" s="2">
        <v>1.7824074074074075E-3</v>
      </c>
      <c r="P676" s="9">
        <v>128.33333333333331</v>
      </c>
      <c r="Q676" s="3">
        <v>2.5666666666666664</v>
      </c>
      <c r="R676" s="4">
        <v>154</v>
      </c>
      <c r="S676" s="3">
        <v>46</v>
      </c>
      <c r="T676" s="1">
        <v>0.92159999999999997</v>
      </c>
      <c r="U676" s="6">
        <v>46.08</v>
      </c>
    </row>
    <row r="677" spans="1:21" x14ac:dyDescent="0.35">
      <c r="A677">
        <v>676</v>
      </c>
      <c r="B677" s="5">
        <v>44872</v>
      </c>
      <c r="C677" s="4">
        <v>2022</v>
      </c>
      <c r="D677" s="4">
        <v>11</v>
      </c>
      <c r="E677" s="14">
        <v>44872</v>
      </c>
      <c r="F677" s="4">
        <v>7</v>
      </c>
      <c r="G677">
        <v>144</v>
      </c>
      <c r="H677">
        <v>137</v>
      </c>
      <c r="I677" s="13">
        <v>0.95</v>
      </c>
      <c r="J677">
        <v>7</v>
      </c>
      <c r="K677" s="2">
        <v>1.6203703703703703E-4</v>
      </c>
      <c r="L677" s="11">
        <v>31.966666666666669</v>
      </c>
      <c r="M677" s="3">
        <v>0.23333333333333334</v>
      </c>
      <c r="N677" s="4">
        <v>14</v>
      </c>
      <c r="O677" s="2">
        <v>1.8055555555555555E-3</v>
      </c>
      <c r="P677" s="9">
        <v>356.2</v>
      </c>
      <c r="Q677" s="3">
        <v>2.6</v>
      </c>
      <c r="R677" s="4">
        <v>156</v>
      </c>
      <c r="S677" s="3">
        <v>105</v>
      </c>
      <c r="T677" s="1">
        <v>0.77080000000000004</v>
      </c>
      <c r="U677" s="6">
        <v>105.59960000000001</v>
      </c>
    </row>
    <row r="678" spans="1:21" x14ac:dyDescent="0.35">
      <c r="A678">
        <v>677</v>
      </c>
      <c r="B678" s="5">
        <v>44873</v>
      </c>
      <c r="C678" s="4">
        <v>2022</v>
      </c>
      <c r="D678" s="4">
        <v>11</v>
      </c>
      <c r="E678" s="14">
        <v>44873</v>
      </c>
      <c r="F678" s="4">
        <v>8</v>
      </c>
      <c r="G678">
        <v>36</v>
      </c>
      <c r="H678">
        <v>36</v>
      </c>
      <c r="I678" s="13">
        <v>1</v>
      </c>
      <c r="J678">
        <v>0</v>
      </c>
      <c r="K678" s="2">
        <v>1.7361111111111112E-4</v>
      </c>
      <c r="L678" s="11">
        <v>9</v>
      </c>
      <c r="M678" s="3">
        <v>0.25</v>
      </c>
      <c r="N678" s="4">
        <v>15</v>
      </c>
      <c r="O678" s="2">
        <v>2.0023148148148148E-3</v>
      </c>
      <c r="P678" s="9">
        <v>103.8</v>
      </c>
      <c r="Q678" s="3">
        <v>2.8833333333333333</v>
      </c>
      <c r="R678" s="4">
        <v>173</v>
      </c>
      <c r="S678" s="3">
        <v>29</v>
      </c>
      <c r="T678" s="1">
        <v>0.80559999999999998</v>
      </c>
      <c r="U678" s="6">
        <v>29.0016</v>
      </c>
    </row>
    <row r="679" spans="1:21" x14ac:dyDescent="0.35">
      <c r="A679">
        <v>678</v>
      </c>
      <c r="B679" s="5">
        <v>44874</v>
      </c>
      <c r="C679" s="4">
        <v>2022</v>
      </c>
      <c r="D679" s="4">
        <v>11</v>
      </c>
      <c r="E679" s="14">
        <v>44874</v>
      </c>
      <c r="F679" s="4">
        <v>9</v>
      </c>
      <c r="G679">
        <v>155</v>
      </c>
      <c r="H679">
        <v>148</v>
      </c>
      <c r="I679" s="13">
        <v>0.95</v>
      </c>
      <c r="J679">
        <v>7</v>
      </c>
      <c r="K679" s="2">
        <v>1.6203703703703703E-4</v>
      </c>
      <c r="L679" s="11">
        <v>34.533333333333331</v>
      </c>
      <c r="M679" s="3">
        <v>0.23333333333333334</v>
      </c>
      <c r="N679" s="4">
        <v>14</v>
      </c>
      <c r="O679" s="2">
        <v>1.6898148148148148E-3</v>
      </c>
      <c r="P679" s="9">
        <v>360.13333333333338</v>
      </c>
      <c r="Q679" s="3">
        <v>2.4333333333333336</v>
      </c>
      <c r="R679" s="4">
        <v>146</v>
      </c>
      <c r="S679" s="3">
        <v>120</v>
      </c>
      <c r="T679" s="1">
        <v>0.81289999999999996</v>
      </c>
      <c r="U679" s="6">
        <v>120.30919999999999</v>
      </c>
    </row>
    <row r="680" spans="1:21" x14ac:dyDescent="0.35">
      <c r="A680">
        <v>679</v>
      </c>
      <c r="B680" s="5">
        <v>44875</v>
      </c>
      <c r="C680" s="4">
        <v>2022</v>
      </c>
      <c r="D680" s="4">
        <v>11</v>
      </c>
      <c r="E680" s="14">
        <v>44875</v>
      </c>
      <c r="F680" s="4">
        <v>10</v>
      </c>
      <c r="G680">
        <v>159</v>
      </c>
      <c r="H680">
        <v>154</v>
      </c>
      <c r="I680" s="13">
        <v>0.96</v>
      </c>
      <c r="J680">
        <v>5</v>
      </c>
      <c r="K680" s="2">
        <v>1.8518518518518518E-4</v>
      </c>
      <c r="L680" s="11">
        <v>41.066666666666663</v>
      </c>
      <c r="M680" s="3">
        <v>0.26666666666666666</v>
      </c>
      <c r="N680" s="4">
        <v>16</v>
      </c>
      <c r="O680" s="2">
        <v>1.8634259259259259E-3</v>
      </c>
      <c r="P680" s="9">
        <v>413.23333333333335</v>
      </c>
      <c r="Q680" s="3">
        <v>2.6833333333333336</v>
      </c>
      <c r="R680" s="4">
        <v>161</v>
      </c>
      <c r="S680" s="3">
        <v>121</v>
      </c>
      <c r="T680" s="1">
        <v>0.78620000000000001</v>
      </c>
      <c r="U680" s="6">
        <v>121.0748</v>
      </c>
    </row>
    <row r="681" spans="1:21" x14ac:dyDescent="0.35">
      <c r="A681">
        <v>680</v>
      </c>
      <c r="B681" s="5">
        <v>44876</v>
      </c>
      <c r="C681" s="4">
        <v>2022</v>
      </c>
      <c r="D681" s="4">
        <v>11</v>
      </c>
      <c r="E681" s="14">
        <v>44876</v>
      </c>
      <c r="F681" s="4">
        <v>11</v>
      </c>
      <c r="G681">
        <v>115</v>
      </c>
      <c r="H681">
        <v>110</v>
      </c>
      <c r="I681" s="13">
        <v>0.95</v>
      </c>
      <c r="J681">
        <v>5</v>
      </c>
      <c r="K681" s="2">
        <v>1.6203703703703703E-4</v>
      </c>
      <c r="L681" s="11">
        <v>25.666666666666668</v>
      </c>
      <c r="M681" s="3">
        <v>0.23333333333333334</v>
      </c>
      <c r="N681" s="4">
        <v>14</v>
      </c>
      <c r="O681" s="2">
        <v>1.712962962962963E-3</v>
      </c>
      <c r="P681" s="9">
        <v>271.33333333333337</v>
      </c>
      <c r="Q681" s="3">
        <v>2.4666666666666668</v>
      </c>
      <c r="R681" s="4">
        <v>148</v>
      </c>
      <c r="S681" s="3">
        <v>91</v>
      </c>
      <c r="T681" s="1">
        <v>0.83189999999999997</v>
      </c>
      <c r="U681" s="6">
        <v>91.509</v>
      </c>
    </row>
    <row r="682" spans="1:21" x14ac:dyDescent="0.35">
      <c r="A682">
        <v>681</v>
      </c>
      <c r="B682" s="5">
        <v>44877</v>
      </c>
      <c r="C682" s="4">
        <v>2022</v>
      </c>
      <c r="D682" s="4">
        <v>11</v>
      </c>
      <c r="E682" s="14">
        <v>44877</v>
      </c>
      <c r="F682" s="4">
        <v>12</v>
      </c>
      <c r="G682">
        <v>186</v>
      </c>
      <c r="H682">
        <v>173</v>
      </c>
      <c r="I682" s="13">
        <v>0.93</v>
      </c>
      <c r="J682">
        <v>13</v>
      </c>
      <c r="K682" s="2">
        <v>2.199074074074074E-4</v>
      </c>
      <c r="L682" s="11">
        <v>54.783333333333331</v>
      </c>
      <c r="M682" s="3">
        <v>0.31666666666666665</v>
      </c>
      <c r="N682" s="4">
        <v>19</v>
      </c>
      <c r="O682" s="2">
        <v>1.8402777777777777E-3</v>
      </c>
      <c r="P682" s="9">
        <v>458.45</v>
      </c>
      <c r="Q682" s="3">
        <v>2.65</v>
      </c>
      <c r="R682" s="4">
        <v>159</v>
      </c>
      <c r="S682" s="3">
        <v>127</v>
      </c>
      <c r="T682" s="1">
        <v>0.73509999999999998</v>
      </c>
      <c r="U682" s="6">
        <v>127.17229999999999</v>
      </c>
    </row>
    <row r="683" spans="1:21" x14ac:dyDescent="0.35">
      <c r="A683">
        <v>682</v>
      </c>
      <c r="B683" s="5">
        <v>44878</v>
      </c>
      <c r="C683" s="4">
        <v>2022</v>
      </c>
      <c r="D683" s="4">
        <v>11</v>
      </c>
      <c r="E683" s="14">
        <v>44878</v>
      </c>
      <c r="F683" s="4">
        <v>13</v>
      </c>
      <c r="G683">
        <v>167</v>
      </c>
      <c r="H683">
        <v>157</v>
      </c>
      <c r="I683" s="13">
        <v>0.94</v>
      </c>
      <c r="J683">
        <v>10</v>
      </c>
      <c r="K683" s="2">
        <v>2.6620370370370372E-4</v>
      </c>
      <c r="L683" s="11">
        <v>60.183333333333337</v>
      </c>
      <c r="M683" s="3">
        <v>0.38333333333333336</v>
      </c>
      <c r="N683" s="4">
        <v>23</v>
      </c>
      <c r="O683" s="2">
        <v>1.7592592592592592E-3</v>
      </c>
      <c r="P683" s="9">
        <v>397.73333333333329</v>
      </c>
      <c r="Q683" s="3">
        <v>2.5333333333333332</v>
      </c>
      <c r="R683" s="4">
        <v>152</v>
      </c>
      <c r="S683" s="3">
        <v>106</v>
      </c>
      <c r="T683" s="1">
        <v>0.67679999999999996</v>
      </c>
      <c r="U683" s="6">
        <v>106.2576</v>
      </c>
    </row>
    <row r="684" spans="1:21" x14ac:dyDescent="0.35">
      <c r="A684">
        <v>683</v>
      </c>
      <c r="B684" s="5">
        <v>44879</v>
      </c>
      <c r="C684" s="4">
        <v>2022</v>
      </c>
      <c r="D684" s="4">
        <v>11</v>
      </c>
      <c r="E684" s="14">
        <v>44879</v>
      </c>
      <c r="F684" s="4">
        <v>14</v>
      </c>
      <c r="G684">
        <v>146</v>
      </c>
      <c r="H684">
        <v>142</v>
      </c>
      <c r="I684" s="13">
        <v>0.97</v>
      </c>
      <c r="J684">
        <v>4</v>
      </c>
      <c r="K684" s="2">
        <v>2.5462962962962961E-4</v>
      </c>
      <c r="L684" s="11">
        <v>52.066666666666663</v>
      </c>
      <c r="M684" s="3">
        <v>0.36666666666666664</v>
      </c>
      <c r="N684" s="4">
        <v>22</v>
      </c>
      <c r="O684" s="2">
        <v>1.8749999999999999E-3</v>
      </c>
      <c r="P684" s="9">
        <v>383.40000000000003</v>
      </c>
      <c r="Q684" s="3">
        <v>2.7</v>
      </c>
      <c r="R684" s="4">
        <v>162</v>
      </c>
      <c r="S684" s="3">
        <v>94</v>
      </c>
      <c r="T684" s="1">
        <v>0.66900000000000004</v>
      </c>
      <c r="U684" s="6">
        <v>94.998000000000005</v>
      </c>
    </row>
    <row r="685" spans="1:21" x14ac:dyDescent="0.35">
      <c r="A685">
        <v>684</v>
      </c>
      <c r="B685" s="5">
        <v>44880</v>
      </c>
      <c r="C685" s="4">
        <v>2022</v>
      </c>
      <c r="D685" s="4">
        <v>11</v>
      </c>
      <c r="E685" s="14">
        <v>44880</v>
      </c>
      <c r="F685" s="4">
        <v>15</v>
      </c>
      <c r="G685">
        <v>41</v>
      </c>
      <c r="H685">
        <v>31</v>
      </c>
      <c r="I685" s="13">
        <v>0.75</v>
      </c>
      <c r="J685">
        <v>10</v>
      </c>
      <c r="K685" s="2">
        <v>4.5138888888888887E-4</v>
      </c>
      <c r="L685" s="11">
        <v>20.150000000000002</v>
      </c>
      <c r="M685" s="3">
        <v>0.65</v>
      </c>
      <c r="N685" s="4">
        <v>39</v>
      </c>
      <c r="O685" s="2">
        <v>2.5810185185185185E-3</v>
      </c>
      <c r="P685" s="9">
        <v>115.21666666666667</v>
      </c>
      <c r="Q685" s="3">
        <v>3.7166666666666668</v>
      </c>
      <c r="R685" s="4">
        <v>223</v>
      </c>
      <c r="S685" s="3">
        <v>15</v>
      </c>
      <c r="T685" s="1">
        <v>0.48780000000000001</v>
      </c>
      <c r="U685" s="6">
        <v>15.1218</v>
      </c>
    </row>
    <row r="686" spans="1:21" x14ac:dyDescent="0.35">
      <c r="A686">
        <v>685</v>
      </c>
      <c r="B686" s="5">
        <v>44881</v>
      </c>
      <c r="C686" s="4">
        <v>2022</v>
      </c>
      <c r="D686" s="4">
        <v>11</v>
      </c>
      <c r="E686" s="14">
        <v>44881</v>
      </c>
      <c r="F686" s="4">
        <v>16</v>
      </c>
      <c r="G686">
        <v>185</v>
      </c>
      <c r="H686">
        <v>85</v>
      </c>
      <c r="I686" s="13">
        <v>0.45</v>
      </c>
      <c r="J686">
        <v>100</v>
      </c>
      <c r="K686" s="2">
        <v>1.261574074074074E-3</v>
      </c>
      <c r="L686" s="11">
        <v>154.41666666666666</v>
      </c>
      <c r="M686" s="3">
        <v>1.8166666666666667</v>
      </c>
      <c r="N686" s="4">
        <v>109</v>
      </c>
      <c r="O686" s="2">
        <v>1.9212962962962964E-3</v>
      </c>
      <c r="P686" s="9">
        <v>235.16666666666666</v>
      </c>
      <c r="Q686" s="3">
        <v>2.7666666666666666</v>
      </c>
      <c r="R686" s="4">
        <v>166</v>
      </c>
      <c r="S686" s="3">
        <v>3</v>
      </c>
      <c r="T686" s="1">
        <v>3.7999999999999999E-2</v>
      </c>
      <c r="U686" s="6">
        <v>3.23</v>
      </c>
    </row>
    <row r="687" spans="1:21" x14ac:dyDescent="0.35">
      <c r="A687">
        <v>686</v>
      </c>
      <c r="B687" s="5">
        <v>44882</v>
      </c>
      <c r="C687" s="4">
        <v>2022</v>
      </c>
      <c r="D687" s="4">
        <v>11</v>
      </c>
      <c r="E687" s="14">
        <v>44882</v>
      </c>
      <c r="F687" s="4">
        <v>17</v>
      </c>
      <c r="G687">
        <v>149</v>
      </c>
      <c r="H687">
        <v>83</v>
      </c>
      <c r="I687" s="13">
        <v>0.55000000000000004</v>
      </c>
      <c r="J687">
        <v>66</v>
      </c>
      <c r="K687" s="2">
        <v>1.1342592592592593E-3</v>
      </c>
      <c r="L687" s="11">
        <v>135.56666666666666</v>
      </c>
      <c r="M687" s="3">
        <v>1.6333333333333333</v>
      </c>
      <c r="N687" s="4">
        <v>98</v>
      </c>
      <c r="O687" s="2">
        <v>1.5972222222222223E-3</v>
      </c>
      <c r="P687" s="9">
        <v>190.89999999999998</v>
      </c>
      <c r="Q687" s="3">
        <v>2.2999999999999998</v>
      </c>
      <c r="R687" s="4">
        <v>138</v>
      </c>
      <c r="S687" s="3">
        <v>4</v>
      </c>
      <c r="T687" s="1">
        <v>4.8300000000000003E-2</v>
      </c>
      <c r="U687" s="6">
        <v>4.0089000000000006</v>
      </c>
    </row>
    <row r="688" spans="1:21" x14ac:dyDescent="0.35">
      <c r="A688">
        <v>687</v>
      </c>
      <c r="B688" s="5">
        <v>44883</v>
      </c>
      <c r="C688" s="4">
        <v>2022</v>
      </c>
      <c r="D688" s="4">
        <v>11</v>
      </c>
      <c r="E688" s="14">
        <v>44883</v>
      </c>
      <c r="F688" s="4">
        <v>18</v>
      </c>
      <c r="G688">
        <v>180</v>
      </c>
      <c r="H688">
        <v>115</v>
      </c>
      <c r="I688" s="13">
        <v>0.63</v>
      </c>
      <c r="J688">
        <v>65</v>
      </c>
      <c r="K688" s="2">
        <v>7.407407407407407E-4</v>
      </c>
      <c r="L688" s="11">
        <v>122.66666666666667</v>
      </c>
      <c r="M688" s="3">
        <v>1.0666666666666667</v>
      </c>
      <c r="N688" s="4">
        <v>64</v>
      </c>
      <c r="O688" s="2">
        <v>1.7708333333333332E-3</v>
      </c>
      <c r="P688" s="9">
        <v>293.25</v>
      </c>
      <c r="Q688" s="3">
        <v>2.5499999999999998</v>
      </c>
      <c r="R688" s="4">
        <v>153</v>
      </c>
      <c r="S688" s="3">
        <v>27</v>
      </c>
      <c r="T688" s="1">
        <v>0.23860000000000001</v>
      </c>
      <c r="U688" s="6">
        <v>27.439</v>
      </c>
    </row>
    <row r="689" spans="1:21" x14ac:dyDescent="0.35">
      <c r="A689">
        <v>688</v>
      </c>
      <c r="B689" s="5">
        <v>44884</v>
      </c>
      <c r="C689" s="4">
        <v>2022</v>
      </c>
      <c r="D689" s="4">
        <v>11</v>
      </c>
      <c r="E689" s="14">
        <v>44884</v>
      </c>
      <c r="F689" s="4">
        <v>19</v>
      </c>
      <c r="G689">
        <v>173</v>
      </c>
      <c r="H689">
        <v>144</v>
      </c>
      <c r="I689" s="13">
        <v>0.83</v>
      </c>
      <c r="J689">
        <v>29</v>
      </c>
      <c r="K689" s="2">
        <v>4.3981481481481481E-4</v>
      </c>
      <c r="L689" s="11">
        <v>91.199999999999989</v>
      </c>
      <c r="M689" s="3">
        <v>0.6333333333333333</v>
      </c>
      <c r="N689" s="4">
        <v>38</v>
      </c>
      <c r="O689" s="2">
        <v>2.0833333333333333E-3</v>
      </c>
      <c r="P689" s="9">
        <v>432</v>
      </c>
      <c r="Q689" s="3">
        <v>3</v>
      </c>
      <c r="R689" s="4">
        <v>180</v>
      </c>
      <c r="S689" s="3">
        <v>66</v>
      </c>
      <c r="T689" s="1">
        <v>0.4647</v>
      </c>
      <c r="U689" s="6">
        <v>66.916799999999995</v>
      </c>
    </row>
    <row r="690" spans="1:21" x14ac:dyDescent="0.35">
      <c r="A690">
        <v>689</v>
      </c>
      <c r="B690" s="5">
        <v>44885</v>
      </c>
      <c r="C690" s="4">
        <v>2022</v>
      </c>
      <c r="D690" s="4">
        <v>11</v>
      </c>
      <c r="E690" s="14">
        <v>44885</v>
      </c>
      <c r="F690" s="4">
        <v>20</v>
      </c>
      <c r="G690">
        <v>176</v>
      </c>
      <c r="H690">
        <v>158</v>
      </c>
      <c r="I690" s="13">
        <v>0.89</v>
      </c>
      <c r="J690">
        <v>18</v>
      </c>
      <c r="K690" s="2">
        <v>2.3148148148148149E-4</v>
      </c>
      <c r="L690" s="11">
        <v>52.666666666666664</v>
      </c>
      <c r="M690" s="3">
        <v>0.33333333333333331</v>
      </c>
      <c r="N690" s="4">
        <v>20</v>
      </c>
      <c r="O690" s="2">
        <v>1.7708333333333332E-3</v>
      </c>
      <c r="P690" s="9">
        <v>402.9</v>
      </c>
      <c r="Q690" s="3">
        <v>2.5499999999999998</v>
      </c>
      <c r="R690" s="4">
        <v>153</v>
      </c>
      <c r="S690" s="3">
        <v>111</v>
      </c>
      <c r="T690" s="1">
        <v>0.70350000000000001</v>
      </c>
      <c r="U690" s="6">
        <v>111.15300000000001</v>
      </c>
    </row>
    <row r="691" spans="1:21" x14ac:dyDescent="0.35">
      <c r="A691">
        <v>690</v>
      </c>
      <c r="B691" s="5">
        <v>44886</v>
      </c>
      <c r="C691" s="4">
        <v>2022</v>
      </c>
      <c r="D691" s="4">
        <v>11</v>
      </c>
      <c r="E691" s="14">
        <v>44886</v>
      </c>
      <c r="F691" s="4">
        <v>21</v>
      </c>
      <c r="G691">
        <v>147</v>
      </c>
      <c r="H691">
        <v>120</v>
      </c>
      <c r="I691" s="13">
        <v>0.81</v>
      </c>
      <c r="J691">
        <v>27</v>
      </c>
      <c r="K691" s="2">
        <v>5.3240740740740744E-4</v>
      </c>
      <c r="L691" s="11">
        <v>92</v>
      </c>
      <c r="M691" s="3">
        <v>0.76666666666666672</v>
      </c>
      <c r="N691" s="4">
        <v>46</v>
      </c>
      <c r="O691" s="2">
        <v>1.8402777777777777E-3</v>
      </c>
      <c r="P691" s="9">
        <v>318</v>
      </c>
      <c r="Q691" s="3">
        <v>2.65</v>
      </c>
      <c r="R691" s="4">
        <v>159</v>
      </c>
      <c r="S691" s="3">
        <v>47</v>
      </c>
      <c r="T691" s="1">
        <v>0.39729999999999999</v>
      </c>
      <c r="U691" s="6">
        <v>47.676000000000002</v>
      </c>
    </row>
    <row r="692" spans="1:21" x14ac:dyDescent="0.35">
      <c r="A692">
        <v>691</v>
      </c>
      <c r="B692" s="5">
        <v>44887</v>
      </c>
      <c r="C692" s="4">
        <v>2022</v>
      </c>
      <c r="D692" s="4">
        <v>11</v>
      </c>
      <c r="E692" s="14">
        <v>44887</v>
      </c>
      <c r="F692" s="4">
        <v>22</v>
      </c>
      <c r="G692">
        <v>84</v>
      </c>
      <c r="H692">
        <v>77</v>
      </c>
      <c r="I692" s="13">
        <v>0.91</v>
      </c>
      <c r="J692">
        <v>7</v>
      </c>
      <c r="K692" s="2">
        <v>1.9675925925925926E-4</v>
      </c>
      <c r="L692" s="11">
        <v>21.816666666666666</v>
      </c>
      <c r="M692" s="3">
        <v>0.28333333333333333</v>
      </c>
      <c r="N692" s="4">
        <v>17</v>
      </c>
      <c r="O692" s="2">
        <v>1.4699074074074074E-3</v>
      </c>
      <c r="P692" s="9">
        <v>162.98333333333335</v>
      </c>
      <c r="Q692" s="3">
        <v>2.1166666666666667</v>
      </c>
      <c r="R692" s="4">
        <v>127</v>
      </c>
      <c r="S692" s="3">
        <v>56</v>
      </c>
      <c r="T692" s="1">
        <v>0.7349</v>
      </c>
      <c r="U692" s="6">
        <v>56.587299999999999</v>
      </c>
    </row>
    <row r="693" spans="1:21" x14ac:dyDescent="0.35">
      <c r="A693">
        <v>692</v>
      </c>
      <c r="B693" s="5">
        <v>44888</v>
      </c>
      <c r="C693" s="4">
        <v>2022</v>
      </c>
      <c r="D693" s="4">
        <v>11</v>
      </c>
      <c r="E693" s="14">
        <v>44888</v>
      </c>
      <c r="F693" s="4">
        <v>23</v>
      </c>
      <c r="G693">
        <v>325</v>
      </c>
      <c r="H693">
        <v>78</v>
      </c>
      <c r="I693" s="13">
        <v>0.24</v>
      </c>
      <c r="J693">
        <v>247</v>
      </c>
      <c r="K693" s="2">
        <v>2.2337962962962962E-3</v>
      </c>
      <c r="L693" s="11">
        <v>250.9</v>
      </c>
      <c r="M693" s="3">
        <v>3.2166666666666668</v>
      </c>
      <c r="N693" s="4">
        <v>193</v>
      </c>
      <c r="O693" s="2">
        <v>2.0949074074074073E-3</v>
      </c>
      <c r="P693" s="9">
        <v>235.29999999999998</v>
      </c>
      <c r="Q693" s="3">
        <v>3.0166666666666666</v>
      </c>
      <c r="R693" s="4">
        <v>181</v>
      </c>
      <c r="S693" s="3">
        <v>0</v>
      </c>
      <c r="T693" s="1">
        <v>0</v>
      </c>
      <c r="U693" s="6">
        <v>0</v>
      </c>
    </row>
    <row r="694" spans="1:21" x14ac:dyDescent="0.35">
      <c r="A694">
        <v>693</v>
      </c>
      <c r="B694" s="5">
        <v>44889</v>
      </c>
      <c r="C694" s="4">
        <v>2022</v>
      </c>
      <c r="D694" s="4">
        <v>11</v>
      </c>
      <c r="E694" s="14">
        <v>44889</v>
      </c>
      <c r="F694" s="4">
        <v>24</v>
      </c>
      <c r="G694">
        <v>441</v>
      </c>
      <c r="H694">
        <v>103</v>
      </c>
      <c r="I694" s="13">
        <v>0.23</v>
      </c>
      <c r="J694">
        <v>338</v>
      </c>
      <c r="K694" s="2">
        <v>2.8240740740740739E-3</v>
      </c>
      <c r="L694" s="11">
        <v>418.86666666666662</v>
      </c>
      <c r="M694" s="3">
        <v>4.0666666666666664</v>
      </c>
      <c r="N694" s="4">
        <v>244</v>
      </c>
      <c r="O694" s="2">
        <v>1.8865740740740742E-3</v>
      </c>
      <c r="P694" s="9">
        <v>279.81666666666666</v>
      </c>
      <c r="Q694" s="3">
        <v>2.7166666666666668</v>
      </c>
      <c r="R694" s="4">
        <v>163</v>
      </c>
      <c r="S694" s="3">
        <v>0</v>
      </c>
      <c r="T694" s="1">
        <v>2.3E-3</v>
      </c>
      <c r="U694" s="6">
        <v>0.2369</v>
      </c>
    </row>
    <row r="695" spans="1:21" x14ac:dyDescent="0.35">
      <c r="A695">
        <v>694</v>
      </c>
      <c r="B695" s="5">
        <v>44890</v>
      </c>
      <c r="C695" s="4">
        <v>2022</v>
      </c>
      <c r="D695" s="4">
        <v>11</v>
      </c>
      <c r="E695" s="14">
        <v>44890</v>
      </c>
      <c r="F695" s="4">
        <v>25</v>
      </c>
      <c r="G695">
        <v>525</v>
      </c>
      <c r="H695">
        <v>116</v>
      </c>
      <c r="I695" s="13">
        <v>0.22</v>
      </c>
      <c r="J695">
        <v>409</v>
      </c>
      <c r="K695" s="2">
        <v>3.5648148148148149E-3</v>
      </c>
      <c r="L695" s="11">
        <v>595.4666666666667</v>
      </c>
      <c r="M695" s="3">
        <v>5.1333333333333337</v>
      </c>
      <c r="N695" s="4">
        <v>308</v>
      </c>
      <c r="O695" s="2">
        <v>2.1759259259259258E-3</v>
      </c>
      <c r="P695" s="9">
        <v>363.46666666666664</v>
      </c>
      <c r="Q695" s="3">
        <v>3.1333333333333333</v>
      </c>
      <c r="R695" s="4">
        <v>188</v>
      </c>
      <c r="S695" s="3">
        <v>0</v>
      </c>
      <c r="T695" s="1">
        <v>0</v>
      </c>
      <c r="U695" s="6">
        <v>0</v>
      </c>
    </row>
    <row r="696" spans="1:21" x14ac:dyDescent="0.35">
      <c r="A696">
        <v>695</v>
      </c>
      <c r="B696" s="5">
        <v>44891</v>
      </c>
      <c r="C696" s="4">
        <v>2022</v>
      </c>
      <c r="D696" s="4">
        <v>11</v>
      </c>
      <c r="E696" s="14">
        <v>44891</v>
      </c>
      <c r="F696" s="4">
        <v>26</v>
      </c>
      <c r="G696">
        <v>610</v>
      </c>
      <c r="H696">
        <v>201</v>
      </c>
      <c r="I696" s="13">
        <v>0.32</v>
      </c>
      <c r="J696">
        <v>409</v>
      </c>
      <c r="K696" s="2">
        <v>2.2337962962962962E-3</v>
      </c>
      <c r="L696" s="11">
        <v>646.55000000000007</v>
      </c>
      <c r="M696" s="3">
        <v>3.2166666666666668</v>
      </c>
      <c r="N696" s="4">
        <v>193</v>
      </c>
      <c r="O696" s="2">
        <v>1.9907407407407408E-3</v>
      </c>
      <c r="P696" s="9">
        <v>576.20000000000005</v>
      </c>
      <c r="Q696" s="3">
        <v>2.8666666666666667</v>
      </c>
      <c r="R696" s="4">
        <v>172</v>
      </c>
      <c r="S696" s="3">
        <v>7</v>
      </c>
      <c r="T696" s="1">
        <v>3.5200000000000002E-2</v>
      </c>
      <c r="U696" s="6">
        <v>7.0752000000000006</v>
      </c>
    </row>
    <row r="697" spans="1:21" x14ac:dyDescent="0.35">
      <c r="A697">
        <v>696</v>
      </c>
      <c r="B697" s="5">
        <v>44892</v>
      </c>
      <c r="C697" s="4">
        <v>2022</v>
      </c>
      <c r="D697" s="4">
        <v>11</v>
      </c>
      <c r="E697" s="14">
        <v>44892</v>
      </c>
      <c r="F697" s="4">
        <v>27</v>
      </c>
      <c r="G697">
        <v>427</v>
      </c>
      <c r="H697">
        <v>282</v>
      </c>
      <c r="I697" s="13">
        <v>0.66</v>
      </c>
      <c r="J697">
        <v>145</v>
      </c>
      <c r="K697" s="2">
        <v>7.1759259259259259E-4</v>
      </c>
      <c r="L697" s="11">
        <v>291.40000000000003</v>
      </c>
      <c r="M697" s="3">
        <v>1.0333333333333334</v>
      </c>
      <c r="N697" s="4">
        <v>62.000000000000007</v>
      </c>
      <c r="O697" s="2">
        <v>1.9560185185185184E-3</v>
      </c>
      <c r="P697" s="9">
        <v>794.3</v>
      </c>
      <c r="Q697" s="3">
        <v>2.8166666666666664</v>
      </c>
      <c r="R697" s="4">
        <v>169</v>
      </c>
      <c r="S697" s="3">
        <v>70</v>
      </c>
      <c r="T697" s="1">
        <v>0.24879999999999999</v>
      </c>
      <c r="U697" s="6">
        <v>70.161599999999993</v>
      </c>
    </row>
    <row r="698" spans="1:21" x14ac:dyDescent="0.35">
      <c r="A698">
        <v>697</v>
      </c>
      <c r="B698" s="5">
        <v>44893</v>
      </c>
      <c r="C698" s="4">
        <v>2022</v>
      </c>
      <c r="D698" s="4">
        <v>11</v>
      </c>
      <c r="E698" s="14">
        <v>44893</v>
      </c>
      <c r="F698" s="4">
        <v>28</v>
      </c>
      <c r="G698">
        <v>378</v>
      </c>
      <c r="H698">
        <v>331</v>
      </c>
      <c r="I698" s="13">
        <v>0.87</v>
      </c>
      <c r="J698">
        <v>47</v>
      </c>
      <c r="K698" s="2">
        <v>4.9768518518518521E-4</v>
      </c>
      <c r="L698" s="11">
        <v>237.21666666666667</v>
      </c>
      <c r="M698" s="3">
        <v>0.71666666666666667</v>
      </c>
      <c r="N698" s="4">
        <v>43</v>
      </c>
      <c r="O698" s="2">
        <v>1.8171296296296297E-3</v>
      </c>
      <c r="P698" s="9">
        <v>866.11666666666667</v>
      </c>
      <c r="Q698" s="3">
        <v>2.6166666666666667</v>
      </c>
      <c r="R698" s="4">
        <v>157</v>
      </c>
      <c r="S698" s="3">
        <v>133</v>
      </c>
      <c r="T698" s="1">
        <v>0.40329999999999999</v>
      </c>
      <c r="U698" s="6">
        <v>133.4923</v>
      </c>
    </row>
    <row r="699" spans="1:21" x14ac:dyDescent="0.35">
      <c r="A699">
        <v>698</v>
      </c>
      <c r="B699" s="5">
        <v>44894</v>
      </c>
      <c r="C699" s="4">
        <v>2022</v>
      </c>
      <c r="D699" s="4">
        <v>11</v>
      </c>
      <c r="E699" s="14">
        <v>44894</v>
      </c>
      <c r="F699" s="4">
        <v>29</v>
      </c>
      <c r="G699">
        <v>80</v>
      </c>
      <c r="H699">
        <v>67</v>
      </c>
      <c r="I699" s="13">
        <v>0.83</v>
      </c>
      <c r="J699">
        <v>13</v>
      </c>
      <c r="K699" s="2">
        <v>4.3981481481481481E-4</v>
      </c>
      <c r="L699" s="11">
        <v>42.43333333333333</v>
      </c>
      <c r="M699" s="3">
        <v>0.6333333333333333</v>
      </c>
      <c r="N699" s="4">
        <v>38</v>
      </c>
      <c r="O699" s="2">
        <v>2.2222222222222222E-3</v>
      </c>
      <c r="P699" s="9">
        <v>214.4</v>
      </c>
      <c r="Q699" s="3">
        <v>3.2</v>
      </c>
      <c r="R699" s="4">
        <v>192</v>
      </c>
      <c r="S699" s="3">
        <v>30</v>
      </c>
      <c r="T699" s="1">
        <v>0.46250000000000002</v>
      </c>
      <c r="U699" s="6">
        <v>30.987500000000001</v>
      </c>
    </row>
    <row r="700" spans="1:21" x14ac:dyDescent="0.35">
      <c r="A700">
        <v>699</v>
      </c>
      <c r="B700" s="5">
        <v>44895</v>
      </c>
      <c r="C700" s="4">
        <v>2022</v>
      </c>
      <c r="D700" s="4">
        <v>11</v>
      </c>
      <c r="E700" s="14">
        <v>44895</v>
      </c>
      <c r="F700" s="4">
        <v>30</v>
      </c>
      <c r="G700">
        <v>356</v>
      </c>
      <c r="H700">
        <v>320</v>
      </c>
      <c r="I700" s="13">
        <v>0.89</v>
      </c>
      <c r="J700">
        <v>36</v>
      </c>
      <c r="K700" s="2">
        <v>3.9351851851851852E-4</v>
      </c>
      <c r="L700" s="11">
        <v>181.33333333333331</v>
      </c>
      <c r="M700" s="3">
        <v>0.56666666666666665</v>
      </c>
      <c r="N700" s="4">
        <v>34</v>
      </c>
      <c r="O700" s="2">
        <v>1.9907407407407408E-3</v>
      </c>
      <c r="P700" s="9">
        <v>917.33333333333337</v>
      </c>
      <c r="Q700" s="3">
        <v>2.8666666666666667</v>
      </c>
      <c r="R700" s="4">
        <v>172</v>
      </c>
      <c r="S700" s="3">
        <v>168</v>
      </c>
      <c r="T700" s="1">
        <v>0.52559999999999996</v>
      </c>
      <c r="U700" s="6">
        <v>168.19199999999998</v>
      </c>
    </row>
    <row r="701" spans="1:21" x14ac:dyDescent="0.35">
      <c r="A701">
        <v>700</v>
      </c>
      <c r="B701" s="5">
        <v>44896</v>
      </c>
      <c r="C701" s="4">
        <v>2022</v>
      </c>
      <c r="D701" s="4">
        <v>12</v>
      </c>
      <c r="E701" s="14">
        <v>44896</v>
      </c>
      <c r="F701" s="4">
        <v>1</v>
      </c>
      <c r="G701">
        <v>409</v>
      </c>
      <c r="H701">
        <v>355</v>
      </c>
      <c r="I701" s="13">
        <v>0.86</v>
      </c>
      <c r="J701">
        <v>54</v>
      </c>
      <c r="K701" s="2">
        <v>5.0925925925925921E-4</v>
      </c>
      <c r="L701" s="11">
        <v>260.33333333333331</v>
      </c>
      <c r="M701" s="3">
        <v>0.73333333333333328</v>
      </c>
      <c r="N701" s="4">
        <v>44</v>
      </c>
      <c r="O701" s="2">
        <v>2.0254629629629629E-3</v>
      </c>
      <c r="P701" s="9">
        <v>1035.4166666666665</v>
      </c>
      <c r="Q701" s="3">
        <v>2.9166666666666665</v>
      </c>
      <c r="R701" s="4">
        <v>175</v>
      </c>
      <c r="S701" s="3">
        <v>140</v>
      </c>
      <c r="T701" s="1">
        <v>0.39700000000000002</v>
      </c>
      <c r="U701" s="6">
        <v>140.935</v>
      </c>
    </row>
    <row r="702" spans="1:21" x14ac:dyDescent="0.35">
      <c r="A702">
        <v>701</v>
      </c>
      <c r="B702" s="5">
        <v>44897</v>
      </c>
      <c r="C702" s="4">
        <v>2022</v>
      </c>
      <c r="D702" s="4">
        <v>12</v>
      </c>
      <c r="E702" s="14">
        <v>44897</v>
      </c>
      <c r="F702" s="4">
        <v>2</v>
      </c>
      <c r="G702">
        <v>352</v>
      </c>
      <c r="H702">
        <v>302</v>
      </c>
      <c r="I702" s="13">
        <v>0.85</v>
      </c>
      <c r="J702">
        <v>50</v>
      </c>
      <c r="K702" s="2">
        <v>4.7453703703703704E-4</v>
      </c>
      <c r="L702" s="11">
        <v>206.36666666666667</v>
      </c>
      <c r="M702" s="3">
        <v>0.68333333333333335</v>
      </c>
      <c r="N702" s="4">
        <v>41</v>
      </c>
      <c r="O702" s="2">
        <v>2.1180555555555558E-3</v>
      </c>
      <c r="P702" s="9">
        <v>921.09999999999991</v>
      </c>
      <c r="Q702" s="3">
        <v>3.05</v>
      </c>
      <c r="R702" s="4">
        <v>183</v>
      </c>
      <c r="S702" s="3">
        <v>143</v>
      </c>
      <c r="T702" s="1">
        <v>0.47399999999999998</v>
      </c>
      <c r="U702" s="6">
        <v>143.148</v>
      </c>
    </row>
    <row r="703" spans="1:21" x14ac:dyDescent="0.35">
      <c r="A703">
        <v>702</v>
      </c>
      <c r="B703" s="5">
        <v>44898</v>
      </c>
      <c r="C703" s="4">
        <v>2022</v>
      </c>
      <c r="D703" s="4">
        <v>12</v>
      </c>
      <c r="E703" s="14">
        <v>44898</v>
      </c>
      <c r="F703" s="4">
        <v>3</v>
      </c>
      <c r="G703">
        <v>282</v>
      </c>
      <c r="H703">
        <v>239</v>
      </c>
      <c r="I703" s="13">
        <v>0.84</v>
      </c>
      <c r="J703">
        <v>43</v>
      </c>
      <c r="K703" s="2">
        <v>4.5138888888888887E-4</v>
      </c>
      <c r="L703" s="11">
        <v>155.35</v>
      </c>
      <c r="M703" s="3">
        <v>0.65</v>
      </c>
      <c r="N703" s="4">
        <v>39</v>
      </c>
      <c r="O703" s="2">
        <v>2.1527777777777778E-3</v>
      </c>
      <c r="P703" s="9">
        <v>740.9</v>
      </c>
      <c r="Q703" s="3">
        <v>3.1</v>
      </c>
      <c r="R703" s="4">
        <v>186</v>
      </c>
      <c r="S703" s="3">
        <v>122</v>
      </c>
      <c r="T703" s="1">
        <v>0.51070000000000004</v>
      </c>
      <c r="U703" s="6">
        <v>122.05730000000001</v>
      </c>
    </row>
    <row r="704" spans="1:21" x14ac:dyDescent="0.35">
      <c r="A704">
        <v>703</v>
      </c>
      <c r="B704" s="5">
        <v>44899</v>
      </c>
      <c r="C704" s="4">
        <v>2022</v>
      </c>
      <c r="D704" s="4">
        <v>12</v>
      </c>
      <c r="E704" s="14">
        <v>44899</v>
      </c>
      <c r="F704" s="4">
        <v>4</v>
      </c>
      <c r="G704">
        <v>429</v>
      </c>
      <c r="H704">
        <v>390</v>
      </c>
      <c r="I704" s="13">
        <v>0.9</v>
      </c>
      <c r="J704">
        <v>39</v>
      </c>
      <c r="K704" s="2">
        <v>4.3981481481481481E-4</v>
      </c>
      <c r="L704" s="11">
        <v>247</v>
      </c>
      <c r="M704" s="3">
        <v>0.6333333333333333</v>
      </c>
      <c r="N704" s="4">
        <v>38</v>
      </c>
      <c r="O704" s="2">
        <v>1.8634259259259259E-3</v>
      </c>
      <c r="P704" s="9">
        <v>1046.5</v>
      </c>
      <c r="Q704" s="3">
        <v>2.6833333333333336</v>
      </c>
      <c r="R704" s="4">
        <v>161</v>
      </c>
      <c r="S704" s="3">
        <v>174</v>
      </c>
      <c r="T704" s="1">
        <v>0.4466</v>
      </c>
      <c r="U704" s="6">
        <v>174.17400000000001</v>
      </c>
    </row>
    <row r="705" spans="1:21" x14ac:dyDescent="0.35">
      <c r="A705">
        <v>704</v>
      </c>
      <c r="B705" s="5">
        <v>44900</v>
      </c>
      <c r="C705" s="4">
        <v>2022</v>
      </c>
      <c r="D705" s="4">
        <v>12</v>
      </c>
      <c r="E705" s="14">
        <v>44900</v>
      </c>
      <c r="F705" s="4">
        <v>5</v>
      </c>
      <c r="G705">
        <v>310</v>
      </c>
      <c r="H705">
        <v>285</v>
      </c>
      <c r="I705" s="13">
        <v>0.91</v>
      </c>
      <c r="J705">
        <v>25</v>
      </c>
      <c r="K705" s="2">
        <v>3.8194444444444446E-4</v>
      </c>
      <c r="L705" s="11">
        <v>156.75</v>
      </c>
      <c r="M705" s="3">
        <v>0.55000000000000004</v>
      </c>
      <c r="N705" s="4">
        <v>33</v>
      </c>
      <c r="O705" s="2">
        <v>1.9097222222222222E-3</v>
      </c>
      <c r="P705" s="9">
        <v>783.75</v>
      </c>
      <c r="Q705" s="3">
        <v>2.75</v>
      </c>
      <c r="R705" s="4">
        <v>165</v>
      </c>
      <c r="S705" s="3">
        <v>159</v>
      </c>
      <c r="T705" s="1">
        <v>0.56110000000000004</v>
      </c>
      <c r="U705" s="6">
        <v>159.9135</v>
      </c>
    </row>
    <row r="706" spans="1:21" x14ac:dyDescent="0.35">
      <c r="A706">
        <v>705</v>
      </c>
      <c r="B706" s="5">
        <v>44901</v>
      </c>
      <c r="C706" s="4">
        <v>2022</v>
      </c>
      <c r="D706" s="4">
        <v>12</v>
      </c>
      <c r="E706" s="14">
        <v>44901</v>
      </c>
      <c r="F706" s="4">
        <v>6</v>
      </c>
      <c r="G706">
        <v>102</v>
      </c>
      <c r="H706">
        <v>94</v>
      </c>
      <c r="I706" s="13">
        <v>0.92</v>
      </c>
      <c r="J706">
        <v>8</v>
      </c>
      <c r="K706" s="2">
        <v>3.3564814814814812E-4</v>
      </c>
      <c r="L706" s="11">
        <v>45.433333333333337</v>
      </c>
      <c r="M706" s="3">
        <v>0.48333333333333334</v>
      </c>
      <c r="N706" s="4">
        <v>29</v>
      </c>
      <c r="O706" s="2">
        <v>1.8518518518518519E-3</v>
      </c>
      <c r="P706" s="9">
        <v>250.66666666666666</v>
      </c>
      <c r="Q706" s="3">
        <v>2.6666666666666665</v>
      </c>
      <c r="R706" s="4">
        <v>160</v>
      </c>
      <c r="S706" s="3">
        <v>59</v>
      </c>
      <c r="T706" s="1">
        <v>0.63729999999999998</v>
      </c>
      <c r="U706" s="6">
        <v>59.906199999999998</v>
      </c>
    </row>
    <row r="707" spans="1:21" x14ac:dyDescent="0.35">
      <c r="A707">
        <v>706</v>
      </c>
      <c r="B707" s="5">
        <v>44902</v>
      </c>
      <c r="C707" s="4">
        <v>2022</v>
      </c>
      <c r="D707" s="4">
        <v>12</v>
      </c>
      <c r="E707" s="14">
        <v>44902</v>
      </c>
      <c r="F707" s="4">
        <v>7</v>
      </c>
      <c r="G707">
        <v>335</v>
      </c>
      <c r="H707">
        <v>297</v>
      </c>
      <c r="I707" s="13">
        <v>0.88</v>
      </c>
      <c r="J707">
        <v>38</v>
      </c>
      <c r="K707" s="2">
        <v>4.5138888888888887E-4</v>
      </c>
      <c r="L707" s="11">
        <v>193.05</v>
      </c>
      <c r="M707" s="3">
        <v>0.65</v>
      </c>
      <c r="N707" s="4">
        <v>39</v>
      </c>
      <c r="O707" s="2">
        <v>1.7708333333333332E-3</v>
      </c>
      <c r="P707" s="9">
        <v>757.34999999999991</v>
      </c>
      <c r="Q707" s="3">
        <v>2.5499999999999998</v>
      </c>
      <c r="R707" s="4">
        <v>153</v>
      </c>
      <c r="S707" s="3">
        <v>129</v>
      </c>
      <c r="T707" s="1">
        <v>0.43640000000000001</v>
      </c>
      <c r="U707" s="6">
        <v>129.61080000000001</v>
      </c>
    </row>
    <row r="708" spans="1:21" x14ac:dyDescent="0.35">
      <c r="A708">
        <v>707</v>
      </c>
      <c r="B708" s="5">
        <v>44903</v>
      </c>
      <c r="C708" s="4">
        <v>2022</v>
      </c>
      <c r="D708" s="4">
        <v>12</v>
      </c>
      <c r="E708" s="14">
        <v>44903</v>
      </c>
      <c r="F708" s="4">
        <v>8</v>
      </c>
      <c r="G708">
        <v>313</v>
      </c>
      <c r="H708">
        <v>291</v>
      </c>
      <c r="I708" s="13">
        <v>0.92</v>
      </c>
      <c r="J708">
        <v>22</v>
      </c>
      <c r="K708" s="2">
        <v>3.0092592592592595E-4</v>
      </c>
      <c r="L708" s="11">
        <v>126.10000000000001</v>
      </c>
      <c r="M708" s="3">
        <v>0.43333333333333335</v>
      </c>
      <c r="N708" s="4">
        <v>26</v>
      </c>
      <c r="O708" s="2">
        <v>1.6782407407407408E-3</v>
      </c>
      <c r="P708" s="9">
        <v>703.25</v>
      </c>
      <c r="Q708" s="3">
        <v>2.4166666666666665</v>
      </c>
      <c r="R708" s="4">
        <v>145</v>
      </c>
      <c r="S708" s="3">
        <v>187</v>
      </c>
      <c r="T708" s="1">
        <v>0.64290000000000003</v>
      </c>
      <c r="U708" s="6">
        <v>187.0839</v>
      </c>
    </row>
    <row r="709" spans="1:21" x14ac:dyDescent="0.35">
      <c r="A709">
        <v>708</v>
      </c>
      <c r="B709" s="5">
        <v>44904</v>
      </c>
      <c r="C709" s="4">
        <v>2022</v>
      </c>
      <c r="D709" s="4">
        <v>12</v>
      </c>
      <c r="E709" s="14">
        <v>44904</v>
      </c>
      <c r="F709" s="4">
        <v>9</v>
      </c>
      <c r="G709">
        <v>251</v>
      </c>
      <c r="H709">
        <v>240</v>
      </c>
      <c r="I709" s="13">
        <v>0.95</v>
      </c>
      <c r="J709">
        <v>11</v>
      </c>
      <c r="K709" s="2">
        <v>2.7777777777777778E-4</v>
      </c>
      <c r="L709" s="11">
        <v>96</v>
      </c>
      <c r="M709" s="3">
        <v>0.4</v>
      </c>
      <c r="N709" s="4">
        <v>24</v>
      </c>
      <c r="O709" s="2">
        <v>1.8749999999999999E-3</v>
      </c>
      <c r="P709" s="9">
        <v>648</v>
      </c>
      <c r="Q709" s="3">
        <v>2.7</v>
      </c>
      <c r="R709" s="4">
        <v>162</v>
      </c>
      <c r="S709" s="3">
        <v>161</v>
      </c>
      <c r="T709" s="1">
        <v>0.67200000000000004</v>
      </c>
      <c r="U709" s="6">
        <v>161.28</v>
      </c>
    </row>
    <row r="710" spans="1:21" x14ac:dyDescent="0.35">
      <c r="A710">
        <v>709</v>
      </c>
      <c r="B710" s="5">
        <v>44905</v>
      </c>
      <c r="C710" s="4">
        <v>2022</v>
      </c>
      <c r="D710" s="4">
        <v>12</v>
      </c>
      <c r="E710" s="14">
        <v>44905</v>
      </c>
      <c r="F710" s="4">
        <v>10</v>
      </c>
      <c r="G710">
        <v>190</v>
      </c>
      <c r="H710">
        <v>176</v>
      </c>
      <c r="I710" s="13">
        <v>0.92</v>
      </c>
      <c r="J710">
        <v>14</v>
      </c>
      <c r="K710" s="2">
        <v>2.7777777777777778E-4</v>
      </c>
      <c r="L710" s="11">
        <v>70.400000000000006</v>
      </c>
      <c r="M710" s="3">
        <v>0.4</v>
      </c>
      <c r="N710" s="4">
        <v>24</v>
      </c>
      <c r="O710" s="2">
        <v>1.7476851851851852E-3</v>
      </c>
      <c r="P710" s="9">
        <v>442.93333333333334</v>
      </c>
      <c r="Q710" s="3">
        <v>2.5166666666666666</v>
      </c>
      <c r="R710" s="4">
        <v>151</v>
      </c>
      <c r="S710" s="3">
        <v>119</v>
      </c>
      <c r="T710" s="1">
        <v>0.67720000000000002</v>
      </c>
      <c r="U710" s="6">
        <v>119.1872</v>
      </c>
    </row>
    <row r="711" spans="1:21" x14ac:dyDescent="0.35">
      <c r="A711">
        <v>710</v>
      </c>
      <c r="B711" s="5">
        <v>44906</v>
      </c>
      <c r="C711" s="4">
        <v>2022</v>
      </c>
      <c r="D711" s="4">
        <v>12</v>
      </c>
      <c r="E711" s="14">
        <v>44906</v>
      </c>
      <c r="F711" s="4">
        <v>11</v>
      </c>
      <c r="G711">
        <v>188</v>
      </c>
      <c r="H711">
        <v>170</v>
      </c>
      <c r="I711" s="13">
        <v>0.9</v>
      </c>
      <c r="J711">
        <v>18</v>
      </c>
      <c r="K711" s="2">
        <v>3.9351851851851852E-4</v>
      </c>
      <c r="L711" s="11">
        <v>96.333333333333329</v>
      </c>
      <c r="M711" s="3">
        <v>0.56666666666666665</v>
      </c>
      <c r="N711" s="4">
        <v>34</v>
      </c>
      <c r="O711" s="2">
        <v>1.9560185185185184E-3</v>
      </c>
      <c r="P711" s="9">
        <v>478.83333333333331</v>
      </c>
      <c r="Q711" s="3">
        <v>2.8166666666666664</v>
      </c>
      <c r="R711" s="4">
        <v>169</v>
      </c>
      <c r="S711" s="3">
        <v>90</v>
      </c>
      <c r="T711" s="1">
        <v>0.5323</v>
      </c>
      <c r="U711" s="6">
        <v>90.491</v>
      </c>
    </row>
    <row r="712" spans="1:21" x14ac:dyDescent="0.35">
      <c r="A712">
        <v>711</v>
      </c>
      <c r="B712" s="5">
        <v>44907</v>
      </c>
      <c r="C712" s="4">
        <v>2022</v>
      </c>
      <c r="D712" s="4">
        <v>12</v>
      </c>
      <c r="E712" s="14">
        <v>44907</v>
      </c>
      <c r="F712" s="4">
        <v>12</v>
      </c>
      <c r="G712">
        <v>166</v>
      </c>
      <c r="H712">
        <v>160</v>
      </c>
      <c r="I712" s="13">
        <v>0.96</v>
      </c>
      <c r="J712">
        <v>6</v>
      </c>
      <c r="K712" s="2">
        <v>1.7361111111111112E-4</v>
      </c>
      <c r="L712" s="11">
        <v>40</v>
      </c>
      <c r="M712" s="3">
        <v>0.25</v>
      </c>
      <c r="N712" s="4">
        <v>15</v>
      </c>
      <c r="O712" s="2">
        <v>1.8518518518518519E-3</v>
      </c>
      <c r="P712" s="9">
        <v>426.66666666666663</v>
      </c>
      <c r="Q712" s="3">
        <v>2.6666666666666665</v>
      </c>
      <c r="R712" s="4">
        <v>160</v>
      </c>
      <c r="S712" s="3">
        <v>130</v>
      </c>
      <c r="T712" s="1">
        <v>0.81820000000000004</v>
      </c>
      <c r="U712" s="6">
        <v>130.91200000000001</v>
      </c>
    </row>
    <row r="713" spans="1:21" x14ac:dyDescent="0.35">
      <c r="A713">
        <v>712</v>
      </c>
      <c r="B713" s="5">
        <v>44908</v>
      </c>
      <c r="C713" s="4">
        <v>2022</v>
      </c>
      <c r="D713" s="4">
        <v>12</v>
      </c>
      <c r="E713" s="14">
        <v>44908</v>
      </c>
      <c r="F713" s="4">
        <v>13</v>
      </c>
      <c r="G713">
        <v>73</v>
      </c>
      <c r="H713">
        <v>68</v>
      </c>
      <c r="I713" s="13">
        <v>0.93</v>
      </c>
      <c r="J713">
        <v>5</v>
      </c>
      <c r="K713" s="2">
        <v>1.7361111111111112E-4</v>
      </c>
      <c r="L713" s="11">
        <v>17</v>
      </c>
      <c r="M713" s="3">
        <v>0.25</v>
      </c>
      <c r="N713" s="4">
        <v>15</v>
      </c>
      <c r="O713" s="2">
        <v>1.5393518518518519E-3</v>
      </c>
      <c r="P713" s="9">
        <v>150.73333333333335</v>
      </c>
      <c r="Q713" s="3">
        <v>2.2166666666666668</v>
      </c>
      <c r="R713" s="4">
        <v>133</v>
      </c>
      <c r="S713" s="3">
        <v>53</v>
      </c>
      <c r="T713" s="1">
        <v>0.78869999999999996</v>
      </c>
      <c r="U713" s="6">
        <v>53.631599999999999</v>
      </c>
    </row>
    <row r="714" spans="1:21" x14ac:dyDescent="0.35">
      <c r="A714">
        <v>713</v>
      </c>
      <c r="B714" s="5">
        <v>44909</v>
      </c>
      <c r="C714" s="4">
        <v>2022</v>
      </c>
      <c r="D714" s="4">
        <v>12</v>
      </c>
      <c r="E714" s="14">
        <v>44909</v>
      </c>
      <c r="F714" s="4">
        <v>14</v>
      </c>
      <c r="G714">
        <v>170</v>
      </c>
      <c r="H714">
        <v>159</v>
      </c>
      <c r="I714" s="13">
        <v>0.93</v>
      </c>
      <c r="J714">
        <v>11</v>
      </c>
      <c r="K714" s="2">
        <v>2.3148148148148149E-4</v>
      </c>
      <c r="L714" s="11">
        <v>53</v>
      </c>
      <c r="M714" s="3">
        <v>0.33333333333333331</v>
      </c>
      <c r="N714" s="4">
        <v>20</v>
      </c>
      <c r="O714" s="2">
        <v>1.8518518518518519E-3</v>
      </c>
      <c r="P714" s="9">
        <v>424</v>
      </c>
      <c r="Q714" s="3">
        <v>2.6666666666666665</v>
      </c>
      <c r="R714" s="4">
        <v>160</v>
      </c>
      <c r="S714" s="3">
        <v>116</v>
      </c>
      <c r="T714" s="1">
        <v>0.73209999999999997</v>
      </c>
      <c r="U714" s="6">
        <v>116.40389999999999</v>
      </c>
    </row>
    <row r="715" spans="1:21" x14ac:dyDescent="0.35">
      <c r="A715">
        <v>714</v>
      </c>
      <c r="B715" s="5">
        <v>44910</v>
      </c>
      <c r="C715" s="4">
        <v>2022</v>
      </c>
      <c r="D715" s="4">
        <v>12</v>
      </c>
      <c r="E715" s="14">
        <v>44910</v>
      </c>
      <c r="F715" s="4">
        <v>15</v>
      </c>
      <c r="G715">
        <v>188</v>
      </c>
      <c r="H715">
        <v>181</v>
      </c>
      <c r="I715" s="13">
        <v>0.96</v>
      </c>
      <c r="J715">
        <v>7</v>
      </c>
      <c r="K715" s="2">
        <v>2.6620370370370372E-4</v>
      </c>
      <c r="L715" s="11">
        <v>69.38333333333334</v>
      </c>
      <c r="M715" s="3">
        <v>0.38333333333333336</v>
      </c>
      <c r="N715" s="4">
        <v>23</v>
      </c>
      <c r="O715" s="2">
        <v>1.8402777777777777E-3</v>
      </c>
      <c r="P715" s="9">
        <v>479.65</v>
      </c>
      <c r="Q715" s="3">
        <v>2.65</v>
      </c>
      <c r="R715" s="4">
        <v>159</v>
      </c>
      <c r="S715" s="3">
        <v>123</v>
      </c>
      <c r="T715" s="1">
        <v>0.68279999999999996</v>
      </c>
      <c r="U715" s="6">
        <v>123.5868</v>
      </c>
    </row>
    <row r="716" spans="1:21" x14ac:dyDescent="0.35">
      <c r="A716">
        <v>715</v>
      </c>
      <c r="B716" s="5">
        <v>44911</v>
      </c>
      <c r="C716" s="4">
        <v>2022</v>
      </c>
      <c r="D716" s="4">
        <v>12</v>
      </c>
      <c r="E716" s="14">
        <v>44911</v>
      </c>
      <c r="F716" s="4">
        <v>16</v>
      </c>
      <c r="G716">
        <v>306</v>
      </c>
      <c r="H716">
        <v>262</v>
      </c>
      <c r="I716" s="13">
        <v>0.85</v>
      </c>
      <c r="J716">
        <v>44</v>
      </c>
      <c r="K716" s="2">
        <v>5.0925925925925921E-4</v>
      </c>
      <c r="L716" s="11">
        <v>192.13333333333333</v>
      </c>
      <c r="M716" s="3">
        <v>0.73333333333333328</v>
      </c>
      <c r="N716" s="4">
        <v>44</v>
      </c>
      <c r="O716" s="2">
        <v>1.9444444444444444E-3</v>
      </c>
      <c r="P716" s="9">
        <v>733.59999999999991</v>
      </c>
      <c r="Q716" s="3">
        <v>2.8</v>
      </c>
      <c r="R716" s="4">
        <v>168</v>
      </c>
      <c r="S716" s="3">
        <v>121</v>
      </c>
      <c r="T716" s="1">
        <v>0.46329999999999999</v>
      </c>
      <c r="U716" s="6">
        <v>121.38459999999999</v>
      </c>
    </row>
    <row r="717" spans="1:21" x14ac:dyDescent="0.35">
      <c r="A717">
        <v>716</v>
      </c>
      <c r="B717" s="5">
        <v>44912</v>
      </c>
      <c r="C717" s="4">
        <v>2022</v>
      </c>
      <c r="D717" s="4">
        <v>12</v>
      </c>
      <c r="E717" s="14">
        <v>44912</v>
      </c>
      <c r="F717" s="4">
        <v>17</v>
      </c>
      <c r="G717">
        <v>201</v>
      </c>
      <c r="H717">
        <v>185</v>
      </c>
      <c r="I717" s="13">
        <v>0.92</v>
      </c>
      <c r="J717">
        <v>16</v>
      </c>
      <c r="K717" s="2">
        <v>2.6620370370370372E-4</v>
      </c>
      <c r="L717" s="11">
        <v>70.916666666666671</v>
      </c>
      <c r="M717" s="3">
        <v>0.38333333333333336</v>
      </c>
      <c r="N717" s="4">
        <v>23</v>
      </c>
      <c r="O717" s="2">
        <v>1.8287037037037037E-3</v>
      </c>
      <c r="P717" s="9">
        <v>487.16666666666669</v>
      </c>
      <c r="Q717" s="3">
        <v>2.6333333333333333</v>
      </c>
      <c r="R717" s="4">
        <v>158</v>
      </c>
      <c r="S717" s="3">
        <v>124</v>
      </c>
      <c r="T717" s="1">
        <v>0.6734</v>
      </c>
      <c r="U717" s="6">
        <v>124.57899999999999</v>
      </c>
    </row>
    <row r="718" spans="1:21" x14ac:dyDescent="0.35">
      <c r="A718">
        <v>717</v>
      </c>
      <c r="B718" s="5">
        <v>44913</v>
      </c>
      <c r="C718" s="4">
        <v>2022</v>
      </c>
      <c r="D718" s="4">
        <v>12</v>
      </c>
      <c r="E718" s="14">
        <v>44913</v>
      </c>
      <c r="F718" s="4">
        <v>18</v>
      </c>
      <c r="G718">
        <v>188</v>
      </c>
      <c r="H718">
        <v>184</v>
      </c>
      <c r="I718" s="13">
        <v>0.97</v>
      </c>
      <c r="J718">
        <v>4</v>
      </c>
      <c r="K718" s="2">
        <v>1.9675925925925926E-4</v>
      </c>
      <c r="L718" s="11">
        <v>52.133333333333333</v>
      </c>
      <c r="M718" s="3">
        <v>0.28333333333333333</v>
      </c>
      <c r="N718" s="4">
        <v>17</v>
      </c>
      <c r="O718" s="2">
        <v>1.8055555555555555E-3</v>
      </c>
      <c r="P718" s="9">
        <v>478.40000000000003</v>
      </c>
      <c r="Q718" s="3">
        <v>2.6</v>
      </c>
      <c r="R718" s="4">
        <v>156</v>
      </c>
      <c r="S718" s="3">
        <v>145</v>
      </c>
      <c r="T718" s="1">
        <v>0.79259999999999997</v>
      </c>
      <c r="U718" s="6">
        <v>145.83840000000001</v>
      </c>
    </row>
    <row r="719" spans="1:21" x14ac:dyDescent="0.35">
      <c r="A719">
        <v>718</v>
      </c>
      <c r="B719" s="5">
        <v>44914</v>
      </c>
      <c r="C719" s="4">
        <v>2022</v>
      </c>
      <c r="D719" s="4">
        <v>12</v>
      </c>
      <c r="E719" s="14">
        <v>44914</v>
      </c>
      <c r="F719" s="4">
        <v>19</v>
      </c>
      <c r="G719">
        <v>148</v>
      </c>
      <c r="H719">
        <v>131</v>
      </c>
      <c r="I719" s="13">
        <v>0.88</v>
      </c>
      <c r="J719">
        <v>17</v>
      </c>
      <c r="K719" s="2">
        <v>3.5879629629629629E-4</v>
      </c>
      <c r="L719" s="11">
        <v>67.683333333333337</v>
      </c>
      <c r="M719" s="3">
        <v>0.51666666666666672</v>
      </c>
      <c r="N719" s="4">
        <v>31.000000000000004</v>
      </c>
      <c r="O719" s="2">
        <v>1.9791666666666668E-3</v>
      </c>
      <c r="P719" s="9">
        <v>373.35</v>
      </c>
      <c r="Q719" s="3">
        <v>2.85</v>
      </c>
      <c r="R719" s="4">
        <v>171</v>
      </c>
      <c r="S719" s="3">
        <v>69</v>
      </c>
      <c r="T719" s="1">
        <v>0.53059999999999996</v>
      </c>
      <c r="U719" s="6">
        <v>69.508600000000001</v>
      </c>
    </row>
    <row r="720" spans="1:21" x14ac:dyDescent="0.35">
      <c r="A720">
        <v>719</v>
      </c>
      <c r="B720" s="5">
        <v>44915</v>
      </c>
      <c r="C720" s="4">
        <v>2022</v>
      </c>
      <c r="D720" s="4">
        <v>12</v>
      </c>
      <c r="E720" s="14">
        <v>44915</v>
      </c>
      <c r="F720" s="4">
        <v>20</v>
      </c>
      <c r="G720">
        <v>21</v>
      </c>
      <c r="H720">
        <v>17</v>
      </c>
      <c r="I720" s="13">
        <v>0.8</v>
      </c>
      <c r="J720">
        <v>4</v>
      </c>
      <c r="K720" s="2">
        <v>6.018518518518519E-4</v>
      </c>
      <c r="L720" s="11">
        <v>14.733333333333334</v>
      </c>
      <c r="M720" s="3">
        <v>0.8666666666666667</v>
      </c>
      <c r="N720" s="4">
        <v>52</v>
      </c>
      <c r="O720" s="2">
        <v>2.4189814814814816E-3</v>
      </c>
      <c r="P720" s="9">
        <v>59.216666666666669</v>
      </c>
      <c r="Q720" s="3">
        <v>3.4833333333333334</v>
      </c>
      <c r="R720" s="4">
        <v>209</v>
      </c>
      <c r="S720" s="3">
        <v>8</v>
      </c>
      <c r="T720" s="1">
        <v>0.52380000000000004</v>
      </c>
      <c r="U720" s="6">
        <v>8.9046000000000003</v>
      </c>
    </row>
    <row r="721" spans="1:21" x14ac:dyDescent="0.35">
      <c r="A721">
        <v>720</v>
      </c>
      <c r="B721" s="5">
        <v>44916</v>
      </c>
      <c r="C721" s="4">
        <v>2022</v>
      </c>
      <c r="D721" s="4">
        <v>12</v>
      </c>
      <c r="E721" s="14">
        <v>44916</v>
      </c>
      <c r="F721" s="4">
        <v>21</v>
      </c>
      <c r="G721">
        <v>148</v>
      </c>
      <c r="H721">
        <v>129</v>
      </c>
      <c r="I721" s="13">
        <v>0.87</v>
      </c>
      <c r="J721">
        <v>19</v>
      </c>
      <c r="K721" s="2">
        <v>4.6296296296296298E-4</v>
      </c>
      <c r="L721" s="11">
        <v>86</v>
      </c>
      <c r="M721" s="3">
        <v>0.66666666666666663</v>
      </c>
      <c r="N721" s="4">
        <v>40</v>
      </c>
      <c r="O721" s="2">
        <v>2.0949074074074073E-3</v>
      </c>
      <c r="P721" s="9">
        <v>389.15</v>
      </c>
      <c r="Q721" s="3">
        <v>3.0166666666666666</v>
      </c>
      <c r="R721" s="4">
        <v>181</v>
      </c>
      <c r="S721" s="3">
        <v>58</v>
      </c>
      <c r="T721" s="1">
        <v>0.45519999999999999</v>
      </c>
      <c r="U721" s="6">
        <v>58.720799999999997</v>
      </c>
    </row>
    <row r="722" spans="1:21" x14ac:dyDescent="0.35">
      <c r="A722">
        <v>721</v>
      </c>
      <c r="B722" s="5">
        <v>44917</v>
      </c>
      <c r="C722" s="4">
        <v>2022</v>
      </c>
      <c r="D722" s="4">
        <v>12</v>
      </c>
      <c r="E722" s="14">
        <v>44917</v>
      </c>
      <c r="F722" s="4">
        <v>22</v>
      </c>
      <c r="G722">
        <v>167</v>
      </c>
      <c r="H722">
        <v>154</v>
      </c>
      <c r="I722" s="13">
        <v>0.92</v>
      </c>
      <c r="J722">
        <v>13</v>
      </c>
      <c r="K722" s="2">
        <v>1.9675925925925926E-4</v>
      </c>
      <c r="L722" s="11">
        <v>43.633333333333333</v>
      </c>
      <c r="M722" s="3">
        <v>0.28333333333333333</v>
      </c>
      <c r="N722" s="4">
        <v>17</v>
      </c>
      <c r="O722" s="2">
        <v>1.8865740740740742E-3</v>
      </c>
      <c r="P722" s="9">
        <v>418.36666666666667</v>
      </c>
      <c r="Q722" s="3">
        <v>2.7166666666666668</v>
      </c>
      <c r="R722" s="4">
        <v>163</v>
      </c>
      <c r="S722" s="3">
        <v>113</v>
      </c>
      <c r="T722" s="1">
        <v>0.7349</v>
      </c>
      <c r="U722" s="6">
        <v>113.1746</v>
      </c>
    </row>
    <row r="723" spans="1:21" x14ac:dyDescent="0.35">
      <c r="A723">
        <v>722</v>
      </c>
      <c r="B723" s="5">
        <v>44918</v>
      </c>
      <c r="C723" s="4">
        <v>2022</v>
      </c>
      <c r="D723" s="4">
        <v>12</v>
      </c>
      <c r="E723" s="14">
        <v>44918</v>
      </c>
      <c r="F723" s="4">
        <v>23</v>
      </c>
      <c r="G723">
        <v>169</v>
      </c>
      <c r="H723">
        <v>158</v>
      </c>
      <c r="I723" s="13">
        <v>0.93</v>
      </c>
      <c r="J723">
        <v>11</v>
      </c>
      <c r="K723" s="2">
        <v>1.8518518518518518E-4</v>
      </c>
      <c r="L723" s="11">
        <v>42.133333333333333</v>
      </c>
      <c r="M723" s="3">
        <v>0.26666666666666666</v>
      </c>
      <c r="N723" s="4">
        <v>16</v>
      </c>
      <c r="O723" s="2">
        <v>1.8055555555555555E-3</v>
      </c>
      <c r="P723" s="9">
        <v>410.8</v>
      </c>
      <c r="Q723" s="3">
        <v>2.6</v>
      </c>
      <c r="R723" s="4">
        <v>156</v>
      </c>
      <c r="S723" s="3">
        <v>118</v>
      </c>
      <c r="T723" s="1">
        <v>0.75</v>
      </c>
      <c r="U723" s="6">
        <v>118.5</v>
      </c>
    </row>
    <row r="724" spans="1:21" x14ac:dyDescent="0.35">
      <c r="A724">
        <v>723</v>
      </c>
      <c r="B724" s="5">
        <v>44919</v>
      </c>
      <c r="C724" s="4">
        <v>2022</v>
      </c>
      <c r="D724" s="4">
        <v>12</v>
      </c>
      <c r="E724" s="14">
        <v>44919</v>
      </c>
      <c r="F724" s="4">
        <v>24</v>
      </c>
      <c r="G724">
        <v>175</v>
      </c>
      <c r="H724">
        <v>163</v>
      </c>
      <c r="I724" s="13">
        <v>0.93</v>
      </c>
      <c r="J724">
        <v>12</v>
      </c>
      <c r="K724" s="2">
        <v>2.5462962962962961E-4</v>
      </c>
      <c r="L724" s="11">
        <v>59.766666666666666</v>
      </c>
      <c r="M724" s="3">
        <v>0.36666666666666664</v>
      </c>
      <c r="N724" s="4">
        <v>22</v>
      </c>
      <c r="O724" s="2">
        <v>1.8171296296296297E-3</v>
      </c>
      <c r="P724" s="9">
        <v>426.51666666666665</v>
      </c>
      <c r="Q724" s="3">
        <v>2.6166666666666667</v>
      </c>
      <c r="R724" s="4">
        <v>157</v>
      </c>
      <c r="S724" s="3">
        <v>115</v>
      </c>
      <c r="T724" s="1">
        <v>0.71099999999999997</v>
      </c>
      <c r="U724" s="6">
        <v>115.893</v>
      </c>
    </row>
    <row r="725" spans="1:21" x14ac:dyDescent="0.35">
      <c r="A725">
        <v>724</v>
      </c>
      <c r="B725" s="5">
        <v>44920</v>
      </c>
      <c r="C725" s="4">
        <v>2022</v>
      </c>
      <c r="D725" s="4">
        <v>12</v>
      </c>
      <c r="E725" s="14">
        <v>44920</v>
      </c>
      <c r="F725" s="4">
        <v>25</v>
      </c>
      <c r="G725">
        <v>193</v>
      </c>
      <c r="H725">
        <v>183</v>
      </c>
      <c r="I725" s="13">
        <v>0.94</v>
      </c>
      <c r="J725">
        <v>10</v>
      </c>
      <c r="K725" s="2">
        <v>1.8518518518518518E-4</v>
      </c>
      <c r="L725" s="11">
        <v>48.8</v>
      </c>
      <c r="M725" s="3">
        <v>0.26666666666666666</v>
      </c>
      <c r="N725" s="4">
        <v>16</v>
      </c>
      <c r="O725" s="2">
        <v>1.9560185185185184E-3</v>
      </c>
      <c r="P725" s="9">
        <v>515.44999999999993</v>
      </c>
      <c r="Q725" s="3">
        <v>2.8166666666666664</v>
      </c>
      <c r="R725" s="4">
        <v>169</v>
      </c>
      <c r="S725" s="3">
        <v>146</v>
      </c>
      <c r="T725" s="1">
        <v>0.80210000000000004</v>
      </c>
      <c r="U725" s="6">
        <v>146.7843</v>
      </c>
    </row>
    <row r="726" spans="1:21" x14ac:dyDescent="0.35">
      <c r="A726">
        <v>725</v>
      </c>
      <c r="B726" s="5">
        <v>44921</v>
      </c>
      <c r="C726" s="4">
        <v>2022</v>
      </c>
      <c r="D726" s="4">
        <v>12</v>
      </c>
      <c r="E726" s="14">
        <v>44921</v>
      </c>
      <c r="F726" s="4">
        <v>26</v>
      </c>
      <c r="G726">
        <v>154</v>
      </c>
      <c r="H726">
        <v>144</v>
      </c>
      <c r="I726" s="13">
        <v>0.93</v>
      </c>
      <c r="J726">
        <v>10</v>
      </c>
      <c r="K726" s="2">
        <v>2.3148148148148149E-4</v>
      </c>
      <c r="L726" s="11">
        <v>48</v>
      </c>
      <c r="M726" s="3">
        <v>0.33333333333333331</v>
      </c>
      <c r="N726" s="4">
        <v>20</v>
      </c>
      <c r="O726" s="2">
        <v>1.8634259259259259E-3</v>
      </c>
      <c r="P726" s="9">
        <v>386.40000000000003</v>
      </c>
      <c r="Q726" s="3">
        <v>2.6833333333333336</v>
      </c>
      <c r="R726" s="4">
        <v>161</v>
      </c>
      <c r="S726" s="3">
        <v>105</v>
      </c>
      <c r="T726" s="1">
        <v>0.73509999999999998</v>
      </c>
      <c r="U726" s="6">
        <v>105.8544</v>
      </c>
    </row>
    <row r="727" spans="1:21" x14ac:dyDescent="0.35">
      <c r="A727">
        <v>726</v>
      </c>
      <c r="B727" s="5">
        <v>44922</v>
      </c>
      <c r="C727" s="4">
        <v>2022</v>
      </c>
      <c r="D727" s="4">
        <v>12</v>
      </c>
      <c r="E727" s="14">
        <v>44922</v>
      </c>
      <c r="F727" s="4">
        <v>27</v>
      </c>
      <c r="G727">
        <v>35</v>
      </c>
      <c r="H727">
        <v>34</v>
      </c>
      <c r="I727" s="13">
        <v>0.97</v>
      </c>
      <c r="J727">
        <v>1</v>
      </c>
      <c r="K727" s="2">
        <v>1.6203703703703703E-4</v>
      </c>
      <c r="L727" s="11">
        <v>7.9333333333333336</v>
      </c>
      <c r="M727" s="3">
        <v>0.23333333333333334</v>
      </c>
      <c r="N727" s="4">
        <v>14</v>
      </c>
      <c r="O727" s="2">
        <v>2.1527777777777778E-3</v>
      </c>
      <c r="P727" s="9">
        <v>105.4</v>
      </c>
      <c r="Q727" s="3">
        <v>3.1</v>
      </c>
      <c r="R727" s="4">
        <v>186</v>
      </c>
      <c r="S727" s="3">
        <v>26</v>
      </c>
      <c r="T727" s="1">
        <v>0.77139999999999997</v>
      </c>
      <c r="U727" s="6">
        <v>26.227599999999999</v>
      </c>
    </row>
    <row r="728" spans="1:21" x14ac:dyDescent="0.35">
      <c r="A728">
        <v>727</v>
      </c>
      <c r="B728" s="5">
        <v>44923</v>
      </c>
      <c r="C728" s="4">
        <v>2022</v>
      </c>
      <c r="D728" s="4">
        <v>12</v>
      </c>
      <c r="E728" s="14">
        <v>44923</v>
      </c>
      <c r="F728" s="4">
        <v>28</v>
      </c>
      <c r="G728">
        <v>172</v>
      </c>
      <c r="H728">
        <v>161</v>
      </c>
      <c r="I728" s="13">
        <v>0.93</v>
      </c>
      <c r="J728">
        <v>11</v>
      </c>
      <c r="K728" s="2">
        <v>2.3148148148148149E-4</v>
      </c>
      <c r="L728" s="11">
        <v>53.666666666666664</v>
      </c>
      <c r="M728" s="3">
        <v>0.33333333333333331</v>
      </c>
      <c r="N728" s="4">
        <v>20</v>
      </c>
      <c r="O728" s="2">
        <v>1.9444444444444444E-3</v>
      </c>
      <c r="P728" s="9">
        <v>450.79999999999995</v>
      </c>
      <c r="Q728" s="3">
        <v>2.8</v>
      </c>
      <c r="R728" s="4">
        <v>168</v>
      </c>
      <c r="S728" s="3">
        <v>116</v>
      </c>
      <c r="T728" s="1">
        <v>0.72089999999999999</v>
      </c>
      <c r="U728" s="6">
        <v>116.06489999999999</v>
      </c>
    </row>
    <row r="729" spans="1:21" x14ac:dyDescent="0.35">
      <c r="A729">
        <v>728</v>
      </c>
      <c r="B729" s="5">
        <v>44924</v>
      </c>
      <c r="C729" s="4">
        <v>2022</v>
      </c>
      <c r="D729" s="4">
        <v>12</v>
      </c>
      <c r="E729" s="14">
        <v>44924</v>
      </c>
      <c r="F729" s="4">
        <v>29</v>
      </c>
      <c r="G729">
        <v>195</v>
      </c>
      <c r="H729">
        <v>182</v>
      </c>
      <c r="I729" s="13">
        <v>0.93</v>
      </c>
      <c r="J729">
        <v>13</v>
      </c>
      <c r="K729" s="2">
        <v>2.7777777777777778E-4</v>
      </c>
      <c r="L729" s="11">
        <v>72.8</v>
      </c>
      <c r="M729" s="3">
        <v>0.4</v>
      </c>
      <c r="N729" s="4">
        <v>24</v>
      </c>
      <c r="O729" s="2">
        <v>1.9791666666666668E-3</v>
      </c>
      <c r="P729" s="9">
        <v>518.70000000000005</v>
      </c>
      <c r="Q729" s="3">
        <v>2.85</v>
      </c>
      <c r="R729" s="4">
        <v>171</v>
      </c>
      <c r="S729" s="3">
        <v>121</v>
      </c>
      <c r="T729" s="1">
        <v>0.66839999999999999</v>
      </c>
      <c r="U729" s="6">
        <v>121.64879999999999</v>
      </c>
    </row>
    <row r="730" spans="1:21" x14ac:dyDescent="0.35">
      <c r="A730">
        <v>729</v>
      </c>
      <c r="B730" s="5">
        <v>44925</v>
      </c>
      <c r="C730" s="4">
        <v>2022</v>
      </c>
      <c r="D730" s="4">
        <v>12</v>
      </c>
      <c r="E730" s="14">
        <v>44925</v>
      </c>
      <c r="F730" s="4">
        <v>30</v>
      </c>
      <c r="G730">
        <v>163</v>
      </c>
      <c r="H730">
        <v>157</v>
      </c>
      <c r="I730" s="13">
        <v>0.96</v>
      </c>
      <c r="J730">
        <v>6</v>
      </c>
      <c r="K730" s="2">
        <v>1.9675925925925926E-4</v>
      </c>
      <c r="L730" s="11">
        <v>44.483333333333334</v>
      </c>
      <c r="M730" s="3">
        <v>0.28333333333333333</v>
      </c>
      <c r="N730" s="4">
        <v>17</v>
      </c>
      <c r="O730" s="2">
        <v>1.9212962962962964E-3</v>
      </c>
      <c r="P730" s="9">
        <v>434.36666666666667</v>
      </c>
      <c r="Q730" s="3">
        <v>2.7666666666666666</v>
      </c>
      <c r="R730" s="4">
        <v>166</v>
      </c>
      <c r="S730" s="3">
        <v>129</v>
      </c>
      <c r="T730" s="1">
        <v>0.82210000000000005</v>
      </c>
      <c r="U730" s="6">
        <v>129.06970000000001</v>
      </c>
    </row>
    <row r="731" spans="1:21" x14ac:dyDescent="0.35">
      <c r="A731">
        <v>730</v>
      </c>
      <c r="B731" s="5">
        <v>44926</v>
      </c>
      <c r="C731" s="4">
        <v>2022</v>
      </c>
      <c r="D731" s="4">
        <v>12</v>
      </c>
      <c r="E731" s="14">
        <v>44926</v>
      </c>
      <c r="F731" s="4">
        <v>31</v>
      </c>
      <c r="G731">
        <v>134</v>
      </c>
      <c r="H731">
        <v>126</v>
      </c>
      <c r="I731" s="13">
        <v>0.94</v>
      </c>
      <c r="J731">
        <v>8</v>
      </c>
      <c r="K731" s="2">
        <v>3.4722222222222224E-4</v>
      </c>
      <c r="L731" s="11">
        <v>63</v>
      </c>
      <c r="M731" s="3">
        <v>0.5</v>
      </c>
      <c r="N731" s="4">
        <v>30</v>
      </c>
      <c r="O731" s="2">
        <v>2.0601851851851853E-3</v>
      </c>
      <c r="P731" s="9">
        <v>373.8</v>
      </c>
      <c r="Q731" s="3">
        <v>2.9666666666666668</v>
      </c>
      <c r="R731" s="4">
        <v>178</v>
      </c>
      <c r="S731" s="3">
        <v>80</v>
      </c>
      <c r="T731" s="1">
        <v>0.63570000000000004</v>
      </c>
      <c r="U731" s="6">
        <v>80.098200000000006</v>
      </c>
    </row>
    <row r="732" spans="1:21" x14ac:dyDescent="0.35">
      <c r="A732">
        <v>731</v>
      </c>
      <c r="B732" s="5">
        <v>44927</v>
      </c>
      <c r="C732" s="4">
        <v>2023</v>
      </c>
      <c r="D732" s="4">
        <v>1</v>
      </c>
      <c r="E732" s="14">
        <v>44927</v>
      </c>
      <c r="F732" s="4">
        <v>1</v>
      </c>
      <c r="G732">
        <v>158</v>
      </c>
      <c r="H732">
        <v>142</v>
      </c>
      <c r="I732" s="13">
        <v>0.89</v>
      </c>
      <c r="J732">
        <v>16</v>
      </c>
      <c r="K732" s="2">
        <v>2.8935185185185184E-4</v>
      </c>
      <c r="L732" s="11">
        <v>59.166666666666671</v>
      </c>
      <c r="M732" s="3">
        <v>0.41666666666666669</v>
      </c>
      <c r="N732" s="4">
        <v>25</v>
      </c>
      <c r="O732" s="2">
        <v>1.9097222222222222E-3</v>
      </c>
      <c r="P732" s="9">
        <v>390.5</v>
      </c>
      <c r="Q732" s="3">
        <v>2.75</v>
      </c>
      <c r="R732" s="4">
        <v>165</v>
      </c>
      <c r="S732" s="3">
        <v>84</v>
      </c>
      <c r="T732" s="1">
        <v>0.59350000000000003</v>
      </c>
      <c r="U732" s="6">
        <v>84.277000000000001</v>
      </c>
    </row>
    <row r="733" spans="1:21" x14ac:dyDescent="0.35">
      <c r="A733">
        <v>732</v>
      </c>
      <c r="B733" s="5">
        <v>44928</v>
      </c>
      <c r="C733" s="4">
        <v>2023</v>
      </c>
      <c r="D733" s="4">
        <v>1</v>
      </c>
      <c r="E733" s="14">
        <v>44928</v>
      </c>
      <c r="F733" s="4">
        <v>2</v>
      </c>
      <c r="G733">
        <v>161</v>
      </c>
      <c r="H733">
        <v>144</v>
      </c>
      <c r="I733" s="13">
        <v>0.89</v>
      </c>
      <c r="J733">
        <v>17</v>
      </c>
      <c r="K733" s="2">
        <v>3.9351851851851852E-4</v>
      </c>
      <c r="L733" s="11">
        <v>81.599999999999994</v>
      </c>
      <c r="M733" s="3">
        <v>0.56666666666666665</v>
      </c>
      <c r="N733" s="4">
        <v>34</v>
      </c>
      <c r="O733" s="2">
        <v>1.9560185185185184E-3</v>
      </c>
      <c r="P733" s="9">
        <v>405.59999999999997</v>
      </c>
      <c r="Q733" s="3">
        <v>2.8166666666666664</v>
      </c>
      <c r="R733" s="4">
        <v>169</v>
      </c>
      <c r="S733" s="3">
        <v>76</v>
      </c>
      <c r="T733" s="1">
        <v>0.53129999999999999</v>
      </c>
      <c r="U733" s="6">
        <v>76.507199999999997</v>
      </c>
    </row>
    <row r="734" spans="1:21" x14ac:dyDescent="0.35">
      <c r="A734">
        <v>733</v>
      </c>
      <c r="B734" s="5">
        <v>44929</v>
      </c>
      <c r="C734" s="4">
        <v>2023</v>
      </c>
      <c r="D734" s="4">
        <v>1</v>
      </c>
      <c r="E734" s="14">
        <v>44929</v>
      </c>
      <c r="F734" s="4">
        <v>3</v>
      </c>
      <c r="G734">
        <v>36</v>
      </c>
      <c r="H734">
        <v>34</v>
      </c>
      <c r="I734" s="13">
        <v>0.94</v>
      </c>
      <c r="J734">
        <v>2</v>
      </c>
      <c r="K734" s="2">
        <v>2.3148148148148149E-4</v>
      </c>
      <c r="L734" s="11">
        <v>11.333333333333332</v>
      </c>
      <c r="M734" s="3">
        <v>0.33333333333333331</v>
      </c>
      <c r="N734" s="4">
        <v>20</v>
      </c>
      <c r="O734" s="2">
        <v>1.4467592592592592E-3</v>
      </c>
      <c r="P734" s="9">
        <v>70.833333333333343</v>
      </c>
      <c r="Q734" s="3">
        <v>2.0833333333333335</v>
      </c>
      <c r="R734" s="4">
        <v>125.00000000000001</v>
      </c>
      <c r="S734" s="3">
        <v>24</v>
      </c>
      <c r="T734" s="1">
        <v>0.72219999999999995</v>
      </c>
      <c r="U734" s="6">
        <v>24.5548</v>
      </c>
    </row>
    <row r="735" spans="1:21" x14ac:dyDescent="0.35">
      <c r="A735">
        <v>734</v>
      </c>
      <c r="B735" s="5">
        <v>44930</v>
      </c>
      <c r="C735" s="4">
        <v>2023</v>
      </c>
      <c r="D735" s="4">
        <v>1</v>
      </c>
      <c r="E735" s="14">
        <v>44930</v>
      </c>
      <c r="F735" s="4">
        <v>4</v>
      </c>
      <c r="G735">
        <v>147</v>
      </c>
      <c r="H735">
        <v>136</v>
      </c>
      <c r="I735" s="13">
        <v>0.92</v>
      </c>
      <c r="J735">
        <v>11</v>
      </c>
      <c r="K735" s="2">
        <v>1.9675925925925926E-4</v>
      </c>
      <c r="L735" s="11">
        <v>38.533333333333331</v>
      </c>
      <c r="M735" s="3">
        <v>0.28333333333333333</v>
      </c>
      <c r="N735" s="4">
        <v>17</v>
      </c>
      <c r="O735" s="2">
        <v>2.0254629629629629E-3</v>
      </c>
      <c r="P735" s="9">
        <v>396.66666666666663</v>
      </c>
      <c r="Q735" s="3">
        <v>2.9166666666666665</v>
      </c>
      <c r="R735" s="4">
        <v>175</v>
      </c>
      <c r="S735" s="3">
        <v>104</v>
      </c>
      <c r="T735" s="1">
        <v>0.7671</v>
      </c>
      <c r="U735" s="6">
        <v>104.32559999999999</v>
      </c>
    </row>
    <row r="736" spans="1:21" x14ac:dyDescent="0.35">
      <c r="A736">
        <v>735</v>
      </c>
      <c r="B736" s="5">
        <v>44931</v>
      </c>
      <c r="C736" s="4">
        <v>2023</v>
      </c>
      <c r="D736" s="4">
        <v>1</v>
      </c>
      <c r="E736" s="14">
        <v>44931</v>
      </c>
      <c r="F736" s="4">
        <v>5</v>
      </c>
      <c r="G736">
        <v>131</v>
      </c>
      <c r="H736">
        <v>130</v>
      </c>
      <c r="I736" s="13">
        <v>0.99</v>
      </c>
      <c r="J736">
        <v>1</v>
      </c>
      <c r="K736" s="2">
        <v>2.0833333333333335E-4</v>
      </c>
      <c r="L736" s="11">
        <v>39</v>
      </c>
      <c r="M736" s="3">
        <v>0.3</v>
      </c>
      <c r="N736" s="4">
        <v>18</v>
      </c>
      <c r="O736" s="2">
        <v>1.9328703703703704E-3</v>
      </c>
      <c r="P736" s="9">
        <v>361.83333333333331</v>
      </c>
      <c r="Q736" s="3">
        <v>2.7833333333333332</v>
      </c>
      <c r="R736" s="4">
        <v>167</v>
      </c>
      <c r="S736" s="3">
        <v>99</v>
      </c>
      <c r="T736" s="1">
        <v>0.76919999999999999</v>
      </c>
      <c r="U736" s="6">
        <v>99.995999999999995</v>
      </c>
    </row>
    <row r="737" spans="1:21" x14ac:dyDescent="0.35">
      <c r="A737">
        <v>736</v>
      </c>
      <c r="B737" s="5">
        <v>44932</v>
      </c>
      <c r="C737" s="4">
        <v>2023</v>
      </c>
      <c r="D737" s="4">
        <v>1</v>
      </c>
      <c r="E737" s="14">
        <v>44932</v>
      </c>
      <c r="F737" s="4">
        <v>6</v>
      </c>
      <c r="G737">
        <v>128</v>
      </c>
      <c r="H737">
        <v>120</v>
      </c>
      <c r="I737" s="13">
        <v>0.93</v>
      </c>
      <c r="J737">
        <v>8</v>
      </c>
      <c r="K737" s="2">
        <v>2.5462962962962961E-4</v>
      </c>
      <c r="L737" s="11">
        <v>44</v>
      </c>
      <c r="M737" s="3">
        <v>0.36666666666666664</v>
      </c>
      <c r="N737" s="4">
        <v>22</v>
      </c>
      <c r="O737" s="2">
        <v>1.9328703703703704E-3</v>
      </c>
      <c r="P737" s="9">
        <v>334</v>
      </c>
      <c r="Q737" s="3">
        <v>2.7833333333333332</v>
      </c>
      <c r="R737" s="4">
        <v>167</v>
      </c>
      <c r="S737" s="3">
        <v>81</v>
      </c>
      <c r="T737" s="1">
        <v>0.6825</v>
      </c>
      <c r="U737" s="6">
        <v>81.900000000000006</v>
      </c>
    </row>
    <row r="738" spans="1:21" x14ac:dyDescent="0.35">
      <c r="A738">
        <v>737</v>
      </c>
      <c r="B738" s="5">
        <v>44933</v>
      </c>
      <c r="C738" s="4">
        <v>2023</v>
      </c>
      <c r="D738" s="4">
        <v>1</v>
      </c>
      <c r="E738" s="14">
        <v>44933</v>
      </c>
      <c r="F738" s="4">
        <v>7</v>
      </c>
      <c r="G738">
        <v>136</v>
      </c>
      <c r="H738">
        <v>119</v>
      </c>
      <c r="I738" s="13">
        <v>0.87</v>
      </c>
      <c r="J738">
        <v>17</v>
      </c>
      <c r="K738" s="2">
        <v>3.0092592592592595E-4</v>
      </c>
      <c r="L738" s="11">
        <v>51.56666666666667</v>
      </c>
      <c r="M738" s="3">
        <v>0.43333333333333335</v>
      </c>
      <c r="N738" s="4">
        <v>26</v>
      </c>
      <c r="O738" s="2">
        <v>1.9907407407407408E-3</v>
      </c>
      <c r="P738" s="9">
        <v>341.13333333333333</v>
      </c>
      <c r="Q738" s="3">
        <v>2.8666666666666667</v>
      </c>
      <c r="R738" s="4">
        <v>172</v>
      </c>
      <c r="S738" s="3">
        <v>71</v>
      </c>
      <c r="T738" s="1">
        <v>0.60150000000000003</v>
      </c>
      <c r="U738" s="6">
        <v>71.578500000000005</v>
      </c>
    </row>
    <row r="739" spans="1:21" x14ac:dyDescent="0.35">
      <c r="A739">
        <v>738</v>
      </c>
      <c r="B739" s="5">
        <v>44934</v>
      </c>
      <c r="C739" s="4">
        <v>2023</v>
      </c>
      <c r="D739" s="4">
        <v>1</v>
      </c>
      <c r="E739" s="14">
        <v>44934</v>
      </c>
      <c r="F739" s="4">
        <v>8</v>
      </c>
      <c r="G739">
        <v>225</v>
      </c>
      <c r="H739">
        <v>209</v>
      </c>
      <c r="I739" s="13">
        <v>0.92</v>
      </c>
      <c r="J739">
        <v>16</v>
      </c>
      <c r="K739" s="2">
        <v>2.199074074074074E-4</v>
      </c>
      <c r="L739" s="11">
        <v>66.183333333333337</v>
      </c>
      <c r="M739" s="3">
        <v>0.31666666666666665</v>
      </c>
      <c r="N739" s="4">
        <v>19</v>
      </c>
      <c r="O739" s="2">
        <v>1.724537037037037E-3</v>
      </c>
      <c r="P739" s="9">
        <v>519.01666666666665</v>
      </c>
      <c r="Q739" s="3">
        <v>2.4833333333333334</v>
      </c>
      <c r="R739" s="4">
        <v>149</v>
      </c>
      <c r="S739" s="3">
        <v>158</v>
      </c>
      <c r="T739" s="1">
        <v>0.76019999999999999</v>
      </c>
      <c r="U739" s="6">
        <v>158.8818</v>
      </c>
    </row>
    <row r="740" spans="1:21" x14ac:dyDescent="0.35">
      <c r="A740">
        <v>739</v>
      </c>
      <c r="B740" s="5">
        <v>44935</v>
      </c>
      <c r="C740" s="4">
        <v>2023</v>
      </c>
      <c r="D740" s="4">
        <v>1</v>
      </c>
      <c r="E740" s="14">
        <v>44935</v>
      </c>
      <c r="F740" s="4">
        <v>9</v>
      </c>
      <c r="G740">
        <v>167</v>
      </c>
      <c r="H740">
        <v>151</v>
      </c>
      <c r="I740" s="13">
        <v>0.9</v>
      </c>
      <c r="J740">
        <v>16</v>
      </c>
      <c r="K740" s="2">
        <v>2.199074074074074E-4</v>
      </c>
      <c r="L740" s="11">
        <v>47.816666666666663</v>
      </c>
      <c r="M740" s="3">
        <v>0.31666666666666665</v>
      </c>
      <c r="N740" s="4">
        <v>19</v>
      </c>
      <c r="O740" s="2">
        <v>1.7013888888888888E-3</v>
      </c>
      <c r="P740" s="9">
        <v>369.95000000000005</v>
      </c>
      <c r="Q740" s="3">
        <v>2.4500000000000002</v>
      </c>
      <c r="R740" s="4">
        <v>147</v>
      </c>
      <c r="S740" s="3">
        <v>110</v>
      </c>
      <c r="T740" s="1">
        <v>0.73329999999999995</v>
      </c>
      <c r="U740" s="6">
        <v>110.72829999999999</v>
      </c>
    </row>
    <row r="741" spans="1:21" x14ac:dyDescent="0.35">
      <c r="A741">
        <v>740</v>
      </c>
      <c r="B741" s="5">
        <v>44936</v>
      </c>
      <c r="C741" s="4">
        <v>2023</v>
      </c>
      <c r="D741" s="4">
        <v>1</v>
      </c>
      <c r="E741" s="14">
        <v>44936</v>
      </c>
      <c r="F741" s="4">
        <v>10</v>
      </c>
      <c r="G741">
        <v>48</v>
      </c>
      <c r="H741">
        <v>46</v>
      </c>
      <c r="I741" s="13">
        <v>0.95</v>
      </c>
      <c r="J741">
        <v>2</v>
      </c>
      <c r="K741" s="2">
        <v>1.8518518518518518E-4</v>
      </c>
      <c r="L741" s="11">
        <v>12.266666666666666</v>
      </c>
      <c r="M741" s="3">
        <v>0.26666666666666666</v>
      </c>
      <c r="N741" s="4">
        <v>16</v>
      </c>
      <c r="O741" s="2">
        <v>1.6898148148148148E-3</v>
      </c>
      <c r="P741" s="9">
        <v>111.93333333333334</v>
      </c>
      <c r="Q741" s="3">
        <v>2.4333333333333336</v>
      </c>
      <c r="R741" s="4">
        <v>146</v>
      </c>
      <c r="S741" s="3">
        <v>36</v>
      </c>
      <c r="T741" s="1">
        <v>0.78720000000000001</v>
      </c>
      <c r="U741" s="6">
        <v>36.211199999999998</v>
      </c>
    </row>
    <row r="742" spans="1:21" x14ac:dyDescent="0.35">
      <c r="A742">
        <v>741</v>
      </c>
      <c r="B742" s="5">
        <v>44937</v>
      </c>
      <c r="C742" s="4">
        <v>2023</v>
      </c>
      <c r="D742" s="4">
        <v>1</v>
      </c>
      <c r="E742" s="14">
        <v>44937</v>
      </c>
      <c r="F742" s="4">
        <v>11</v>
      </c>
      <c r="G742">
        <v>232</v>
      </c>
      <c r="H742">
        <v>204</v>
      </c>
      <c r="I742" s="13">
        <v>0.87</v>
      </c>
      <c r="J742">
        <v>28</v>
      </c>
      <c r="K742" s="2">
        <v>3.7037037037037035E-4</v>
      </c>
      <c r="L742" s="11">
        <v>108.8</v>
      </c>
      <c r="M742" s="3">
        <v>0.53333333333333333</v>
      </c>
      <c r="N742" s="4">
        <v>32</v>
      </c>
      <c r="O742" s="2">
        <v>1.6435185185185185E-3</v>
      </c>
      <c r="P742" s="9">
        <v>482.8</v>
      </c>
      <c r="Q742" s="3">
        <v>2.3666666666666667</v>
      </c>
      <c r="R742" s="4">
        <v>142</v>
      </c>
      <c r="S742" s="3">
        <v>113</v>
      </c>
      <c r="T742" s="1">
        <v>0.55410000000000004</v>
      </c>
      <c r="U742" s="6">
        <v>113.03640000000001</v>
      </c>
    </row>
    <row r="743" spans="1:21" x14ac:dyDescent="0.35">
      <c r="A743">
        <v>742</v>
      </c>
      <c r="B743" s="5">
        <v>44938</v>
      </c>
      <c r="C743" s="4">
        <v>2023</v>
      </c>
      <c r="D743" s="4">
        <v>1</v>
      </c>
      <c r="E743" s="14">
        <v>44938</v>
      </c>
      <c r="F743" s="4">
        <v>12</v>
      </c>
      <c r="G743">
        <v>198</v>
      </c>
      <c r="H743">
        <v>187</v>
      </c>
      <c r="I743" s="13">
        <v>0.94</v>
      </c>
      <c r="J743">
        <v>11</v>
      </c>
      <c r="K743" s="2">
        <v>3.1250000000000001E-4</v>
      </c>
      <c r="L743" s="11">
        <v>84.15</v>
      </c>
      <c r="M743" s="3">
        <v>0.45</v>
      </c>
      <c r="N743" s="4">
        <v>27</v>
      </c>
      <c r="O743" s="2">
        <v>1.9444444444444444E-3</v>
      </c>
      <c r="P743" s="9">
        <v>523.6</v>
      </c>
      <c r="Q743" s="3">
        <v>2.8</v>
      </c>
      <c r="R743" s="4">
        <v>168</v>
      </c>
      <c r="S743" s="3">
        <v>112</v>
      </c>
      <c r="T743" s="1">
        <v>0.60199999999999998</v>
      </c>
      <c r="U743" s="6">
        <v>112.574</v>
      </c>
    </row>
    <row r="744" spans="1:21" x14ac:dyDescent="0.35">
      <c r="A744">
        <v>743</v>
      </c>
      <c r="B744" s="5">
        <v>44939</v>
      </c>
      <c r="C744" s="4">
        <v>2023</v>
      </c>
      <c r="D744" s="4">
        <v>1</v>
      </c>
      <c r="E744" s="14">
        <v>44939</v>
      </c>
      <c r="F744" s="4">
        <v>13</v>
      </c>
      <c r="G744">
        <v>171</v>
      </c>
      <c r="H744">
        <v>163</v>
      </c>
      <c r="I744" s="13">
        <v>0.95</v>
      </c>
      <c r="J744">
        <v>8</v>
      </c>
      <c r="K744" s="2">
        <v>2.199074074074074E-4</v>
      </c>
      <c r="L744" s="11">
        <v>51.616666666666667</v>
      </c>
      <c r="M744" s="3">
        <v>0.31666666666666665</v>
      </c>
      <c r="N744" s="4">
        <v>19</v>
      </c>
      <c r="O744" s="2">
        <v>1.8634259259259259E-3</v>
      </c>
      <c r="P744" s="9">
        <v>437.38333333333338</v>
      </c>
      <c r="Q744" s="3">
        <v>2.6833333333333336</v>
      </c>
      <c r="R744" s="4">
        <v>161</v>
      </c>
      <c r="S744" s="3">
        <v>113</v>
      </c>
      <c r="T744" s="1">
        <v>0.69410000000000005</v>
      </c>
      <c r="U744" s="6">
        <v>113.13830000000002</v>
      </c>
    </row>
    <row r="745" spans="1:21" x14ac:dyDescent="0.35">
      <c r="A745">
        <v>744</v>
      </c>
      <c r="B745" s="5">
        <v>44940</v>
      </c>
      <c r="C745" s="4">
        <v>2023</v>
      </c>
      <c r="D745" s="4">
        <v>1</v>
      </c>
      <c r="E745" s="14">
        <v>44940</v>
      </c>
      <c r="F745" s="4">
        <v>14</v>
      </c>
      <c r="G745">
        <v>180</v>
      </c>
      <c r="H745">
        <v>173</v>
      </c>
      <c r="I745" s="13">
        <v>0.96</v>
      </c>
      <c r="J745">
        <v>7</v>
      </c>
      <c r="K745" s="2">
        <v>3.5879629629629629E-4</v>
      </c>
      <c r="L745" s="11">
        <v>89.38333333333334</v>
      </c>
      <c r="M745" s="3">
        <v>0.51666666666666672</v>
      </c>
      <c r="N745" s="4">
        <v>31.000000000000004</v>
      </c>
      <c r="O745" s="2">
        <v>1.9560185185185184E-3</v>
      </c>
      <c r="P745" s="9">
        <v>487.2833333333333</v>
      </c>
      <c r="Q745" s="3">
        <v>2.8166666666666664</v>
      </c>
      <c r="R745" s="4">
        <v>169</v>
      </c>
      <c r="S745" s="3">
        <v>124</v>
      </c>
      <c r="T745" s="1">
        <v>0.72219999999999995</v>
      </c>
      <c r="U745" s="6">
        <v>124.94059999999999</v>
      </c>
    </row>
    <row r="746" spans="1:21" x14ac:dyDescent="0.35">
      <c r="A746">
        <v>745</v>
      </c>
      <c r="B746" s="5">
        <v>44941</v>
      </c>
      <c r="C746" s="4">
        <v>2023</v>
      </c>
      <c r="D746" s="4">
        <v>1</v>
      </c>
      <c r="E746" s="14">
        <v>44941</v>
      </c>
      <c r="F746" s="4">
        <v>15</v>
      </c>
      <c r="G746">
        <v>192</v>
      </c>
      <c r="H746">
        <v>175</v>
      </c>
      <c r="I746" s="13">
        <v>0.91</v>
      </c>
      <c r="J746">
        <v>17</v>
      </c>
      <c r="K746" s="2">
        <v>3.0092592592592595E-4</v>
      </c>
      <c r="L746" s="11">
        <v>75.833333333333343</v>
      </c>
      <c r="M746" s="3">
        <v>0.43333333333333335</v>
      </c>
      <c r="N746" s="4">
        <v>26</v>
      </c>
      <c r="O746" s="2">
        <v>2.0949074074074073E-3</v>
      </c>
      <c r="P746" s="9">
        <v>527.91666666666663</v>
      </c>
      <c r="Q746" s="3">
        <v>3.0166666666666666</v>
      </c>
      <c r="R746" s="4">
        <v>181</v>
      </c>
      <c r="S746" s="3">
        <v>107</v>
      </c>
      <c r="T746" s="1">
        <v>0.61580000000000001</v>
      </c>
      <c r="U746" s="6">
        <v>107.765</v>
      </c>
    </row>
    <row r="747" spans="1:21" x14ac:dyDescent="0.35">
      <c r="A747">
        <v>746</v>
      </c>
      <c r="B747" s="5">
        <v>44942</v>
      </c>
      <c r="C747" s="4">
        <v>2023</v>
      </c>
      <c r="D747" s="4">
        <v>1</v>
      </c>
      <c r="E747" s="14">
        <v>44942</v>
      </c>
      <c r="F747" s="4">
        <v>16</v>
      </c>
      <c r="G747">
        <v>194</v>
      </c>
      <c r="H747">
        <v>180</v>
      </c>
      <c r="I747" s="13">
        <v>0.92</v>
      </c>
      <c r="J747">
        <v>14</v>
      </c>
      <c r="K747" s="2">
        <v>2.8935185185185184E-4</v>
      </c>
      <c r="L747" s="11">
        <v>75</v>
      </c>
      <c r="M747" s="3">
        <v>0.41666666666666669</v>
      </c>
      <c r="N747" s="4">
        <v>25</v>
      </c>
      <c r="O747" s="2">
        <v>1.9675925925925924E-3</v>
      </c>
      <c r="P747" s="9">
        <v>510</v>
      </c>
      <c r="Q747" s="3">
        <v>2.8333333333333335</v>
      </c>
      <c r="R747" s="4">
        <v>170</v>
      </c>
      <c r="S747" s="3">
        <v>123</v>
      </c>
      <c r="T747" s="1">
        <v>0.68389999999999995</v>
      </c>
      <c r="U747" s="6">
        <v>123.10199999999999</v>
      </c>
    </row>
    <row r="748" spans="1:21" x14ac:dyDescent="0.35">
      <c r="A748">
        <v>747</v>
      </c>
      <c r="B748" s="5">
        <v>44943</v>
      </c>
      <c r="C748" s="4">
        <v>2023</v>
      </c>
      <c r="D748" s="4">
        <v>1</v>
      </c>
      <c r="E748" s="14">
        <v>44943</v>
      </c>
      <c r="F748" s="4">
        <v>17</v>
      </c>
      <c r="G748">
        <v>37</v>
      </c>
      <c r="H748">
        <v>27</v>
      </c>
      <c r="I748" s="13">
        <v>0.72</v>
      </c>
      <c r="J748">
        <v>10</v>
      </c>
      <c r="K748" s="2">
        <v>4.0509259259259258E-4</v>
      </c>
      <c r="L748" s="11">
        <v>15.750000000000002</v>
      </c>
      <c r="M748" s="3">
        <v>0.58333333333333337</v>
      </c>
      <c r="N748" s="4">
        <v>35</v>
      </c>
      <c r="O748" s="2">
        <v>2.0023148148148148E-3</v>
      </c>
      <c r="P748" s="9">
        <v>77.849999999999994</v>
      </c>
      <c r="Q748" s="3">
        <v>2.8833333333333333</v>
      </c>
      <c r="R748" s="4">
        <v>173</v>
      </c>
      <c r="S748" s="3">
        <v>13</v>
      </c>
      <c r="T748" s="1">
        <v>0.5</v>
      </c>
      <c r="U748" s="6">
        <v>13.5</v>
      </c>
    </row>
    <row r="749" spans="1:21" x14ac:dyDescent="0.35">
      <c r="A749">
        <v>748</v>
      </c>
      <c r="B749" s="5">
        <v>44944</v>
      </c>
      <c r="C749" s="4">
        <v>2023</v>
      </c>
      <c r="D749" s="4">
        <v>1</v>
      </c>
      <c r="E749" s="14">
        <v>44944</v>
      </c>
      <c r="F749" s="4">
        <v>18</v>
      </c>
      <c r="G749">
        <v>180</v>
      </c>
      <c r="H749">
        <v>169</v>
      </c>
      <c r="I749" s="13">
        <v>0.93</v>
      </c>
      <c r="J749">
        <v>11</v>
      </c>
      <c r="K749" s="2">
        <v>2.6620370370370372E-4</v>
      </c>
      <c r="L749" s="11">
        <v>64.783333333333331</v>
      </c>
      <c r="M749" s="3">
        <v>0.38333333333333336</v>
      </c>
      <c r="N749" s="4">
        <v>23</v>
      </c>
      <c r="O749" s="2">
        <v>1.8981481481481482E-3</v>
      </c>
      <c r="P749" s="9">
        <v>461.93333333333334</v>
      </c>
      <c r="Q749" s="3">
        <v>2.7333333333333334</v>
      </c>
      <c r="R749" s="4">
        <v>164</v>
      </c>
      <c r="S749" s="3">
        <v>114</v>
      </c>
      <c r="T749" s="1">
        <v>0.67979999999999996</v>
      </c>
      <c r="U749" s="6">
        <v>114.88619999999999</v>
      </c>
    </row>
    <row r="750" spans="1:21" x14ac:dyDescent="0.35">
      <c r="A750">
        <v>749</v>
      </c>
      <c r="B750" s="5">
        <v>44945</v>
      </c>
      <c r="C750" s="4">
        <v>2023</v>
      </c>
      <c r="D750" s="4">
        <v>1</v>
      </c>
      <c r="E750" s="14">
        <v>44945</v>
      </c>
      <c r="F750" s="4">
        <v>19</v>
      </c>
      <c r="G750">
        <v>213</v>
      </c>
      <c r="H750">
        <v>198</v>
      </c>
      <c r="I750" s="13">
        <v>0.92</v>
      </c>
      <c r="J750">
        <v>15</v>
      </c>
      <c r="K750" s="2">
        <v>1.8518518518518518E-4</v>
      </c>
      <c r="L750" s="11">
        <v>52.8</v>
      </c>
      <c r="M750" s="3">
        <v>0.26666666666666666</v>
      </c>
      <c r="N750" s="4">
        <v>16</v>
      </c>
      <c r="O750" s="2">
        <v>1.9328703703703704E-3</v>
      </c>
      <c r="P750" s="9">
        <v>551.1</v>
      </c>
      <c r="Q750" s="3">
        <v>2.7833333333333332</v>
      </c>
      <c r="R750" s="4">
        <v>167</v>
      </c>
      <c r="S750" s="3">
        <v>152</v>
      </c>
      <c r="T750" s="1">
        <v>0.77249999999999996</v>
      </c>
      <c r="U750" s="6">
        <v>152.95499999999998</v>
      </c>
    </row>
    <row r="751" spans="1:21" x14ac:dyDescent="0.35">
      <c r="A751">
        <v>750</v>
      </c>
      <c r="B751" s="5">
        <v>44946</v>
      </c>
      <c r="C751" s="4">
        <v>2023</v>
      </c>
      <c r="D751" s="4">
        <v>1</v>
      </c>
      <c r="E751" s="14">
        <v>44946</v>
      </c>
      <c r="F751" s="4">
        <v>20</v>
      </c>
      <c r="G751">
        <v>251</v>
      </c>
      <c r="H751">
        <v>239</v>
      </c>
      <c r="I751" s="13">
        <v>0.95</v>
      </c>
      <c r="J751">
        <v>12</v>
      </c>
      <c r="K751" s="2">
        <v>2.4305555555555555E-4</v>
      </c>
      <c r="L751" s="11">
        <v>83.649999999999991</v>
      </c>
      <c r="M751" s="3">
        <v>0.35</v>
      </c>
      <c r="N751" s="4">
        <v>21</v>
      </c>
      <c r="O751" s="2">
        <v>1.5972222222222223E-3</v>
      </c>
      <c r="P751" s="9">
        <v>549.69999999999993</v>
      </c>
      <c r="Q751" s="3">
        <v>2.2999999999999998</v>
      </c>
      <c r="R751" s="4">
        <v>138</v>
      </c>
      <c r="S751" s="3">
        <v>171</v>
      </c>
      <c r="T751" s="1">
        <v>0.7177</v>
      </c>
      <c r="U751" s="6">
        <v>171.53030000000001</v>
      </c>
    </row>
    <row r="752" spans="1:21" x14ac:dyDescent="0.35">
      <c r="A752">
        <v>751</v>
      </c>
      <c r="B752" s="5">
        <v>44947</v>
      </c>
      <c r="C752" s="4">
        <v>2023</v>
      </c>
      <c r="D752" s="4">
        <v>1</v>
      </c>
      <c r="E752" s="14">
        <v>44947</v>
      </c>
      <c r="F752" s="4">
        <v>21</v>
      </c>
      <c r="G752">
        <v>200</v>
      </c>
      <c r="H752">
        <v>189</v>
      </c>
      <c r="I752" s="13">
        <v>0.94</v>
      </c>
      <c r="J752">
        <v>11</v>
      </c>
      <c r="K752" s="2">
        <v>2.199074074074074E-4</v>
      </c>
      <c r="L752" s="11">
        <v>59.849999999999994</v>
      </c>
      <c r="M752" s="3">
        <v>0.31666666666666665</v>
      </c>
      <c r="N752" s="4">
        <v>19</v>
      </c>
      <c r="O752" s="2">
        <v>2.0023148148148148E-3</v>
      </c>
      <c r="P752" s="9">
        <v>544.95000000000005</v>
      </c>
      <c r="Q752" s="3">
        <v>2.8833333333333333</v>
      </c>
      <c r="R752" s="4">
        <v>173</v>
      </c>
      <c r="S752" s="3">
        <v>144</v>
      </c>
      <c r="T752" s="1">
        <v>0.76259999999999994</v>
      </c>
      <c r="U752" s="6">
        <v>144.13139999999999</v>
      </c>
    </row>
    <row r="753" spans="1:21" x14ac:dyDescent="0.35">
      <c r="A753">
        <v>752</v>
      </c>
      <c r="B753" s="5">
        <v>44948</v>
      </c>
      <c r="C753" s="4">
        <v>2023</v>
      </c>
      <c r="D753" s="4">
        <v>1</v>
      </c>
      <c r="E753" s="14">
        <v>44948</v>
      </c>
      <c r="F753" s="4">
        <v>22</v>
      </c>
      <c r="G753">
        <v>214</v>
      </c>
      <c r="H753">
        <v>205</v>
      </c>
      <c r="I753" s="13">
        <v>0.95</v>
      </c>
      <c r="J753">
        <v>9</v>
      </c>
      <c r="K753" s="2">
        <v>2.8935185185185184E-4</v>
      </c>
      <c r="L753" s="11">
        <v>85.416666666666671</v>
      </c>
      <c r="M753" s="3">
        <v>0.41666666666666669</v>
      </c>
      <c r="N753" s="4">
        <v>25</v>
      </c>
      <c r="O753" s="2">
        <v>1.9444444444444444E-3</v>
      </c>
      <c r="P753" s="9">
        <v>574</v>
      </c>
      <c r="Q753" s="3">
        <v>2.8</v>
      </c>
      <c r="R753" s="4">
        <v>168</v>
      </c>
      <c r="S753" s="3">
        <v>147</v>
      </c>
      <c r="T753" s="1">
        <v>0.71960000000000002</v>
      </c>
      <c r="U753" s="6">
        <v>147.518</v>
      </c>
    </row>
    <row r="754" spans="1:21" x14ac:dyDescent="0.35">
      <c r="A754">
        <v>753</v>
      </c>
      <c r="B754" s="5">
        <v>44949</v>
      </c>
      <c r="C754" s="4">
        <v>2023</v>
      </c>
      <c r="D754" s="4">
        <v>1</v>
      </c>
      <c r="E754" s="14">
        <v>44949</v>
      </c>
      <c r="F754" s="4">
        <v>23</v>
      </c>
      <c r="G754">
        <v>185</v>
      </c>
      <c r="H754">
        <v>154</v>
      </c>
      <c r="I754" s="13">
        <v>0.83</v>
      </c>
      <c r="J754">
        <v>31</v>
      </c>
      <c r="K754" s="2">
        <v>5.4398148148148144E-4</v>
      </c>
      <c r="L754" s="11">
        <v>120.63333333333333</v>
      </c>
      <c r="M754" s="3">
        <v>0.78333333333333333</v>
      </c>
      <c r="N754" s="4">
        <v>47</v>
      </c>
      <c r="O754" s="2">
        <v>2.0370370370370369E-3</v>
      </c>
      <c r="P754" s="9">
        <v>451.73333333333335</v>
      </c>
      <c r="Q754" s="3">
        <v>2.9333333333333336</v>
      </c>
      <c r="R754" s="4">
        <v>176</v>
      </c>
      <c r="S754" s="3">
        <v>55</v>
      </c>
      <c r="T754" s="1">
        <v>0.35909999999999997</v>
      </c>
      <c r="U754" s="6">
        <v>55.301399999999994</v>
      </c>
    </row>
    <row r="755" spans="1:21" x14ac:dyDescent="0.35">
      <c r="A755">
        <v>754</v>
      </c>
      <c r="B755" s="5">
        <v>44950</v>
      </c>
      <c r="C755" s="4">
        <v>2023</v>
      </c>
      <c r="D755" s="4">
        <v>1</v>
      </c>
      <c r="E755" s="14">
        <v>44950</v>
      </c>
      <c r="F755" s="4">
        <v>24</v>
      </c>
      <c r="G755">
        <v>49</v>
      </c>
      <c r="H755">
        <v>46</v>
      </c>
      <c r="I755" s="13">
        <v>0.93</v>
      </c>
      <c r="J755">
        <v>3</v>
      </c>
      <c r="K755" s="2">
        <v>4.3981481481481481E-4</v>
      </c>
      <c r="L755" s="11">
        <v>29.133333333333333</v>
      </c>
      <c r="M755" s="3">
        <v>0.6333333333333333</v>
      </c>
      <c r="N755" s="4">
        <v>38</v>
      </c>
      <c r="O755" s="2">
        <v>1.6319444444444445E-3</v>
      </c>
      <c r="P755" s="9">
        <v>108.10000000000001</v>
      </c>
      <c r="Q755" s="3">
        <v>2.35</v>
      </c>
      <c r="R755" s="4">
        <v>141</v>
      </c>
      <c r="S755" s="3">
        <v>23</v>
      </c>
      <c r="T755" s="1">
        <v>0.52080000000000004</v>
      </c>
      <c r="U755" s="6">
        <v>23.956800000000001</v>
      </c>
    </row>
    <row r="756" spans="1:21" x14ac:dyDescent="0.35">
      <c r="A756">
        <v>755</v>
      </c>
      <c r="B756" s="5">
        <v>44951</v>
      </c>
      <c r="C756" s="4">
        <v>2023</v>
      </c>
      <c r="D756" s="4">
        <v>1</v>
      </c>
      <c r="E756" s="14">
        <v>44951</v>
      </c>
      <c r="F756" s="4">
        <v>25</v>
      </c>
      <c r="G756">
        <v>193</v>
      </c>
      <c r="H756">
        <v>185</v>
      </c>
      <c r="I756" s="13">
        <v>0.95</v>
      </c>
      <c r="J756">
        <v>8</v>
      </c>
      <c r="K756" s="2">
        <v>2.4305555555555555E-4</v>
      </c>
      <c r="L756" s="11">
        <v>64.75</v>
      </c>
      <c r="M756" s="3">
        <v>0.35</v>
      </c>
      <c r="N756" s="4">
        <v>21</v>
      </c>
      <c r="O756" s="2">
        <v>1.9791666666666668E-3</v>
      </c>
      <c r="P756" s="9">
        <v>527.25</v>
      </c>
      <c r="Q756" s="3">
        <v>2.85</v>
      </c>
      <c r="R756" s="4">
        <v>171</v>
      </c>
      <c r="S756" s="3">
        <v>140</v>
      </c>
      <c r="T756" s="1">
        <v>0.75790000000000002</v>
      </c>
      <c r="U756" s="6">
        <v>140.2115</v>
      </c>
    </row>
    <row r="757" spans="1:21" x14ac:dyDescent="0.35">
      <c r="A757">
        <v>756</v>
      </c>
      <c r="B757" s="5">
        <v>44952</v>
      </c>
      <c r="C757" s="4">
        <v>2023</v>
      </c>
      <c r="D757" s="4">
        <v>1</v>
      </c>
      <c r="E757" s="14">
        <v>44952</v>
      </c>
      <c r="F757" s="4">
        <v>26</v>
      </c>
      <c r="G757">
        <v>195</v>
      </c>
      <c r="H757">
        <v>184</v>
      </c>
      <c r="I757" s="13">
        <v>0.94</v>
      </c>
      <c r="J757">
        <v>11</v>
      </c>
      <c r="K757" s="2">
        <v>2.5462962962962961E-4</v>
      </c>
      <c r="L757" s="11">
        <v>67.466666666666669</v>
      </c>
      <c r="M757" s="3">
        <v>0.36666666666666664</v>
      </c>
      <c r="N757" s="4">
        <v>22</v>
      </c>
      <c r="O757" s="2">
        <v>1.8402777777777777E-3</v>
      </c>
      <c r="P757" s="9">
        <v>487.59999999999997</v>
      </c>
      <c r="Q757" s="3">
        <v>2.65</v>
      </c>
      <c r="R757" s="4">
        <v>159</v>
      </c>
      <c r="S757" s="3">
        <v>128</v>
      </c>
      <c r="T757" s="1">
        <v>0.7</v>
      </c>
      <c r="U757" s="6">
        <v>128.79999999999998</v>
      </c>
    </row>
    <row r="758" spans="1:21" x14ac:dyDescent="0.35">
      <c r="A758">
        <v>757</v>
      </c>
      <c r="B758" s="5">
        <v>44953</v>
      </c>
      <c r="C758" s="4">
        <v>2023</v>
      </c>
      <c r="D758" s="4">
        <v>1</v>
      </c>
      <c r="E758" s="14">
        <v>44953</v>
      </c>
      <c r="F758" s="4">
        <v>27</v>
      </c>
      <c r="G758">
        <v>211</v>
      </c>
      <c r="H758">
        <v>195</v>
      </c>
      <c r="I758" s="13">
        <v>0.92</v>
      </c>
      <c r="J758">
        <v>16</v>
      </c>
      <c r="K758" s="2">
        <v>3.9351851851851852E-4</v>
      </c>
      <c r="L758" s="11">
        <v>110.5</v>
      </c>
      <c r="M758" s="3">
        <v>0.56666666666666665</v>
      </c>
      <c r="N758" s="4">
        <v>34</v>
      </c>
      <c r="O758" s="2">
        <v>1.9791666666666668E-3</v>
      </c>
      <c r="P758" s="9">
        <v>555.75</v>
      </c>
      <c r="Q758" s="3">
        <v>2.85</v>
      </c>
      <c r="R758" s="4">
        <v>171</v>
      </c>
      <c r="S758" s="3">
        <v>111</v>
      </c>
      <c r="T758" s="1">
        <v>0.56940000000000002</v>
      </c>
      <c r="U758" s="6">
        <v>111.033</v>
      </c>
    </row>
    <row r="759" spans="1:21" x14ac:dyDescent="0.35">
      <c r="A759">
        <v>758</v>
      </c>
      <c r="B759" s="5">
        <v>44954</v>
      </c>
      <c r="C759" s="4">
        <v>2023</v>
      </c>
      <c r="D759" s="4">
        <v>1</v>
      </c>
      <c r="E759" s="14">
        <v>44954</v>
      </c>
      <c r="F759" s="4">
        <v>28</v>
      </c>
      <c r="G759">
        <v>200</v>
      </c>
      <c r="H759">
        <v>190</v>
      </c>
      <c r="I759" s="13">
        <v>0.95</v>
      </c>
      <c r="J759">
        <v>10</v>
      </c>
      <c r="K759" s="2">
        <v>1.7361111111111112E-4</v>
      </c>
      <c r="L759" s="11">
        <v>47.5</v>
      </c>
      <c r="M759" s="3">
        <v>0.25</v>
      </c>
      <c r="N759" s="4">
        <v>15</v>
      </c>
      <c r="O759" s="2">
        <v>2.0370370370370369E-3</v>
      </c>
      <c r="P759" s="9">
        <v>557.33333333333337</v>
      </c>
      <c r="Q759" s="3">
        <v>2.9333333333333336</v>
      </c>
      <c r="R759" s="4">
        <v>176</v>
      </c>
      <c r="S759" s="3">
        <v>153</v>
      </c>
      <c r="T759" s="1">
        <v>0.80930000000000002</v>
      </c>
      <c r="U759" s="6">
        <v>153.767</v>
      </c>
    </row>
    <row r="760" spans="1:21" x14ac:dyDescent="0.35">
      <c r="A760">
        <v>759</v>
      </c>
      <c r="B760" s="5">
        <v>44955</v>
      </c>
      <c r="C760" s="4">
        <v>2023</v>
      </c>
      <c r="D760" s="4">
        <v>1</v>
      </c>
      <c r="E760" s="14">
        <v>44955</v>
      </c>
      <c r="F760" s="4">
        <v>29</v>
      </c>
      <c r="G760">
        <v>48</v>
      </c>
      <c r="H760">
        <v>47</v>
      </c>
      <c r="I760" s="13">
        <v>0.97</v>
      </c>
      <c r="J760">
        <v>1</v>
      </c>
      <c r="K760" s="2">
        <v>1.7361111111111112E-4</v>
      </c>
      <c r="L760" s="11">
        <v>11.75</v>
      </c>
      <c r="M760" s="3">
        <v>0.25</v>
      </c>
      <c r="N760" s="4">
        <v>15</v>
      </c>
      <c r="O760" s="2">
        <v>2.2337962962962962E-3</v>
      </c>
      <c r="P760" s="9">
        <v>151.18333333333334</v>
      </c>
      <c r="Q760" s="3">
        <v>3.2166666666666668</v>
      </c>
      <c r="R760" s="4">
        <v>193</v>
      </c>
      <c r="S760" s="3">
        <v>38</v>
      </c>
      <c r="T760" s="1">
        <v>0.8125</v>
      </c>
      <c r="U760" s="6">
        <v>38.1875</v>
      </c>
    </row>
    <row r="761" spans="1:21" x14ac:dyDescent="0.35">
      <c r="A761">
        <v>760</v>
      </c>
      <c r="B761" s="5">
        <v>44956</v>
      </c>
      <c r="C761" s="4">
        <v>2023</v>
      </c>
      <c r="D761" s="4">
        <v>1</v>
      </c>
      <c r="E761" s="14">
        <v>44956</v>
      </c>
      <c r="F761" s="4">
        <v>30</v>
      </c>
      <c r="G761">
        <v>164</v>
      </c>
      <c r="H761">
        <v>159</v>
      </c>
      <c r="I761" s="13">
        <v>0.96</v>
      </c>
      <c r="J761">
        <v>5</v>
      </c>
      <c r="K761" s="2">
        <v>2.3148148148148149E-4</v>
      </c>
      <c r="L761" s="11">
        <v>53</v>
      </c>
      <c r="M761" s="3">
        <v>0.33333333333333331</v>
      </c>
      <c r="N761" s="4">
        <v>20</v>
      </c>
      <c r="O761" s="2">
        <v>1.9791666666666668E-3</v>
      </c>
      <c r="P761" s="9">
        <v>453.15000000000003</v>
      </c>
      <c r="Q761" s="3">
        <v>2.85</v>
      </c>
      <c r="R761" s="4">
        <v>171</v>
      </c>
      <c r="S761" s="3">
        <v>123</v>
      </c>
      <c r="T761" s="1">
        <v>0.77780000000000005</v>
      </c>
      <c r="U761" s="6">
        <v>123.67020000000001</v>
      </c>
    </row>
    <row r="762" spans="1:21" x14ac:dyDescent="0.35">
      <c r="A762">
        <v>761</v>
      </c>
      <c r="B762" s="5">
        <v>44957</v>
      </c>
      <c r="C762" s="4">
        <v>2023</v>
      </c>
      <c r="D762" s="4">
        <v>1</v>
      </c>
      <c r="E762" s="14">
        <v>44957</v>
      </c>
      <c r="F762" s="4">
        <v>31</v>
      </c>
      <c r="G762">
        <v>43</v>
      </c>
      <c r="H762">
        <v>42</v>
      </c>
      <c r="I762" s="13">
        <v>0.97</v>
      </c>
      <c r="J762">
        <v>1</v>
      </c>
      <c r="K762" s="2">
        <v>1.6203703703703703E-4</v>
      </c>
      <c r="L762" s="11">
        <v>9.8000000000000007</v>
      </c>
      <c r="M762" s="3">
        <v>0.23333333333333334</v>
      </c>
      <c r="N762" s="4">
        <v>14</v>
      </c>
      <c r="O762" s="2">
        <v>1.7592592592592592E-3</v>
      </c>
      <c r="P762" s="9">
        <v>106.39999999999999</v>
      </c>
      <c r="Q762" s="3">
        <v>2.5333333333333332</v>
      </c>
      <c r="R762" s="4">
        <v>152</v>
      </c>
      <c r="S762" s="3">
        <v>35</v>
      </c>
      <c r="T762" s="1">
        <v>0.83720000000000006</v>
      </c>
      <c r="U762" s="6">
        <v>35.162400000000005</v>
      </c>
    </row>
    <row r="763" spans="1:21" x14ac:dyDescent="0.35">
      <c r="A763">
        <v>762</v>
      </c>
      <c r="B763" s="5">
        <v>44958</v>
      </c>
      <c r="C763" s="4">
        <v>2023</v>
      </c>
      <c r="D763" s="4">
        <v>2</v>
      </c>
      <c r="E763" s="14">
        <v>44958</v>
      </c>
      <c r="F763" s="4">
        <v>1</v>
      </c>
      <c r="G763">
        <v>236</v>
      </c>
      <c r="H763">
        <v>223</v>
      </c>
      <c r="I763" s="13">
        <v>0.94</v>
      </c>
      <c r="J763">
        <v>13</v>
      </c>
      <c r="K763" s="2">
        <v>3.0092592592592595E-4</v>
      </c>
      <c r="L763" s="11">
        <v>96.63333333333334</v>
      </c>
      <c r="M763" s="3">
        <v>0.43333333333333335</v>
      </c>
      <c r="N763" s="4">
        <v>26</v>
      </c>
      <c r="O763" s="2">
        <v>1.9212962962962964E-3</v>
      </c>
      <c r="P763" s="9">
        <v>616.9666666666667</v>
      </c>
      <c r="Q763" s="3">
        <v>2.7666666666666666</v>
      </c>
      <c r="R763" s="4">
        <v>166</v>
      </c>
      <c r="S763" s="3">
        <v>144</v>
      </c>
      <c r="T763" s="1">
        <v>0.64829999999999999</v>
      </c>
      <c r="U763" s="6">
        <v>144.57089999999999</v>
      </c>
    </row>
    <row r="764" spans="1:21" x14ac:dyDescent="0.35">
      <c r="A764">
        <v>763</v>
      </c>
      <c r="B764" s="5">
        <v>44959</v>
      </c>
      <c r="C764" s="4">
        <v>2023</v>
      </c>
      <c r="D764" s="4">
        <v>2</v>
      </c>
      <c r="E764" s="14">
        <v>44959</v>
      </c>
      <c r="F764" s="4">
        <v>2</v>
      </c>
      <c r="G764">
        <v>270</v>
      </c>
      <c r="H764">
        <v>262</v>
      </c>
      <c r="I764" s="13">
        <v>0.97</v>
      </c>
      <c r="J764">
        <v>8</v>
      </c>
      <c r="K764" s="2">
        <v>1.7361111111111112E-4</v>
      </c>
      <c r="L764" s="11">
        <v>65.5</v>
      </c>
      <c r="M764" s="3">
        <v>0.25</v>
      </c>
      <c r="N764" s="4">
        <v>15</v>
      </c>
      <c r="O764" s="2">
        <v>1.8055555555555555E-3</v>
      </c>
      <c r="P764" s="9">
        <v>681.2</v>
      </c>
      <c r="Q764" s="3">
        <v>2.6</v>
      </c>
      <c r="R764" s="4">
        <v>156</v>
      </c>
      <c r="S764" s="3">
        <v>218</v>
      </c>
      <c r="T764" s="1">
        <v>0.83209999999999995</v>
      </c>
      <c r="U764" s="6">
        <v>218.0102</v>
      </c>
    </row>
    <row r="765" spans="1:21" x14ac:dyDescent="0.35">
      <c r="A765">
        <v>764</v>
      </c>
      <c r="B765" s="5">
        <v>44960</v>
      </c>
      <c r="C765" s="4">
        <v>2023</v>
      </c>
      <c r="D765" s="4">
        <v>2</v>
      </c>
      <c r="E765" s="14">
        <v>44960</v>
      </c>
      <c r="F765" s="4">
        <v>3</v>
      </c>
      <c r="G765">
        <v>304</v>
      </c>
      <c r="H765">
        <v>262</v>
      </c>
      <c r="I765" s="13">
        <v>0.86</v>
      </c>
      <c r="J765">
        <v>42</v>
      </c>
      <c r="K765" s="2">
        <v>3.9351851851851852E-4</v>
      </c>
      <c r="L765" s="11">
        <v>148.46666666666667</v>
      </c>
      <c r="M765" s="3">
        <v>0.56666666666666665</v>
      </c>
      <c r="N765" s="4">
        <v>34</v>
      </c>
      <c r="O765" s="2">
        <v>2.0370370370370369E-3</v>
      </c>
      <c r="P765" s="9">
        <v>768.53333333333342</v>
      </c>
      <c r="Q765" s="3">
        <v>2.9333333333333336</v>
      </c>
      <c r="R765" s="4">
        <v>176</v>
      </c>
      <c r="S765" s="3">
        <v>148</v>
      </c>
      <c r="T765" s="1">
        <v>0.56620000000000004</v>
      </c>
      <c r="U765" s="6">
        <v>148.34440000000001</v>
      </c>
    </row>
    <row r="766" spans="1:21" x14ac:dyDescent="0.35">
      <c r="A766">
        <v>765</v>
      </c>
      <c r="B766" s="5">
        <v>44961</v>
      </c>
      <c r="C766" s="4">
        <v>2023</v>
      </c>
      <c r="D766" s="4">
        <v>2</v>
      </c>
      <c r="E766" s="14">
        <v>44961</v>
      </c>
      <c r="F766" s="4">
        <v>4</v>
      </c>
      <c r="G766">
        <v>286</v>
      </c>
      <c r="H766">
        <v>270</v>
      </c>
      <c r="I766" s="13">
        <v>0.94</v>
      </c>
      <c r="J766">
        <v>16</v>
      </c>
      <c r="K766" s="2">
        <v>2.3148148148148149E-4</v>
      </c>
      <c r="L766" s="11">
        <v>90</v>
      </c>
      <c r="M766" s="3">
        <v>0.33333333333333331</v>
      </c>
      <c r="N766" s="4">
        <v>20</v>
      </c>
      <c r="O766" s="2">
        <v>1.9444444444444444E-3</v>
      </c>
      <c r="P766" s="9">
        <v>756</v>
      </c>
      <c r="Q766" s="3">
        <v>2.8</v>
      </c>
      <c r="R766" s="4">
        <v>168</v>
      </c>
      <c r="S766" s="3">
        <v>192</v>
      </c>
      <c r="T766" s="1">
        <v>0.71479999999999999</v>
      </c>
      <c r="U766" s="6">
        <v>192.99600000000001</v>
      </c>
    </row>
    <row r="767" spans="1:21" x14ac:dyDescent="0.35">
      <c r="A767">
        <v>766</v>
      </c>
      <c r="B767" s="5">
        <v>44962</v>
      </c>
      <c r="C767" s="4">
        <v>2023</v>
      </c>
      <c r="D767" s="4">
        <v>2</v>
      </c>
      <c r="E767" s="14">
        <v>44962</v>
      </c>
      <c r="F767" s="4">
        <v>5</v>
      </c>
      <c r="G767">
        <v>317</v>
      </c>
      <c r="H767">
        <v>284</v>
      </c>
      <c r="I767" s="13">
        <v>0.89</v>
      </c>
      <c r="J767">
        <v>33</v>
      </c>
      <c r="K767" s="2">
        <v>3.4722222222222224E-4</v>
      </c>
      <c r="L767" s="11">
        <v>142</v>
      </c>
      <c r="M767" s="3">
        <v>0.5</v>
      </c>
      <c r="N767" s="4">
        <v>30</v>
      </c>
      <c r="O767" s="2">
        <v>1.9444444444444444E-3</v>
      </c>
      <c r="P767" s="9">
        <v>795.19999999999993</v>
      </c>
      <c r="Q767" s="3">
        <v>2.8</v>
      </c>
      <c r="R767" s="4">
        <v>168</v>
      </c>
      <c r="S767" s="3">
        <v>187</v>
      </c>
      <c r="T767" s="1">
        <v>0.6603</v>
      </c>
      <c r="U767" s="6">
        <v>187.52520000000001</v>
      </c>
    </row>
    <row r="768" spans="1:21" x14ac:dyDescent="0.35">
      <c r="A768">
        <v>767</v>
      </c>
      <c r="B768" s="5">
        <v>44963</v>
      </c>
      <c r="C768" s="4">
        <v>2023</v>
      </c>
      <c r="D768" s="4">
        <v>2</v>
      </c>
      <c r="E768" s="14">
        <v>44963</v>
      </c>
      <c r="F768" s="4">
        <v>6</v>
      </c>
      <c r="G768">
        <v>471</v>
      </c>
      <c r="H768">
        <v>396</v>
      </c>
      <c r="I768" s="13">
        <v>0.84</v>
      </c>
      <c r="J768">
        <v>75</v>
      </c>
      <c r="K768" s="2">
        <v>6.8287037037037036E-4</v>
      </c>
      <c r="L768" s="11">
        <v>389.4</v>
      </c>
      <c r="M768" s="3">
        <v>0.98333333333333328</v>
      </c>
      <c r="N768" s="4">
        <v>59</v>
      </c>
      <c r="O768" s="2">
        <v>1.8634259259259259E-3</v>
      </c>
      <c r="P768" s="9">
        <v>1062.6000000000001</v>
      </c>
      <c r="Q768" s="3">
        <v>2.6833333333333336</v>
      </c>
      <c r="R768" s="4">
        <v>161</v>
      </c>
      <c r="S768" s="3">
        <v>121</v>
      </c>
      <c r="T768" s="1">
        <v>0.308</v>
      </c>
      <c r="U768" s="6">
        <v>121.968</v>
      </c>
    </row>
    <row r="769" spans="1:21" x14ac:dyDescent="0.35">
      <c r="A769">
        <v>768</v>
      </c>
      <c r="B769" s="5">
        <v>44964</v>
      </c>
      <c r="C769" s="4">
        <v>2023</v>
      </c>
      <c r="D769" s="4">
        <v>2</v>
      </c>
      <c r="E769" s="14">
        <v>44964</v>
      </c>
      <c r="F769" s="4">
        <v>7</v>
      </c>
      <c r="G769">
        <v>48</v>
      </c>
      <c r="H769">
        <v>44</v>
      </c>
      <c r="I769" s="13">
        <v>0.91</v>
      </c>
      <c r="J769">
        <v>4</v>
      </c>
      <c r="K769" s="2">
        <v>3.3564814814814812E-4</v>
      </c>
      <c r="L769" s="11">
        <v>21.266666666666666</v>
      </c>
      <c r="M769" s="3">
        <v>0.48333333333333334</v>
      </c>
      <c r="N769" s="4">
        <v>29</v>
      </c>
      <c r="O769" s="2">
        <v>1.7476851851851852E-3</v>
      </c>
      <c r="P769" s="9">
        <v>110.73333333333333</v>
      </c>
      <c r="Q769" s="3">
        <v>2.5166666666666666</v>
      </c>
      <c r="R769" s="4">
        <v>151</v>
      </c>
      <c r="S769" s="3">
        <v>29</v>
      </c>
      <c r="T769" s="1">
        <v>0.65959999999999996</v>
      </c>
      <c r="U769" s="6">
        <v>29.022399999999998</v>
      </c>
    </row>
    <row r="770" spans="1:21" x14ac:dyDescent="0.35">
      <c r="A770">
        <v>769</v>
      </c>
      <c r="B770" s="5">
        <v>44965</v>
      </c>
      <c r="C770" s="4">
        <v>2023</v>
      </c>
      <c r="D770" s="4">
        <v>2</v>
      </c>
      <c r="E770" s="14">
        <v>44965</v>
      </c>
      <c r="F770" s="4">
        <v>8</v>
      </c>
      <c r="G770">
        <v>375</v>
      </c>
      <c r="H770">
        <v>317</v>
      </c>
      <c r="I770" s="13">
        <v>0.84</v>
      </c>
      <c r="J770">
        <v>58</v>
      </c>
      <c r="K770" s="2">
        <v>4.9768518518518521E-4</v>
      </c>
      <c r="L770" s="11">
        <v>227.18333333333334</v>
      </c>
      <c r="M770" s="3">
        <v>0.71666666666666667</v>
      </c>
      <c r="N770" s="4">
        <v>43</v>
      </c>
      <c r="O770" s="2">
        <v>1.9907407407407408E-3</v>
      </c>
      <c r="P770" s="9">
        <v>908.73333333333335</v>
      </c>
      <c r="Q770" s="3">
        <v>2.8666666666666667</v>
      </c>
      <c r="R770" s="4">
        <v>172</v>
      </c>
      <c r="S770" s="3">
        <v>129</v>
      </c>
      <c r="T770" s="1">
        <v>0.40870000000000001</v>
      </c>
      <c r="U770" s="6">
        <v>129.55789999999999</v>
      </c>
    </row>
    <row r="771" spans="1:21" x14ac:dyDescent="0.35">
      <c r="A771">
        <v>770</v>
      </c>
      <c r="B771" s="5">
        <v>44966</v>
      </c>
      <c r="C771" s="4">
        <v>2023</v>
      </c>
      <c r="D771" s="4">
        <v>2</v>
      </c>
      <c r="E771" s="14">
        <v>44966</v>
      </c>
      <c r="F771" s="4">
        <v>9</v>
      </c>
      <c r="G771">
        <v>327</v>
      </c>
      <c r="H771">
        <v>309</v>
      </c>
      <c r="I771" s="13">
        <v>0.94</v>
      </c>
      <c r="J771">
        <v>18</v>
      </c>
      <c r="K771" s="2">
        <v>2.5462962962962961E-4</v>
      </c>
      <c r="L771" s="11">
        <v>113.3</v>
      </c>
      <c r="M771" s="3">
        <v>0.36666666666666664</v>
      </c>
      <c r="N771" s="4">
        <v>22</v>
      </c>
      <c r="O771" s="2">
        <v>1.9444444444444444E-3</v>
      </c>
      <c r="P771" s="9">
        <v>865.19999999999993</v>
      </c>
      <c r="Q771" s="3">
        <v>2.8</v>
      </c>
      <c r="R771" s="4">
        <v>168</v>
      </c>
      <c r="S771" s="3">
        <v>210</v>
      </c>
      <c r="T771" s="1">
        <v>0.68210000000000004</v>
      </c>
      <c r="U771" s="6">
        <v>210.7689</v>
      </c>
    </row>
    <row r="772" spans="1:21" x14ac:dyDescent="0.35">
      <c r="A772">
        <v>771</v>
      </c>
      <c r="B772" s="5">
        <v>44967</v>
      </c>
      <c r="C772" s="4">
        <v>2023</v>
      </c>
      <c r="D772" s="4">
        <v>2</v>
      </c>
      <c r="E772" s="14">
        <v>44967</v>
      </c>
      <c r="F772" s="4">
        <v>10</v>
      </c>
      <c r="G772">
        <v>366</v>
      </c>
      <c r="H772">
        <v>316</v>
      </c>
      <c r="I772" s="13">
        <v>0.86</v>
      </c>
      <c r="J772">
        <v>50</v>
      </c>
      <c r="K772" s="2">
        <v>4.2824074074074075E-4</v>
      </c>
      <c r="L772" s="11">
        <v>194.86666666666667</v>
      </c>
      <c r="M772" s="3">
        <v>0.6166666666666667</v>
      </c>
      <c r="N772" s="4">
        <v>37</v>
      </c>
      <c r="O772" s="2">
        <v>1.8981481481481482E-3</v>
      </c>
      <c r="P772" s="9">
        <v>863.73333333333335</v>
      </c>
      <c r="Q772" s="3">
        <v>2.7333333333333334</v>
      </c>
      <c r="R772" s="4">
        <v>164</v>
      </c>
      <c r="S772" s="3">
        <v>169</v>
      </c>
      <c r="T772" s="1">
        <v>0.53739999999999999</v>
      </c>
      <c r="U772" s="6">
        <v>169.8184</v>
      </c>
    </row>
    <row r="773" spans="1:21" x14ac:dyDescent="0.35">
      <c r="A773">
        <v>772</v>
      </c>
      <c r="B773" s="5">
        <v>44968</v>
      </c>
      <c r="C773" s="4">
        <v>2023</v>
      </c>
      <c r="D773" s="4">
        <v>2</v>
      </c>
      <c r="E773" s="14">
        <v>44968</v>
      </c>
      <c r="F773" s="4">
        <v>11</v>
      </c>
      <c r="G773">
        <v>121</v>
      </c>
      <c r="H773">
        <v>105</v>
      </c>
      <c r="I773" s="13">
        <v>0.86</v>
      </c>
      <c r="J773">
        <v>16</v>
      </c>
      <c r="K773" s="2">
        <v>5.4398148148148144E-4</v>
      </c>
      <c r="L773" s="11">
        <v>82.25</v>
      </c>
      <c r="M773" s="3">
        <v>0.78333333333333333</v>
      </c>
      <c r="N773" s="4">
        <v>47</v>
      </c>
      <c r="O773" s="2">
        <v>2.0833333333333333E-3</v>
      </c>
      <c r="P773" s="9">
        <v>315</v>
      </c>
      <c r="Q773" s="3">
        <v>3</v>
      </c>
      <c r="R773" s="4">
        <v>180</v>
      </c>
      <c r="S773" s="3">
        <v>63</v>
      </c>
      <c r="T773" s="1">
        <v>0.6</v>
      </c>
      <c r="U773" s="6">
        <v>63</v>
      </c>
    </row>
    <row r="774" spans="1:21" x14ac:dyDescent="0.35">
      <c r="A774">
        <v>773</v>
      </c>
      <c r="B774" s="5">
        <v>44969</v>
      </c>
      <c r="C774" s="4">
        <v>2023</v>
      </c>
      <c r="D774" s="4">
        <v>2</v>
      </c>
      <c r="E774" s="14">
        <v>44969</v>
      </c>
      <c r="F774" s="4">
        <v>12</v>
      </c>
      <c r="G774">
        <v>287</v>
      </c>
      <c r="H774">
        <v>266</v>
      </c>
      <c r="I774" s="13">
        <v>0.92</v>
      </c>
      <c r="J774">
        <v>21</v>
      </c>
      <c r="K774" s="2">
        <v>3.9351851851851852E-4</v>
      </c>
      <c r="L774" s="11">
        <v>150.73333333333332</v>
      </c>
      <c r="M774" s="3">
        <v>0.56666666666666665</v>
      </c>
      <c r="N774" s="4">
        <v>34</v>
      </c>
      <c r="O774" s="2">
        <v>2.1527777777777778E-3</v>
      </c>
      <c r="P774" s="9">
        <v>824.6</v>
      </c>
      <c r="Q774" s="3">
        <v>3.1</v>
      </c>
      <c r="R774" s="4">
        <v>186</v>
      </c>
      <c r="S774" s="3">
        <v>158</v>
      </c>
      <c r="T774" s="1">
        <v>0.59719999999999995</v>
      </c>
      <c r="U774" s="6">
        <v>158.8552</v>
      </c>
    </row>
    <row r="775" spans="1:21" x14ac:dyDescent="0.35">
      <c r="A775">
        <v>774</v>
      </c>
      <c r="B775" s="5">
        <v>44970</v>
      </c>
      <c r="C775" s="4">
        <v>2023</v>
      </c>
      <c r="D775" s="4">
        <v>2</v>
      </c>
      <c r="E775" s="14">
        <v>44970</v>
      </c>
      <c r="F775" s="4">
        <v>13</v>
      </c>
      <c r="G775">
        <v>298</v>
      </c>
      <c r="H775">
        <v>277</v>
      </c>
      <c r="I775" s="13">
        <v>0.92</v>
      </c>
      <c r="J775">
        <v>21</v>
      </c>
      <c r="K775" s="2">
        <v>4.5138888888888887E-4</v>
      </c>
      <c r="L775" s="11">
        <v>180.05</v>
      </c>
      <c r="M775" s="3">
        <v>0.65</v>
      </c>
      <c r="N775" s="4">
        <v>39</v>
      </c>
      <c r="O775" s="2">
        <v>2.1759259259259258E-3</v>
      </c>
      <c r="P775" s="9">
        <v>867.93333333333328</v>
      </c>
      <c r="Q775" s="3">
        <v>3.1333333333333333</v>
      </c>
      <c r="R775" s="4">
        <v>188</v>
      </c>
      <c r="S775" s="3">
        <v>141</v>
      </c>
      <c r="T775" s="1">
        <v>0.51180000000000003</v>
      </c>
      <c r="U775" s="6">
        <v>141.76860000000002</v>
      </c>
    </row>
    <row r="776" spans="1:21" x14ac:dyDescent="0.35">
      <c r="A776">
        <v>775</v>
      </c>
      <c r="B776" s="5">
        <v>44971</v>
      </c>
      <c r="C776" s="4">
        <v>2023</v>
      </c>
      <c r="D776" s="4">
        <v>2</v>
      </c>
      <c r="E776" s="14">
        <v>44971</v>
      </c>
      <c r="F776" s="4">
        <v>14</v>
      </c>
      <c r="G776">
        <v>70</v>
      </c>
      <c r="H776">
        <v>56</v>
      </c>
      <c r="I776" s="13">
        <v>0.8</v>
      </c>
      <c r="J776">
        <v>14</v>
      </c>
      <c r="K776" s="2">
        <v>5.3240740740740744E-4</v>
      </c>
      <c r="L776" s="11">
        <v>42.933333333333337</v>
      </c>
      <c r="M776" s="3">
        <v>0.76666666666666672</v>
      </c>
      <c r="N776" s="4">
        <v>46</v>
      </c>
      <c r="O776" s="2">
        <v>2.3495370370370371E-3</v>
      </c>
      <c r="P776" s="9">
        <v>189.46666666666667</v>
      </c>
      <c r="Q776" s="3">
        <v>3.3833333333333333</v>
      </c>
      <c r="R776" s="4">
        <v>203</v>
      </c>
      <c r="S776" s="3">
        <v>25</v>
      </c>
      <c r="T776" s="1">
        <v>0.45710000000000001</v>
      </c>
      <c r="U776" s="6">
        <v>25.5976</v>
      </c>
    </row>
    <row r="777" spans="1:21" x14ac:dyDescent="0.35">
      <c r="A777">
        <v>776</v>
      </c>
      <c r="B777" s="5">
        <v>44972</v>
      </c>
      <c r="C777" s="4">
        <v>2023</v>
      </c>
      <c r="D777" s="4">
        <v>2</v>
      </c>
      <c r="E777" s="14">
        <v>44972</v>
      </c>
      <c r="F777" s="4">
        <v>15</v>
      </c>
      <c r="G777">
        <v>287</v>
      </c>
      <c r="H777">
        <v>255</v>
      </c>
      <c r="I777" s="13">
        <v>0.88</v>
      </c>
      <c r="J777">
        <v>32</v>
      </c>
      <c r="K777" s="2">
        <v>4.6296296296296298E-4</v>
      </c>
      <c r="L777" s="11">
        <v>170</v>
      </c>
      <c r="M777" s="3">
        <v>0.66666666666666663</v>
      </c>
      <c r="N777" s="4">
        <v>40</v>
      </c>
      <c r="O777" s="2">
        <v>2.4305555555555556E-3</v>
      </c>
      <c r="P777" s="9">
        <v>892.5</v>
      </c>
      <c r="Q777" s="3">
        <v>3.5</v>
      </c>
      <c r="R777" s="4">
        <v>210</v>
      </c>
      <c r="S777" s="3">
        <v>119</v>
      </c>
      <c r="T777" s="1">
        <v>0.46810000000000002</v>
      </c>
      <c r="U777" s="6">
        <v>119.3655</v>
      </c>
    </row>
    <row r="778" spans="1:21" x14ac:dyDescent="0.35">
      <c r="A778">
        <v>777</v>
      </c>
      <c r="B778" s="5">
        <v>44973</v>
      </c>
      <c r="C778" s="4">
        <v>2023</v>
      </c>
      <c r="D778" s="4">
        <v>2</v>
      </c>
      <c r="E778" s="14">
        <v>44973</v>
      </c>
      <c r="F778" s="4">
        <v>16</v>
      </c>
      <c r="G778">
        <v>298</v>
      </c>
      <c r="H778">
        <v>259</v>
      </c>
      <c r="I778" s="13">
        <v>0.86</v>
      </c>
      <c r="J778">
        <v>39</v>
      </c>
      <c r="K778" s="2">
        <v>3.4722222222222224E-4</v>
      </c>
      <c r="L778" s="11">
        <v>129.5</v>
      </c>
      <c r="M778" s="3">
        <v>0.5</v>
      </c>
      <c r="N778" s="4">
        <v>30</v>
      </c>
      <c r="O778" s="2">
        <v>2.2453703703703702E-3</v>
      </c>
      <c r="P778" s="9">
        <v>837.43333333333339</v>
      </c>
      <c r="Q778" s="3">
        <v>3.2333333333333334</v>
      </c>
      <c r="R778" s="4">
        <v>194</v>
      </c>
      <c r="S778" s="3">
        <v>150</v>
      </c>
      <c r="T778" s="1">
        <v>0.57969999999999999</v>
      </c>
      <c r="U778" s="6">
        <v>150.14230000000001</v>
      </c>
    </row>
    <row r="779" spans="1:21" x14ac:dyDescent="0.35">
      <c r="A779">
        <v>778</v>
      </c>
      <c r="B779" s="5">
        <v>44974</v>
      </c>
      <c r="C779" s="4">
        <v>2023</v>
      </c>
      <c r="D779" s="4">
        <v>2</v>
      </c>
      <c r="E779" s="14">
        <v>44974</v>
      </c>
      <c r="F779" s="4">
        <v>17</v>
      </c>
      <c r="G779">
        <v>347</v>
      </c>
      <c r="H779">
        <v>317</v>
      </c>
      <c r="I779" s="13">
        <v>0.91</v>
      </c>
      <c r="J779">
        <v>30</v>
      </c>
      <c r="K779" s="2">
        <v>3.4722222222222224E-4</v>
      </c>
      <c r="L779" s="11">
        <v>158.5</v>
      </c>
      <c r="M779" s="3">
        <v>0.5</v>
      </c>
      <c r="N779" s="4">
        <v>30</v>
      </c>
      <c r="O779" s="2">
        <v>2.2106481481481482E-3</v>
      </c>
      <c r="P779" s="9">
        <v>1009.1166666666666</v>
      </c>
      <c r="Q779" s="3">
        <v>3.1833333333333331</v>
      </c>
      <c r="R779" s="4">
        <v>191</v>
      </c>
      <c r="S779" s="3">
        <v>189</v>
      </c>
      <c r="T779" s="1">
        <v>0.59770000000000001</v>
      </c>
      <c r="U779" s="6">
        <v>189.4709</v>
      </c>
    </row>
    <row r="780" spans="1:21" x14ac:dyDescent="0.35">
      <c r="A780">
        <v>779</v>
      </c>
      <c r="B780" s="5">
        <v>44975</v>
      </c>
      <c r="C780" s="4">
        <v>2023</v>
      </c>
      <c r="D780" s="4">
        <v>2</v>
      </c>
      <c r="E780" s="14">
        <v>44975</v>
      </c>
      <c r="F780" s="4">
        <v>18</v>
      </c>
      <c r="G780">
        <v>414</v>
      </c>
      <c r="H780">
        <v>356</v>
      </c>
      <c r="I780" s="13">
        <v>0.85</v>
      </c>
      <c r="J780">
        <v>58</v>
      </c>
      <c r="K780" s="2">
        <v>4.9768518518518521E-4</v>
      </c>
      <c r="L780" s="11">
        <v>255.13333333333333</v>
      </c>
      <c r="M780" s="3">
        <v>0.71666666666666667</v>
      </c>
      <c r="N780" s="4">
        <v>43</v>
      </c>
      <c r="O780" s="2">
        <v>2.3958333333333331E-3</v>
      </c>
      <c r="P780" s="9">
        <v>1228.2</v>
      </c>
      <c r="Q780" s="3">
        <v>3.45</v>
      </c>
      <c r="R780" s="4">
        <v>207</v>
      </c>
      <c r="S780" s="3">
        <v>167</v>
      </c>
      <c r="T780" s="1">
        <v>0.47149999999999997</v>
      </c>
      <c r="U780" s="6">
        <v>167.85399999999998</v>
      </c>
    </row>
    <row r="781" spans="1:21" x14ac:dyDescent="0.35">
      <c r="A781">
        <v>780</v>
      </c>
      <c r="B781" s="5">
        <v>44976</v>
      </c>
      <c r="C781" s="4">
        <v>2023</v>
      </c>
      <c r="D781" s="4">
        <v>2</v>
      </c>
      <c r="E781" s="14">
        <v>44976</v>
      </c>
      <c r="F781" s="4">
        <v>19</v>
      </c>
      <c r="G781">
        <v>406</v>
      </c>
      <c r="H781">
        <v>362</v>
      </c>
      <c r="I781" s="13">
        <v>0.89</v>
      </c>
      <c r="J781">
        <v>44</v>
      </c>
      <c r="K781" s="2">
        <v>4.2824074074074075E-4</v>
      </c>
      <c r="L781" s="11">
        <v>223.23333333333335</v>
      </c>
      <c r="M781" s="3">
        <v>0.6166666666666667</v>
      </c>
      <c r="N781" s="4">
        <v>37</v>
      </c>
      <c r="O781" s="2">
        <v>2.1064814814814813E-3</v>
      </c>
      <c r="P781" s="9">
        <v>1098.0666666666666</v>
      </c>
      <c r="Q781" s="3">
        <v>3.0333333333333332</v>
      </c>
      <c r="R781" s="4">
        <v>182</v>
      </c>
      <c r="S781" s="3">
        <v>193</v>
      </c>
      <c r="T781" s="1">
        <v>0.53480000000000005</v>
      </c>
      <c r="U781" s="6">
        <v>193.59760000000003</v>
      </c>
    </row>
    <row r="782" spans="1:21" x14ac:dyDescent="0.35">
      <c r="A782">
        <v>781</v>
      </c>
      <c r="B782" s="5">
        <v>44977</v>
      </c>
      <c r="C782" s="4">
        <v>2023</v>
      </c>
      <c r="D782" s="4">
        <v>2</v>
      </c>
      <c r="E782" s="14">
        <v>44977</v>
      </c>
      <c r="F782" s="4">
        <v>20</v>
      </c>
      <c r="G782">
        <v>366</v>
      </c>
      <c r="H782">
        <v>322</v>
      </c>
      <c r="I782" s="13">
        <v>0.87</v>
      </c>
      <c r="J782">
        <v>44</v>
      </c>
      <c r="K782" s="2">
        <v>4.0509259259259258E-4</v>
      </c>
      <c r="L782" s="11">
        <v>187.83333333333334</v>
      </c>
      <c r="M782" s="3">
        <v>0.58333333333333337</v>
      </c>
      <c r="N782" s="4">
        <v>35</v>
      </c>
      <c r="O782" s="2">
        <v>2.1180555555555558E-3</v>
      </c>
      <c r="P782" s="9">
        <v>982.09999999999991</v>
      </c>
      <c r="Q782" s="3">
        <v>3.05</v>
      </c>
      <c r="R782" s="4">
        <v>183</v>
      </c>
      <c r="S782" s="3">
        <v>183</v>
      </c>
      <c r="T782" s="1">
        <v>0.5706</v>
      </c>
      <c r="U782" s="6">
        <v>183.73320000000001</v>
      </c>
    </row>
    <row r="783" spans="1:21" x14ac:dyDescent="0.35">
      <c r="A783">
        <v>782</v>
      </c>
      <c r="B783" s="5">
        <v>44978</v>
      </c>
      <c r="C783" s="4">
        <v>2023</v>
      </c>
      <c r="D783" s="4">
        <v>2</v>
      </c>
      <c r="E783" s="14">
        <v>44978</v>
      </c>
      <c r="F783" s="4">
        <v>21</v>
      </c>
      <c r="G783">
        <v>68</v>
      </c>
      <c r="H783">
        <v>64</v>
      </c>
      <c r="I783" s="13">
        <v>0.94</v>
      </c>
      <c r="J783">
        <v>4</v>
      </c>
      <c r="K783" s="2">
        <v>1.6203703703703703E-4</v>
      </c>
      <c r="L783" s="11">
        <v>14.933333333333334</v>
      </c>
      <c r="M783" s="3">
        <v>0.23333333333333334</v>
      </c>
      <c r="N783" s="4">
        <v>14</v>
      </c>
      <c r="O783" s="2">
        <v>2.0601851851851853E-3</v>
      </c>
      <c r="P783" s="9">
        <v>189.86666666666667</v>
      </c>
      <c r="Q783" s="3">
        <v>2.9666666666666668</v>
      </c>
      <c r="R783" s="4">
        <v>178</v>
      </c>
      <c r="S783" s="3">
        <v>52</v>
      </c>
      <c r="T783" s="1">
        <v>0.82350000000000001</v>
      </c>
      <c r="U783" s="6">
        <v>52.704000000000001</v>
      </c>
    </row>
    <row r="784" spans="1:21" x14ac:dyDescent="0.35">
      <c r="A784">
        <v>783</v>
      </c>
      <c r="B784" s="5">
        <v>44979</v>
      </c>
      <c r="C784" s="4">
        <v>2023</v>
      </c>
      <c r="D784" s="4">
        <v>2</v>
      </c>
      <c r="E784" s="14">
        <v>44979</v>
      </c>
      <c r="F784" s="4">
        <v>22</v>
      </c>
      <c r="G784">
        <v>350</v>
      </c>
      <c r="H784">
        <v>320</v>
      </c>
      <c r="I784" s="13">
        <v>0.91</v>
      </c>
      <c r="J784">
        <v>30</v>
      </c>
      <c r="K784" s="2">
        <v>4.2824074074074075E-4</v>
      </c>
      <c r="L784" s="11">
        <v>197.33333333333334</v>
      </c>
      <c r="M784" s="3">
        <v>0.6166666666666667</v>
      </c>
      <c r="N784" s="4">
        <v>37</v>
      </c>
      <c r="O784" s="2">
        <v>2.2337962962962962E-3</v>
      </c>
      <c r="P784" s="9">
        <v>1029.3333333333335</v>
      </c>
      <c r="Q784" s="3">
        <v>3.2166666666666668</v>
      </c>
      <c r="R784" s="4">
        <v>193</v>
      </c>
      <c r="S784" s="3">
        <v>173</v>
      </c>
      <c r="T784" s="1">
        <v>0.54179999999999995</v>
      </c>
      <c r="U784" s="6">
        <v>173.37599999999998</v>
      </c>
    </row>
    <row r="785" spans="1:21" x14ac:dyDescent="0.35">
      <c r="A785">
        <v>784</v>
      </c>
      <c r="B785" s="5">
        <v>44980</v>
      </c>
      <c r="C785" s="4">
        <v>2023</v>
      </c>
      <c r="D785" s="4">
        <v>2</v>
      </c>
      <c r="E785" s="14">
        <v>44980</v>
      </c>
      <c r="F785" s="4">
        <v>23</v>
      </c>
      <c r="G785">
        <v>437</v>
      </c>
      <c r="H785">
        <v>352</v>
      </c>
      <c r="I785" s="13">
        <v>0.8</v>
      </c>
      <c r="J785">
        <v>85</v>
      </c>
      <c r="K785" s="2">
        <v>6.018518518518519E-4</v>
      </c>
      <c r="L785" s="11">
        <v>305.06666666666666</v>
      </c>
      <c r="M785" s="3">
        <v>0.8666666666666667</v>
      </c>
      <c r="N785" s="4">
        <v>52</v>
      </c>
      <c r="O785" s="2">
        <v>2.0949074074074073E-3</v>
      </c>
      <c r="P785" s="9">
        <v>1061.8666666666666</v>
      </c>
      <c r="Q785" s="3">
        <v>3.0166666666666666</v>
      </c>
      <c r="R785" s="4">
        <v>181</v>
      </c>
      <c r="S785" s="3">
        <v>145</v>
      </c>
      <c r="T785" s="1">
        <v>0.41260000000000002</v>
      </c>
      <c r="U785" s="6">
        <v>145.23520000000002</v>
      </c>
    </row>
    <row r="786" spans="1:21" x14ac:dyDescent="0.35">
      <c r="A786">
        <v>785</v>
      </c>
      <c r="B786" s="5">
        <v>44981</v>
      </c>
      <c r="C786" s="4">
        <v>2023</v>
      </c>
      <c r="D786" s="4">
        <v>2</v>
      </c>
      <c r="E786" s="14">
        <v>44981</v>
      </c>
      <c r="F786" s="4">
        <v>24</v>
      </c>
      <c r="G786">
        <v>484</v>
      </c>
      <c r="H786">
        <v>438</v>
      </c>
      <c r="I786" s="13">
        <v>0.9</v>
      </c>
      <c r="J786">
        <v>46</v>
      </c>
      <c r="K786" s="2">
        <v>5.2083333333333333E-4</v>
      </c>
      <c r="L786" s="11">
        <v>328.5</v>
      </c>
      <c r="M786" s="3">
        <v>0.75</v>
      </c>
      <c r="N786" s="4">
        <v>45</v>
      </c>
      <c r="O786" s="2">
        <v>2.0486111111111113E-3</v>
      </c>
      <c r="P786" s="9">
        <v>1292.1000000000001</v>
      </c>
      <c r="Q786" s="3">
        <v>2.95</v>
      </c>
      <c r="R786" s="4">
        <v>177</v>
      </c>
      <c r="S786" s="3">
        <v>196</v>
      </c>
      <c r="T786" s="1">
        <v>0.44790000000000002</v>
      </c>
      <c r="U786" s="6">
        <v>196.18020000000001</v>
      </c>
    </row>
    <row r="787" spans="1:21" x14ac:dyDescent="0.35">
      <c r="A787">
        <v>786</v>
      </c>
      <c r="B787" s="5">
        <v>44982</v>
      </c>
      <c r="C787" s="4">
        <v>2023</v>
      </c>
      <c r="D787" s="4">
        <v>2</v>
      </c>
      <c r="E787" s="14">
        <v>44982</v>
      </c>
      <c r="F787" s="4">
        <v>25</v>
      </c>
      <c r="G787">
        <v>405</v>
      </c>
      <c r="H787">
        <v>368</v>
      </c>
      <c r="I787" s="13">
        <v>0.9</v>
      </c>
      <c r="J787">
        <v>37</v>
      </c>
      <c r="K787" s="2">
        <v>4.0509259259259258E-4</v>
      </c>
      <c r="L787" s="11">
        <v>214.66666666666669</v>
      </c>
      <c r="M787" s="3">
        <v>0.58333333333333337</v>
      </c>
      <c r="N787" s="4">
        <v>35</v>
      </c>
      <c r="O787" s="2">
        <v>2.1875000000000002E-3</v>
      </c>
      <c r="P787" s="9">
        <v>1159.2</v>
      </c>
      <c r="Q787" s="3">
        <v>3.15</v>
      </c>
      <c r="R787" s="4">
        <v>189</v>
      </c>
      <c r="S787" s="3">
        <v>213</v>
      </c>
      <c r="T787" s="1">
        <v>0.58099999999999996</v>
      </c>
      <c r="U787" s="6">
        <v>213.80799999999999</v>
      </c>
    </row>
    <row r="788" spans="1:21" x14ac:dyDescent="0.35">
      <c r="A788">
        <v>787</v>
      </c>
      <c r="B788" s="5">
        <v>44983</v>
      </c>
      <c r="C788" s="4">
        <v>2023</v>
      </c>
      <c r="D788" s="4">
        <v>2</v>
      </c>
      <c r="E788" s="14">
        <v>44983</v>
      </c>
      <c r="F788" s="4">
        <v>26</v>
      </c>
      <c r="G788">
        <v>570</v>
      </c>
      <c r="H788">
        <v>368</v>
      </c>
      <c r="I788" s="13">
        <v>0.64</v>
      </c>
      <c r="J788">
        <v>202</v>
      </c>
      <c r="K788" s="2">
        <v>8.2175925925925927E-4</v>
      </c>
      <c r="L788" s="11">
        <v>435.4666666666667</v>
      </c>
      <c r="M788" s="3">
        <v>1.1833333333333333</v>
      </c>
      <c r="N788" s="4">
        <v>71</v>
      </c>
      <c r="O788" s="2">
        <v>2.3611111111111111E-3</v>
      </c>
      <c r="P788" s="9">
        <v>1251.2</v>
      </c>
      <c r="Q788" s="3">
        <v>3.4</v>
      </c>
      <c r="R788" s="4">
        <v>204</v>
      </c>
      <c r="S788" s="3">
        <v>86</v>
      </c>
      <c r="T788" s="1">
        <v>0.2354</v>
      </c>
      <c r="U788" s="6">
        <v>86.627200000000002</v>
      </c>
    </row>
    <row r="789" spans="1:21" x14ac:dyDescent="0.35">
      <c r="A789">
        <v>788</v>
      </c>
      <c r="B789" s="5">
        <v>44984</v>
      </c>
      <c r="C789" s="4">
        <v>2023</v>
      </c>
      <c r="D789" s="4">
        <v>2</v>
      </c>
      <c r="E789" s="14">
        <v>44984</v>
      </c>
      <c r="F789" s="4">
        <v>27</v>
      </c>
      <c r="G789">
        <v>424</v>
      </c>
      <c r="H789">
        <v>384</v>
      </c>
      <c r="I789" s="13">
        <v>0.9</v>
      </c>
      <c r="J789">
        <v>40</v>
      </c>
      <c r="K789" s="2">
        <v>5.6712962962962967E-4</v>
      </c>
      <c r="L789" s="11">
        <v>313.60000000000002</v>
      </c>
      <c r="M789" s="3">
        <v>0.81666666666666665</v>
      </c>
      <c r="N789" s="4">
        <v>49</v>
      </c>
      <c r="O789" s="2">
        <v>2.2453703703703702E-3</v>
      </c>
      <c r="P789" s="9">
        <v>1241.5999999999999</v>
      </c>
      <c r="Q789" s="3">
        <v>3.2333333333333334</v>
      </c>
      <c r="R789" s="4">
        <v>194</v>
      </c>
      <c r="S789" s="3">
        <v>151</v>
      </c>
      <c r="T789" s="1">
        <v>0.3952</v>
      </c>
      <c r="U789" s="6">
        <v>151.7568</v>
      </c>
    </row>
    <row r="790" spans="1:21" x14ac:dyDescent="0.35">
      <c r="A790">
        <v>789</v>
      </c>
      <c r="B790" s="5">
        <v>44985</v>
      </c>
      <c r="C790" s="4">
        <v>2023</v>
      </c>
      <c r="D790" s="4">
        <v>2</v>
      </c>
      <c r="E790" s="14">
        <v>44985</v>
      </c>
      <c r="F790" s="4">
        <v>28</v>
      </c>
      <c r="G790">
        <v>60</v>
      </c>
      <c r="H790">
        <v>57</v>
      </c>
      <c r="I790" s="13">
        <v>0.95</v>
      </c>
      <c r="J790">
        <v>3</v>
      </c>
      <c r="K790" s="2">
        <v>3.7037037037037035E-4</v>
      </c>
      <c r="L790" s="11">
        <v>30.4</v>
      </c>
      <c r="M790" s="3">
        <v>0.53333333333333333</v>
      </c>
      <c r="N790" s="4">
        <v>32</v>
      </c>
      <c r="O790" s="2">
        <v>2.3032407407407407E-3</v>
      </c>
      <c r="P790" s="9">
        <v>189.04999999999998</v>
      </c>
      <c r="Q790" s="3">
        <v>3.3166666666666664</v>
      </c>
      <c r="R790" s="4">
        <v>199</v>
      </c>
      <c r="S790" s="3">
        <v>31</v>
      </c>
      <c r="T790" s="1">
        <v>0.55930000000000002</v>
      </c>
      <c r="U790" s="6">
        <v>31.880100000000002</v>
      </c>
    </row>
    <row r="791" spans="1:21" x14ac:dyDescent="0.35">
      <c r="A791">
        <v>790</v>
      </c>
      <c r="B791" s="5">
        <v>44986</v>
      </c>
      <c r="C791" s="4">
        <v>2023</v>
      </c>
      <c r="D791" s="4">
        <v>3</v>
      </c>
      <c r="E791" s="14">
        <v>44986</v>
      </c>
      <c r="F791" s="4">
        <v>1</v>
      </c>
      <c r="G791">
        <v>497</v>
      </c>
      <c r="H791">
        <v>442</v>
      </c>
      <c r="I791" s="13">
        <v>0.88</v>
      </c>
      <c r="J791">
        <v>55</v>
      </c>
      <c r="K791" s="2">
        <v>5.5555555555555556E-4</v>
      </c>
      <c r="L791" s="11">
        <v>353.6</v>
      </c>
      <c r="M791" s="3">
        <v>0.8</v>
      </c>
      <c r="N791" s="4">
        <v>48</v>
      </c>
      <c r="O791" s="2">
        <v>1.1111111111111111E-3</v>
      </c>
      <c r="P791" s="9">
        <v>707.2</v>
      </c>
      <c r="Q791" s="3">
        <v>1.6</v>
      </c>
      <c r="R791" s="4">
        <v>96</v>
      </c>
      <c r="S791" s="3">
        <v>254</v>
      </c>
      <c r="T791" s="1">
        <v>0.57579999999999998</v>
      </c>
      <c r="U791" s="6">
        <v>254.50359999999998</v>
      </c>
    </row>
    <row r="792" spans="1:21" x14ac:dyDescent="0.35">
      <c r="A792">
        <v>791</v>
      </c>
      <c r="B792" s="5">
        <v>44987</v>
      </c>
      <c r="C792" s="4">
        <v>2023</v>
      </c>
      <c r="D792" s="4">
        <v>3</v>
      </c>
      <c r="E792" s="14">
        <v>44987</v>
      </c>
      <c r="F792" s="4">
        <v>2</v>
      </c>
      <c r="G792">
        <v>429</v>
      </c>
      <c r="H792">
        <v>378</v>
      </c>
      <c r="I792" s="13">
        <v>0.88</v>
      </c>
      <c r="J792">
        <v>51</v>
      </c>
      <c r="K792" s="2">
        <v>4.2824074074074075E-4</v>
      </c>
      <c r="L792" s="11">
        <v>233.10000000000002</v>
      </c>
      <c r="M792" s="3">
        <v>0.6166666666666667</v>
      </c>
      <c r="N792" s="4">
        <v>37</v>
      </c>
      <c r="O792" s="2">
        <v>1.4467592592592592E-3</v>
      </c>
      <c r="P792" s="9">
        <v>787.5</v>
      </c>
      <c r="Q792" s="3">
        <v>2.0833333333333335</v>
      </c>
      <c r="R792" s="4">
        <v>125.00000000000001</v>
      </c>
      <c r="S792" s="3">
        <v>208</v>
      </c>
      <c r="T792" s="1">
        <v>0.55289999999999995</v>
      </c>
      <c r="U792" s="6">
        <v>208.99619999999999</v>
      </c>
    </row>
    <row r="793" spans="1:21" x14ac:dyDescent="0.35">
      <c r="A793">
        <v>792</v>
      </c>
      <c r="B793" s="5">
        <v>44988</v>
      </c>
      <c r="C793" s="4">
        <v>2023</v>
      </c>
      <c r="D793" s="4">
        <v>3</v>
      </c>
      <c r="E793" s="14">
        <v>44988</v>
      </c>
      <c r="F793" s="4">
        <v>3</v>
      </c>
      <c r="G793">
        <v>499</v>
      </c>
      <c r="H793">
        <v>388</v>
      </c>
      <c r="I793" s="13">
        <v>0.77</v>
      </c>
      <c r="J793">
        <v>111</v>
      </c>
      <c r="K793" s="2">
        <v>6.2500000000000001E-4</v>
      </c>
      <c r="L793" s="11">
        <v>349.2</v>
      </c>
      <c r="M793" s="3">
        <v>0.9</v>
      </c>
      <c r="N793" s="4">
        <v>54</v>
      </c>
      <c r="O793" s="2">
        <v>1.5625000000000001E-3</v>
      </c>
      <c r="P793" s="9">
        <v>873</v>
      </c>
      <c r="Q793" s="3">
        <v>2.25</v>
      </c>
      <c r="R793" s="4">
        <v>135</v>
      </c>
      <c r="S793" s="3">
        <v>185</v>
      </c>
      <c r="T793" s="1">
        <v>0.47760000000000002</v>
      </c>
      <c r="U793" s="6">
        <v>185.30880000000002</v>
      </c>
    </row>
    <row r="794" spans="1:21" x14ac:dyDescent="0.35">
      <c r="A794">
        <v>793</v>
      </c>
      <c r="B794" s="5">
        <v>44989</v>
      </c>
      <c r="C794" s="4">
        <v>2023</v>
      </c>
      <c r="D794" s="4">
        <v>3</v>
      </c>
      <c r="E794" s="14">
        <v>44989</v>
      </c>
      <c r="F794" s="4">
        <v>4</v>
      </c>
      <c r="G794">
        <v>510</v>
      </c>
      <c r="H794">
        <v>434</v>
      </c>
      <c r="I794" s="13">
        <v>0.85</v>
      </c>
      <c r="J794">
        <v>76</v>
      </c>
      <c r="K794" s="2">
        <v>5.5555555555555556E-4</v>
      </c>
      <c r="L794" s="11">
        <v>347.20000000000005</v>
      </c>
      <c r="M794" s="3">
        <v>0.8</v>
      </c>
      <c r="N794" s="4">
        <v>48</v>
      </c>
      <c r="O794" s="2">
        <v>2.4189814814814816E-3</v>
      </c>
      <c r="P794" s="9">
        <v>1511.7666666666667</v>
      </c>
      <c r="Q794" s="3">
        <v>3.4833333333333334</v>
      </c>
      <c r="R794" s="4">
        <v>209</v>
      </c>
      <c r="S794" s="3">
        <v>183</v>
      </c>
      <c r="T794" s="1">
        <v>0.4219</v>
      </c>
      <c r="U794" s="6">
        <v>183.1046</v>
      </c>
    </row>
    <row r="795" spans="1:21" x14ac:dyDescent="0.35">
      <c r="A795">
        <v>794</v>
      </c>
      <c r="B795" s="5">
        <v>44990</v>
      </c>
      <c r="C795" s="4">
        <v>2023</v>
      </c>
      <c r="D795" s="4">
        <v>3</v>
      </c>
      <c r="E795" s="14">
        <v>44990</v>
      </c>
      <c r="F795" s="4">
        <v>5</v>
      </c>
      <c r="G795">
        <v>549</v>
      </c>
      <c r="H795">
        <v>458</v>
      </c>
      <c r="I795" s="13">
        <v>0.83</v>
      </c>
      <c r="J795">
        <v>91</v>
      </c>
      <c r="K795" s="2">
        <v>8.4490740740740739E-4</v>
      </c>
      <c r="L795" s="11">
        <v>557.23333333333335</v>
      </c>
      <c r="M795" s="3">
        <v>1.2166666666666668</v>
      </c>
      <c r="N795" s="4">
        <v>73</v>
      </c>
      <c r="O795" s="2">
        <v>2.488425925925926E-3</v>
      </c>
      <c r="P795" s="9">
        <v>1641.1666666666667</v>
      </c>
      <c r="Q795" s="3">
        <v>3.5833333333333335</v>
      </c>
      <c r="R795" s="4">
        <v>215</v>
      </c>
      <c r="S795" s="3">
        <v>133</v>
      </c>
      <c r="T795" s="1">
        <v>0.29070000000000001</v>
      </c>
      <c r="U795" s="6">
        <v>133.14060000000001</v>
      </c>
    </row>
    <row r="796" spans="1:21" x14ac:dyDescent="0.35">
      <c r="A796">
        <v>795</v>
      </c>
      <c r="B796" s="5">
        <v>44991</v>
      </c>
      <c r="C796" s="4">
        <v>2023</v>
      </c>
      <c r="D796" s="4">
        <v>3</v>
      </c>
      <c r="E796" s="14">
        <v>44991</v>
      </c>
      <c r="F796" s="4">
        <v>6</v>
      </c>
      <c r="G796">
        <v>590</v>
      </c>
      <c r="H796">
        <v>444</v>
      </c>
      <c r="I796" s="13">
        <v>0.75</v>
      </c>
      <c r="J796">
        <v>146</v>
      </c>
      <c r="K796" s="2">
        <v>9.6064814814814819E-4</v>
      </c>
      <c r="L796" s="11">
        <v>614.19999999999993</v>
      </c>
      <c r="M796" s="3">
        <v>1.3833333333333333</v>
      </c>
      <c r="N796" s="4">
        <v>83</v>
      </c>
      <c r="O796" s="2">
        <v>2.476851851851852E-3</v>
      </c>
      <c r="P796" s="9">
        <v>1583.6</v>
      </c>
      <c r="Q796" s="3">
        <v>3.5666666666666664</v>
      </c>
      <c r="R796" s="4">
        <v>214</v>
      </c>
      <c r="S796" s="3">
        <v>84</v>
      </c>
      <c r="T796" s="1">
        <v>0.1903</v>
      </c>
      <c r="U796" s="6">
        <v>84.493200000000002</v>
      </c>
    </row>
    <row r="797" spans="1:21" x14ac:dyDescent="0.35">
      <c r="A797">
        <v>796</v>
      </c>
      <c r="B797" s="5">
        <v>44992</v>
      </c>
      <c r="C797" s="4">
        <v>2023</v>
      </c>
      <c r="D797" s="4">
        <v>3</v>
      </c>
      <c r="E797" s="14">
        <v>44992</v>
      </c>
      <c r="F797" s="4">
        <v>7</v>
      </c>
      <c r="G797">
        <v>137</v>
      </c>
      <c r="H797">
        <v>120</v>
      </c>
      <c r="I797" s="13">
        <v>0.87</v>
      </c>
      <c r="J797">
        <v>17</v>
      </c>
      <c r="K797" s="2">
        <v>6.7129629629629625E-4</v>
      </c>
      <c r="L797" s="11">
        <v>116</v>
      </c>
      <c r="M797" s="3">
        <v>0.96666666666666667</v>
      </c>
      <c r="N797" s="4">
        <v>58</v>
      </c>
      <c r="O797" s="2">
        <v>2.2106481481481482E-3</v>
      </c>
      <c r="P797" s="9">
        <v>382</v>
      </c>
      <c r="Q797" s="3">
        <v>3.1833333333333331</v>
      </c>
      <c r="R797" s="4">
        <v>191</v>
      </c>
      <c r="S797" s="3">
        <v>39</v>
      </c>
      <c r="T797" s="1">
        <v>0.33090000000000003</v>
      </c>
      <c r="U797" s="6">
        <v>39.708000000000006</v>
      </c>
    </row>
    <row r="798" spans="1:21" x14ac:dyDescent="0.35">
      <c r="A798">
        <v>797</v>
      </c>
      <c r="B798" s="5">
        <v>44993</v>
      </c>
      <c r="C798" s="4">
        <v>2023</v>
      </c>
      <c r="D798" s="4">
        <v>3</v>
      </c>
      <c r="E798" s="14">
        <v>44993</v>
      </c>
      <c r="F798" s="4">
        <v>8</v>
      </c>
      <c r="G798">
        <v>598</v>
      </c>
      <c r="H798">
        <v>476</v>
      </c>
      <c r="I798" s="13">
        <v>0.79</v>
      </c>
      <c r="J798">
        <v>122</v>
      </c>
      <c r="K798" s="2">
        <v>6.7129629629629625E-4</v>
      </c>
      <c r="L798" s="11">
        <v>460.13333333333333</v>
      </c>
      <c r="M798" s="3">
        <v>0.96666666666666667</v>
      </c>
      <c r="N798" s="4">
        <v>58</v>
      </c>
      <c r="O798" s="2">
        <v>2.5347222222222221E-3</v>
      </c>
      <c r="P798" s="9">
        <v>1737.3999999999999</v>
      </c>
      <c r="Q798" s="3">
        <v>3.65</v>
      </c>
      <c r="R798" s="4">
        <v>219</v>
      </c>
      <c r="S798" s="3">
        <v>152</v>
      </c>
      <c r="T798" s="1">
        <v>0.32029999999999997</v>
      </c>
      <c r="U798" s="6">
        <v>152.46279999999999</v>
      </c>
    </row>
    <row r="799" spans="1:21" x14ac:dyDescent="0.35">
      <c r="A799">
        <v>798</v>
      </c>
      <c r="B799" s="5">
        <v>44994</v>
      </c>
      <c r="C799" s="4">
        <v>2023</v>
      </c>
      <c r="D799" s="4">
        <v>3</v>
      </c>
      <c r="E799" s="14">
        <v>44994</v>
      </c>
      <c r="F799" s="4">
        <v>9</v>
      </c>
      <c r="G799">
        <v>231</v>
      </c>
      <c r="H799">
        <v>180</v>
      </c>
      <c r="I799" s="13">
        <v>0.77</v>
      </c>
      <c r="J799">
        <v>51</v>
      </c>
      <c r="K799" s="2">
        <v>7.407407407407407E-4</v>
      </c>
      <c r="L799" s="11">
        <v>192</v>
      </c>
      <c r="M799" s="3">
        <v>1.0666666666666667</v>
      </c>
      <c r="N799" s="4">
        <v>64</v>
      </c>
      <c r="O799" s="2">
        <v>2.4652777777777776E-3</v>
      </c>
      <c r="P799" s="9">
        <v>639</v>
      </c>
      <c r="Q799" s="3">
        <v>3.55</v>
      </c>
      <c r="R799" s="4">
        <v>213</v>
      </c>
      <c r="S799" s="3">
        <v>60</v>
      </c>
      <c r="T799" s="1">
        <v>0.33779999999999999</v>
      </c>
      <c r="U799" s="6">
        <v>60.803999999999995</v>
      </c>
    </row>
    <row r="800" spans="1:21" x14ac:dyDescent="0.35">
      <c r="A800">
        <v>799</v>
      </c>
      <c r="B800" s="5">
        <v>44995</v>
      </c>
      <c r="C800" s="4">
        <v>2023</v>
      </c>
      <c r="D800" s="4">
        <v>3</v>
      </c>
      <c r="E800" s="14">
        <v>44995</v>
      </c>
      <c r="F800" s="4">
        <v>10</v>
      </c>
      <c r="G800">
        <v>724</v>
      </c>
      <c r="H800">
        <v>362</v>
      </c>
      <c r="I800" s="13">
        <v>0.5</v>
      </c>
      <c r="J800">
        <v>362</v>
      </c>
      <c r="K800" s="2">
        <v>1.4004629629629629E-3</v>
      </c>
      <c r="L800" s="11">
        <v>730.0333333333333</v>
      </c>
      <c r="M800" s="3">
        <v>2.0166666666666666</v>
      </c>
      <c r="N800" s="4">
        <v>121</v>
      </c>
      <c r="O800" s="2">
        <v>2.7199074074074074E-3</v>
      </c>
      <c r="P800" s="9">
        <v>1417.8333333333333</v>
      </c>
      <c r="Q800" s="3">
        <v>3.9166666666666665</v>
      </c>
      <c r="R800" s="4">
        <v>235</v>
      </c>
      <c r="S800" s="3">
        <v>42</v>
      </c>
      <c r="T800" s="1">
        <v>0.1166</v>
      </c>
      <c r="U800" s="6">
        <v>42.209199999999996</v>
      </c>
    </row>
    <row r="801" spans="1:21" x14ac:dyDescent="0.35">
      <c r="A801">
        <v>800</v>
      </c>
      <c r="B801" s="5">
        <v>44996</v>
      </c>
      <c r="C801" s="4">
        <v>2023</v>
      </c>
      <c r="D801" s="4">
        <v>3</v>
      </c>
      <c r="E801" s="14">
        <v>44996</v>
      </c>
      <c r="F801" s="4">
        <v>11</v>
      </c>
      <c r="G801">
        <v>732</v>
      </c>
      <c r="H801">
        <v>367</v>
      </c>
      <c r="I801" s="13">
        <v>0.5</v>
      </c>
      <c r="J801">
        <v>365</v>
      </c>
      <c r="K801" s="2">
        <v>1.9444444444444444E-3</v>
      </c>
      <c r="L801" s="11">
        <v>1027.5999999999999</v>
      </c>
      <c r="M801" s="3">
        <v>2.8</v>
      </c>
      <c r="N801" s="4">
        <v>168</v>
      </c>
      <c r="O801" s="2">
        <v>1.9907407407407408E-3</v>
      </c>
      <c r="P801" s="9">
        <v>1052.0666666666666</v>
      </c>
      <c r="Q801" s="3">
        <v>2.8666666666666667</v>
      </c>
      <c r="R801" s="4">
        <v>172</v>
      </c>
      <c r="S801" s="3">
        <v>29</v>
      </c>
      <c r="T801" s="1">
        <v>8.09E-2</v>
      </c>
      <c r="U801" s="6">
        <v>29.690300000000001</v>
      </c>
    </row>
    <row r="802" spans="1:21" x14ac:dyDescent="0.35">
      <c r="A802">
        <v>801</v>
      </c>
      <c r="B802" s="5">
        <v>44997</v>
      </c>
      <c r="C802" s="4">
        <v>2023</v>
      </c>
      <c r="D802" s="4">
        <v>3</v>
      </c>
      <c r="E802" s="14">
        <v>44997</v>
      </c>
      <c r="F802" s="4">
        <v>12</v>
      </c>
      <c r="G802">
        <v>582</v>
      </c>
      <c r="H802">
        <v>301</v>
      </c>
      <c r="I802" s="13">
        <v>0.51</v>
      </c>
      <c r="J802">
        <v>281</v>
      </c>
      <c r="K802" s="2">
        <v>1.8634259259259259E-3</v>
      </c>
      <c r="L802" s="11">
        <v>807.68333333333339</v>
      </c>
      <c r="M802" s="3">
        <v>2.6833333333333336</v>
      </c>
      <c r="N802" s="4">
        <v>161</v>
      </c>
      <c r="O802" s="2">
        <v>2.9282407407407408E-3</v>
      </c>
      <c r="P802" s="9">
        <v>1269.2166666666667</v>
      </c>
      <c r="Q802" s="3">
        <v>4.2166666666666668</v>
      </c>
      <c r="R802" s="4">
        <v>253</v>
      </c>
      <c r="S802" s="3">
        <v>36</v>
      </c>
      <c r="T802" s="1">
        <v>0.1208</v>
      </c>
      <c r="U802" s="6">
        <v>36.360800000000005</v>
      </c>
    </row>
    <row r="803" spans="1:21" x14ac:dyDescent="0.35">
      <c r="A803">
        <v>802</v>
      </c>
      <c r="B803" s="5">
        <v>44998</v>
      </c>
      <c r="C803" s="4">
        <v>2023</v>
      </c>
      <c r="D803" s="4">
        <v>3</v>
      </c>
      <c r="E803" s="14">
        <v>44998</v>
      </c>
      <c r="F803" s="4">
        <v>13</v>
      </c>
      <c r="G803">
        <v>621</v>
      </c>
      <c r="H803">
        <v>344</v>
      </c>
      <c r="I803" s="13">
        <v>0.55000000000000004</v>
      </c>
      <c r="J803">
        <v>277</v>
      </c>
      <c r="K803" s="2">
        <v>1.4699074074074074E-3</v>
      </c>
      <c r="L803" s="11">
        <v>728.13333333333333</v>
      </c>
      <c r="M803" s="3">
        <v>2.1166666666666667</v>
      </c>
      <c r="N803" s="4">
        <v>127</v>
      </c>
      <c r="O803" s="2">
        <v>2.4189814814814816E-3</v>
      </c>
      <c r="P803" s="9">
        <v>1198.2666666666667</v>
      </c>
      <c r="Q803" s="3">
        <v>3.4833333333333334</v>
      </c>
      <c r="R803" s="4">
        <v>209</v>
      </c>
      <c r="S803" s="3">
        <v>49</v>
      </c>
      <c r="T803" s="1">
        <v>0.1447</v>
      </c>
      <c r="U803" s="6">
        <v>49.776800000000001</v>
      </c>
    </row>
    <row r="804" spans="1:21" x14ac:dyDescent="0.35">
      <c r="A804">
        <v>803</v>
      </c>
      <c r="B804" s="5">
        <v>44999</v>
      </c>
      <c r="C804" s="4">
        <v>2023</v>
      </c>
      <c r="D804" s="4">
        <v>3</v>
      </c>
      <c r="E804" s="14">
        <v>44999</v>
      </c>
      <c r="F804" s="4">
        <v>14</v>
      </c>
      <c r="G804">
        <v>116</v>
      </c>
      <c r="H804">
        <v>106</v>
      </c>
      <c r="I804" s="13">
        <v>0.91</v>
      </c>
      <c r="J804">
        <v>10</v>
      </c>
      <c r="K804" s="2">
        <v>3.9351851851851852E-4</v>
      </c>
      <c r="L804" s="11">
        <v>60.066666666666663</v>
      </c>
      <c r="M804" s="3">
        <v>0.56666666666666665</v>
      </c>
      <c r="N804" s="4">
        <v>34</v>
      </c>
      <c r="O804" s="2">
        <v>3.0439814814814813E-3</v>
      </c>
      <c r="P804" s="9">
        <v>464.63333333333338</v>
      </c>
      <c r="Q804" s="3">
        <v>4.3833333333333337</v>
      </c>
      <c r="R804" s="4">
        <v>263</v>
      </c>
      <c r="S804" s="3">
        <v>66</v>
      </c>
      <c r="T804" s="1">
        <v>0.62929999999999997</v>
      </c>
      <c r="U804" s="6">
        <v>66.705799999999996</v>
      </c>
    </row>
    <row r="805" spans="1:21" x14ac:dyDescent="0.35">
      <c r="A805">
        <v>804</v>
      </c>
      <c r="B805" s="5">
        <v>45000</v>
      </c>
      <c r="C805" s="4">
        <v>2023</v>
      </c>
      <c r="D805" s="4">
        <v>3</v>
      </c>
      <c r="E805" s="14">
        <v>45000</v>
      </c>
      <c r="F805" s="4">
        <v>15</v>
      </c>
      <c r="G805">
        <v>533</v>
      </c>
      <c r="H805">
        <v>300</v>
      </c>
      <c r="I805" s="13">
        <v>0.56000000000000005</v>
      </c>
      <c r="J805">
        <v>233</v>
      </c>
      <c r="K805" s="2">
        <v>1.5277777777777779E-3</v>
      </c>
      <c r="L805" s="11">
        <v>660</v>
      </c>
      <c r="M805" s="3">
        <v>2.2000000000000002</v>
      </c>
      <c r="N805" s="4">
        <v>132</v>
      </c>
      <c r="O805" s="2">
        <v>2.8124999999999999E-3</v>
      </c>
      <c r="P805" s="9">
        <v>1215</v>
      </c>
      <c r="Q805" s="3">
        <v>4.05</v>
      </c>
      <c r="R805" s="4">
        <v>243</v>
      </c>
      <c r="S805" s="3">
        <v>37</v>
      </c>
      <c r="T805" s="1">
        <v>0.1255</v>
      </c>
      <c r="U805" s="6">
        <v>37.65</v>
      </c>
    </row>
    <row r="806" spans="1:21" x14ac:dyDescent="0.35">
      <c r="A806">
        <v>805</v>
      </c>
      <c r="B806" s="5">
        <v>45001</v>
      </c>
      <c r="C806" s="4">
        <v>2023</v>
      </c>
      <c r="D806" s="4">
        <v>3</v>
      </c>
      <c r="E806" s="14">
        <v>45001</v>
      </c>
      <c r="F806" s="4">
        <v>16</v>
      </c>
      <c r="G806">
        <v>416</v>
      </c>
      <c r="H806">
        <v>322</v>
      </c>
      <c r="I806" s="13">
        <v>0.77</v>
      </c>
      <c r="J806">
        <v>94</v>
      </c>
      <c r="K806" s="2">
        <v>7.407407407407407E-4</v>
      </c>
      <c r="L806" s="11">
        <v>343.46666666666664</v>
      </c>
      <c r="M806" s="3">
        <v>1.0666666666666667</v>
      </c>
      <c r="N806" s="4">
        <v>64</v>
      </c>
      <c r="O806" s="2">
        <v>2.476851851851852E-3</v>
      </c>
      <c r="P806" s="9">
        <v>1148.4666666666667</v>
      </c>
      <c r="Q806" s="3">
        <v>3.5666666666666664</v>
      </c>
      <c r="R806" s="4">
        <v>214</v>
      </c>
      <c r="S806" s="3">
        <v>124</v>
      </c>
      <c r="T806" s="1">
        <v>0.38590000000000002</v>
      </c>
      <c r="U806" s="6">
        <v>124.25980000000001</v>
      </c>
    </row>
    <row r="807" spans="1:21" x14ac:dyDescent="0.35">
      <c r="A807">
        <v>806</v>
      </c>
      <c r="B807" s="5">
        <v>45002</v>
      </c>
      <c r="C807" s="4">
        <v>2023</v>
      </c>
      <c r="D807" s="4">
        <v>3</v>
      </c>
      <c r="E807" s="14">
        <v>45002</v>
      </c>
      <c r="F807" s="4">
        <v>17</v>
      </c>
      <c r="G807">
        <v>415</v>
      </c>
      <c r="H807">
        <v>259</v>
      </c>
      <c r="I807" s="13">
        <v>0.62</v>
      </c>
      <c r="J807">
        <v>156</v>
      </c>
      <c r="K807" s="2">
        <v>1.5046296296296296E-3</v>
      </c>
      <c r="L807" s="11">
        <v>561.16666666666663</v>
      </c>
      <c r="M807" s="3">
        <v>2.1666666666666665</v>
      </c>
      <c r="N807" s="4">
        <v>130</v>
      </c>
      <c r="O807" s="2">
        <v>2.7430555555555554E-3</v>
      </c>
      <c r="P807" s="9">
        <v>1023.0500000000001</v>
      </c>
      <c r="Q807" s="3">
        <v>3.95</v>
      </c>
      <c r="R807" s="4">
        <v>237</v>
      </c>
      <c r="S807" s="3">
        <v>46</v>
      </c>
      <c r="T807" s="1">
        <v>0.1789</v>
      </c>
      <c r="U807" s="6">
        <v>46.335100000000004</v>
      </c>
    </row>
    <row r="808" spans="1:21" x14ac:dyDescent="0.35">
      <c r="A808">
        <v>807</v>
      </c>
      <c r="B808" s="5">
        <v>45003</v>
      </c>
      <c r="C808" s="4">
        <v>2023</v>
      </c>
      <c r="D808" s="4">
        <v>3</v>
      </c>
      <c r="E808" s="14">
        <v>45003</v>
      </c>
      <c r="F808" s="4">
        <v>18</v>
      </c>
      <c r="G808">
        <v>433</v>
      </c>
      <c r="H808">
        <v>289</v>
      </c>
      <c r="I808" s="13">
        <v>0.66</v>
      </c>
      <c r="J808">
        <v>144</v>
      </c>
      <c r="K808" s="2">
        <v>1.1805555555555556E-3</v>
      </c>
      <c r="L808" s="11">
        <v>491.3</v>
      </c>
      <c r="M808" s="3">
        <v>1.7</v>
      </c>
      <c r="N808" s="4">
        <v>102</v>
      </c>
      <c r="O808" s="2">
        <v>2.4074074074074076E-3</v>
      </c>
      <c r="P808" s="9">
        <v>1001.8666666666667</v>
      </c>
      <c r="Q808" s="3">
        <v>3.4666666666666668</v>
      </c>
      <c r="R808" s="4">
        <v>208</v>
      </c>
      <c r="S808" s="3">
        <v>66</v>
      </c>
      <c r="T808" s="1">
        <v>0.22950000000000001</v>
      </c>
      <c r="U808" s="6">
        <v>66.325500000000005</v>
      </c>
    </row>
    <row r="809" spans="1:21" x14ac:dyDescent="0.35">
      <c r="A809">
        <v>808</v>
      </c>
      <c r="B809" s="5">
        <v>45004</v>
      </c>
      <c r="C809" s="4">
        <v>2023</v>
      </c>
      <c r="D809" s="4">
        <v>3</v>
      </c>
      <c r="E809" s="14">
        <v>45004</v>
      </c>
      <c r="F809" s="4">
        <v>19</v>
      </c>
      <c r="G809">
        <v>454</v>
      </c>
      <c r="H809">
        <v>284</v>
      </c>
      <c r="I809" s="13">
        <v>0.62</v>
      </c>
      <c r="J809">
        <v>170</v>
      </c>
      <c r="K809" s="2">
        <v>1.3078703703703703E-3</v>
      </c>
      <c r="L809" s="11">
        <v>534.86666666666667</v>
      </c>
      <c r="M809" s="3">
        <v>1.8833333333333333</v>
      </c>
      <c r="N809" s="4">
        <v>113</v>
      </c>
      <c r="O809" s="2">
        <v>2.476851851851852E-3</v>
      </c>
      <c r="P809" s="9">
        <v>1012.9333333333333</v>
      </c>
      <c r="Q809" s="3">
        <v>3.5666666666666664</v>
      </c>
      <c r="R809" s="4">
        <v>214</v>
      </c>
      <c r="S809" s="3">
        <v>69</v>
      </c>
      <c r="T809" s="1">
        <v>0.24440000000000001</v>
      </c>
      <c r="U809" s="6">
        <v>69.409599999999998</v>
      </c>
    </row>
    <row r="810" spans="1:21" x14ac:dyDescent="0.35">
      <c r="A810">
        <v>809</v>
      </c>
      <c r="B810" s="5">
        <v>45005</v>
      </c>
      <c r="C810" s="4">
        <v>2023</v>
      </c>
      <c r="D810" s="4">
        <v>3</v>
      </c>
      <c r="E810" s="14">
        <v>45005</v>
      </c>
      <c r="F810" s="4">
        <v>20</v>
      </c>
      <c r="G810">
        <v>244</v>
      </c>
      <c r="H810">
        <v>195</v>
      </c>
      <c r="I810" s="13">
        <v>0.79</v>
      </c>
      <c r="J810">
        <v>49</v>
      </c>
      <c r="K810" s="2">
        <v>9.837962962962962E-4</v>
      </c>
      <c r="L810" s="11">
        <v>276.25</v>
      </c>
      <c r="M810" s="3">
        <v>1.4166666666666667</v>
      </c>
      <c r="N810" s="4">
        <v>85</v>
      </c>
      <c r="O810" s="2">
        <v>2.673611111111111E-3</v>
      </c>
      <c r="P810" s="9">
        <v>750.75</v>
      </c>
      <c r="Q810" s="3">
        <v>3.85</v>
      </c>
      <c r="R810" s="4">
        <v>231</v>
      </c>
      <c r="S810" s="3">
        <v>71</v>
      </c>
      <c r="T810" s="1">
        <v>0.36670000000000003</v>
      </c>
      <c r="U810" s="6">
        <v>71.506500000000003</v>
      </c>
    </row>
    <row r="811" spans="1:21" x14ac:dyDescent="0.35">
      <c r="A811">
        <v>810</v>
      </c>
      <c r="B811" s="5">
        <v>45006</v>
      </c>
      <c r="C811" s="4">
        <v>2023</v>
      </c>
      <c r="D811" s="4">
        <v>3</v>
      </c>
      <c r="E811" s="14">
        <v>45006</v>
      </c>
      <c r="F811" s="4">
        <v>21</v>
      </c>
      <c r="G811">
        <v>51</v>
      </c>
      <c r="H811">
        <v>48</v>
      </c>
      <c r="I811" s="13">
        <v>0.94</v>
      </c>
      <c r="J811">
        <v>3</v>
      </c>
      <c r="K811" s="2">
        <v>1.6203703703703703E-4</v>
      </c>
      <c r="L811" s="11">
        <v>11.2</v>
      </c>
      <c r="M811" s="3">
        <v>0.23333333333333334</v>
      </c>
      <c r="N811" s="4">
        <v>14</v>
      </c>
      <c r="O811" s="2">
        <v>2.3842592592592591E-3</v>
      </c>
      <c r="P811" s="9">
        <v>164.8</v>
      </c>
      <c r="Q811" s="3">
        <v>3.4333333333333336</v>
      </c>
      <c r="R811" s="4">
        <v>206</v>
      </c>
      <c r="S811" s="3">
        <v>40</v>
      </c>
      <c r="T811" s="1">
        <v>0.84309999999999996</v>
      </c>
      <c r="U811" s="6">
        <v>40.468800000000002</v>
      </c>
    </row>
    <row r="812" spans="1:21" x14ac:dyDescent="0.35">
      <c r="A812">
        <v>811</v>
      </c>
      <c r="B812" s="5">
        <v>45007</v>
      </c>
      <c r="C812" s="4">
        <v>2023</v>
      </c>
      <c r="D812" s="4">
        <v>3</v>
      </c>
      <c r="E812" s="14">
        <v>45007</v>
      </c>
      <c r="F812" s="4">
        <v>22</v>
      </c>
      <c r="G812">
        <v>202</v>
      </c>
      <c r="H812">
        <v>176</v>
      </c>
      <c r="I812" s="13">
        <v>0.87</v>
      </c>
      <c r="J812">
        <v>26</v>
      </c>
      <c r="K812" s="2">
        <v>2.7777777777777778E-4</v>
      </c>
      <c r="L812" s="11">
        <v>70.400000000000006</v>
      </c>
      <c r="M812" s="3">
        <v>0.4</v>
      </c>
      <c r="N812" s="4">
        <v>24</v>
      </c>
      <c r="O812" s="2">
        <v>2.5694444444444445E-3</v>
      </c>
      <c r="P812" s="9">
        <v>651.20000000000005</v>
      </c>
      <c r="Q812" s="3">
        <v>3.7</v>
      </c>
      <c r="R812" s="4">
        <v>222</v>
      </c>
      <c r="S812" s="3">
        <v>118</v>
      </c>
      <c r="T812" s="1">
        <v>0.67159999999999997</v>
      </c>
      <c r="U812" s="6">
        <v>118.2016</v>
      </c>
    </row>
    <row r="813" spans="1:21" x14ac:dyDescent="0.35">
      <c r="A813">
        <v>812</v>
      </c>
      <c r="B813" s="5">
        <v>45008</v>
      </c>
      <c r="C813" s="4">
        <v>2023</v>
      </c>
      <c r="D813" s="4">
        <v>3</v>
      </c>
      <c r="E813" s="14">
        <v>45008</v>
      </c>
      <c r="F813" s="4">
        <v>23</v>
      </c>
      <c r="G813">
        <v>128</v>
      </c>
      <c r="H813">
        <v>118</v>
      </c>
      <c r="I813" s="13">
        <v>0.92</v>
      </c>
      <c r="J813">
        <v>10</v>
      </c>
      <c r="K813" s="2">
        <v>3.4722222222222224E-4</v>
      </c>
      <c r="L813" s="11">
        <v>59</v>
      </c>
      <c r="M813" s="3">
        <v>0.5</v>
      </c>
      <c r="N813" s="4">
        <v>30</v>
      </c>
      <c r="O813" s="2">
        <v>2.5694444444444445E-3</v>
      </c>
      <c r="P813" s="9">
        <v>436.6</v>
      </c>
      <c r="Q813" s="3">
        <v>3.7</v>
      </c>
      <c r="R813" s="4">
        <v>222</v>
      </c>
      <c r="S813" s="3">
        <v>87</v>
      </c>
      <c r="T813" s="1">
        <v>0.74019999999999997</v>
      </c>
      <c r="U813" s="6">
        <v>87.343599999999995</v>
      </c>
    </row>
    <row r="814" spans="1:21" x14ac:dyDescent="0.35">
      <c r="A814">
        <v>813</v>
      </c>
      <c r="B814" s="5">
        <v>45009</v>
      </c>
      <c r="C814" s="4">
        <v>2023</v>
      </c>
      <c r="D814" s="4">
        <v>3</v>
      </c>
      <c r="E814" s="14">
        <v>45009</v>
      </c>
      <c r="F814" s="4">
        <v>24</v>
      </c>
      <c r="G814">
        <v>102</v>
      </c>
      <c r="H814">
        <v>100</v>
      </c>
      <c r="I814" s="13">
        <v>0.98</v>
      </c>
      <c r="J814">
        <v>2</v>
      </c>
      <c r="K814" s="2">
        <v>1.6203703703703703E-4</v>
      </c>
      <c r="L814" s="11">
        <v>23.333333333333332</v>
      </c>
      <c r="M814" s="3">
        <v>0.23333333333333334</v>
      </c>
      <c r="N814" s="4">
        <v>14</v>
      </c>
      <c r="O814" s="2">
        <v>2.4537037037037036E-3</v>
      </c>
      <c r="P814" s="9">
        <v>353.33333333333331</v>
      </c>
      <c r="Q814" s="3">
        <v>3.5333333333333332</v>
      </c>
      <c r="R814" s="4">
        <v>212</v>
      </c>
      <c r="S814" s="3">
        <v>85</v>
      </c>
      <c r="T814" s="1">
        <v>0.85289999999999999</v>
      </c>
      <c r="U814" s="6">
        <v>85.289999999999992</v>
      </c>
    </row>
    <row r="815" spans="1:21" x14ac:dyDescent="0.35">
      <c r="A815">
        <v>814</v>
      </c>
      <c r="B815" s="5">
        <v>45010</v>
      </c>
      <c r="C815" s="4">
        <v>2023</v>
      </c>
      <c r="D815" s="4">
        <v>3</v>
      </c>
      <c r="E815" s="14">
        <v>45010</v>
      </c>
      <c r="F815" s="4">
        <v>25</v>
      </c>
      <c r="G815">
        <v>201</v>
      </c>
      <c r="H815">
        <v>169</v>
      </c>
      <c r="I815" s="13">
        <v>0.84</v>
      </c>
      <c r="J815">
        <v>32</v>
      </c>
      <c r="K815" s="2">
        <v>3.7037037037037035E-4</v>
      </c>
      <c r="L815" s="11">
        <v>90.133333333333326</v>
      </c>
      <c r="M815" s="3">
        <v>0.53333333333333333</v>
      </c>
      <c r="N815" s="4">
        <v>32</v>
      </c>
      <c r="O815" s="2">
        <v>2.3726851851851851E-3</v>
      </c>
      <c r="P815" s="9">
        <v>577.41666666666663</v>
      </c>
      <c r="Q815" s="3">
        <v>3.4166666666666665</v>
      </c>
      <c r="R815" s="4">
        <v>205</v>
      </c>
      <c r="S815" s="3">
        <v>98</v>
      </c>
      <c r="T815" s="1">
        <v>0.58079999999999998</v>
      </c>
      <c r="U815" s="6">
        <v>98.155199999999994</v>
      </c>
    </row>
    <row r="816" spans="1:21" x14ac:dyDescent="0.35">
      <c r="A816">
        <v>815</v>
      </c>
      <c r="B816" s="5">
        <v>45011</v>
      </c>
      <c r="C816" s="4">
        <v>2023</v>
      </c>
      <c r="D816" s="4">
        <v>3</v>
      </c>
      <c r="E816" s="14">
        <v>45011</v>
      </c>
      <c r="F816" s="4">
        <v>26</v>
      </c>
      <c r="G816">
        <v>261</v>
      </c>
      <c r="H816">
        <v>195</v>
      </c>
      <c r="I816" s="13">
        <v>0.74</v>
      </c>
      <c r="J816">
        <v>66</v>
      </c>
      <c r="K816" s="2">
        <v>7.0601851851851847E-4</v>
      </c>
      <c r="L816" s="11">
        <v>198.25</v>
      </c>
      <c r="M816" s="3">
        <v>1.0166666666666666</v>
      </c>
      <c r="N816" s="4">
        <v>61</v>
      </c>
      <c r="O816" s="2">
        <v>2.3958333333333331E-3</v>
      </c>
      <c r="P816" s="9">
        <v>672.75</v>
      </c>
      <c r="Q816" s="3">
        <v>3.45</v>
      </c>
      <c r="R816" s="4">
        <v>207</v>
      </c>
      <c r="S816" s="3">
        <v>74</v>
      </c>
      <c r="T816" s="1">
        <v>0.37980000000000003</v>
      </c>
      <c r="U816" s="6">
        <v>74.061000000000007</v>
      </c>
    </row>
    <row r="817" spans="1:21" x14ac:dyDescent="0.35">
      <c r="A817">
        <v>816</v>
      </c>
      <c r="B817" s="5">
        <v>45012</v>
      </c>
      <c r="C817" s="4">
        <v>2023</v>
      </c>
      <c r="D817" s="4">
        <v>3</v>
      </c>
      <c r="E817" s="14">
        <v>45012</v>
      </c>
      <c r="F817" s="4">
        <v>27</v>
      </c>
      <c r="G817">
        <v>201</v>
      </c>
      <c r="H817">
        <v>173</v>
      </c>
      <c r="I817" s="13">
        <v>0.86</v>
      </c>
      <c r="J817">
        <v>28</v>
      </c>
      <c r="K817" s="2">
        <v>4.7453703703703704E-4</v>
      </c>
      <c r="L817" s="11">
        <v>118.21666666666667</v>
      </c>
      <c r="M817" s="3">
        <v>0.68333333333333335</v>
      </c>
      <c r="N817" s="4">
        <v>41</v>
      </c>
      <c r="O817" s="2">
        <v>2.2569444444444442E-3</v>
      </c>
      <c r="P817" s="9">
        <v>562.25</v>
      </c>
      <c r="Q817" s="3">
        <v>3.25</v>
      </c>
      <c r="R817" s="4">
        <v>195</v>
      </c>
      <c r="S817" s="3">
        <v>102</v>
      </c>
      <c r="T817" s="1">
        <v>0.59499999999999997</v>
      </c>
      <c r="U817" s="6">
        <v>102.935</v>
      </c>
    </row>
    <row r="818" spans="1:21" x14ac:dyDescent="0.35">
      <c r="A818">
        <v>817</v>
      </c>
      <c r="B818" s="5">
        <v>45013</v>
      </c>
      <c r="C818" s="4">
        <v>2023</v>
      </c>
      <c r="D818" s="4">
        <v>3</v>
      </c>
      <c r="E818" s="14">
        <v>45013</v>
      </c>
      <c r="F818" s="4">
        <v>28</v>
      </c>
      <c r="G818">
        <v>64</v>
      </c>
      <c r="H818">
        <v>61</v>
      </c>
      <c r="I818" s="13">
        <v>0.95</v>
      </c>
      <c r="J818">
        <v>3</v>
      </c>
      <c r="K818" s="2">
        <v>1.0416666666666667E-4</v>
      </c>
      <c r="L818" s="11">
        <v>9.15</v>
      </c>
      <c r="M818" s="3">
        <v>0.15</v>
      </c>
      <c r="N818" s="4">
        <v>9</v>
      </c>
      <c r="O818" s="2">
        <v>2.2569444444444442E-3</v>
      </c>
      <c r="P818" s="9">
        <v>198.25</v>
      </c>
      <c r="Q818" s="3">
        <v>3.25</v>
      </c>
      <c r="R818" s="4">
        <v>195</v>
      </c>
      <c r="S818" s="3">
        <v>56</v>
      </c>
      <c r="T818" s="1">
        <v>0.92059999999999997</v>
      </c>
      <c r="U818" s="6">
        <v>56.156599999999997</v>
      </c>
    </row>
    <row r="819" spans="1:21" x14ac:dyDescent="0.35">
      <c r="A819">
        <v>818</v>
      </c>
      <c r="B819" s="5">
        <v>45014</v>
      </c>
      <c r="C819" s="4">
        <v>2023</v>
      </c>
      <c r="D819" s="4">
        <v>3</v>
      </c>
      <c r="E819" s="14">
        <v>45014</v>
      </c>
      <c r="F819" s="4">
        <v>29</v>
      </c>
      <c r="G819">
        <v>200</v>
      </c>
      <c r="H819">
        <v>168</v>
      </c>
      <c r="I819" s="13">
        <v>0.84</v>
      </c>
      <c r="J819">
        <v>32</v>
      </c>
      <c r="K819" s="2">
        <v>5.9027777777777778E-4</v>
      </c>
      <c r="L819" s="11">
        <v>142.79999999999998</v>
      </c>
      <c r="M819" s="3">
        <v>0.85</v>
      </c>
      <c r="N819" s="4">
        <v>51</v>
      </c>
      <c r="O819" s="2">
        <v>2.3495370370370371E-3</v>
      </c>
      <c r="P819" s="9">
        <v>568.4</v>
      </c>
      <c r="Q819" s="3">
        <v>3.3833333333333333</v>
      </c>
      <c r="R819" s="4">
        <v>203</v>
      </c>
      <c r="S819" s="3">
        <v>81</v>
      </c>
      <c r="T819" s="1">
        <v>0.4874</v>
      </c>
      <c r="U819" s="6">
        <v>81.883200000000002</v>
      </c>
    </row>
    <row r="820" spans="1:21" x14ac:dyDescent="0.35">
      <c r="A820">
        <v>819</v>
      </c>
      <c r="B820" s="5">
        <v>45015</v>
      </c>
      <c r="C820" s="4">
        <v>2023</v>
      </c>
      <c r="D820" s="4">
        <v>3</v>
      </c>
      <c r="E820" s="14">
        <v>45015</v>
      </c>
      <c r="F820" s="4">
        <v>30</v>
      </c>
      <c r="G820">
        <v>158</v>
      </c>
      <c r="H820">
        <v>148</v>
      </c>
      <c r="I820" s="13">
        <v>0.93</v>
      </c>
      <c r="J820">
        <v>10</v>
      </c>
      <c r="K820" s="2">
        <v>3.4722222222222224E-4</v>
      </c>
      <c r="L820" s="11">
        <v>74</v>
      </c>
      <c r="M820" s="3">
        <v>0.5</v>
      </c>
      <c r="N820" s="4">
        <v>30</v>
      </c>
      <c r="O820" s="2">
        <v>2.2800925925925927E-3</v>
      </c>
      <c r="P820" s="9">
        <v>485.93333333333334</v>
      </c>
      <c r="Q820" s="3">
        <v>3.2833333333333332</v>
      </c>
      <c r="R820" s="4">
        <v>197</v>
      </c>
      <c r="S820" s="3">
        <v>83</v>
      </c>
      <c r="T820" s="1">
        <v>0.56689999999999996</v>
      </c>
      <c r="U820" s="6">
        <v>83.901199999999989</v>
      </c>
    </row>
    <row r="821" spans="1:21" x14ac:dyDescent="0.35">
      <c r="A821">
        <v>820</v>
      </c>
      <c r="B821" s="5">
        <v>45016</v>
      </c>
      <c r="C821" s="4">
        <v>2023</v>
      </c>
      <c r="D821" s="4">
        <v>3</v>
      </c>
      <c r="E821" s="14">
        <v>45016</v>
      </c>
      <c r="F821" s="4">
        <v>31</v>
      </c>
      <c r="G821">
        <v>174</v>
      </c>
      <c r="H821">
        <v>155</v>
      </c>
      <c r="I821" s="13">
        <v>0.89</v>
      </c>
      <c r="J821">
        <v>19</v>
      </c>
      <c r="K821" s="2">
        <v>3.0092592592592595E-4</v>
      </c>
      <c r="L821" s="11">
        <v>67.166666666666671</v>
      </c>
      <c r="M821" s="3">
        <v>0.43333333333333335</v>
      </c>
      <c r="N821" s="4">
        <v>26</v>
      </c>
      <c r="O821" s="2">
        <v>2.0949074074074073E-3</v>
      </c>
      <c r="P821" s="9">
        <v>467.58333333333331</v>
      </c>
      <c r="Q821" s="3">
        <v>3.0166666666666666</v>
      </c>
      <c r="R821" s="4">
        <v>181</v>
      </c>
      <c r="S821" s="3">
        <v>96</v>
      </c>
      <c r="T821" s="1">
        <v>0.62350000000000005</v>
      </c>
      <c r="U821" s="6">
        <v>96.642500000000013</v>
      </c>
    </row>
    <row r="822" spans="1:21" x14ac:dyDescent="0.35">
      <c r="A822">
        <v>821</v>
      </c>
      <c r="B822" s="5">
        <v>45017</v>
      </c>
      <c r="C822" s="4">
        <v>2023</v>
      </c>
      <c r="D822" s="4">
        <v>4</v>
      </c>
      <c r="E822" s="14">
        <v>45017</v>
      </c>
      <c r="F822" s="4">
        <v>1</v>
      </c>
      <c r="G822">
        <v>67</v>
      </c>
      <c r="H822">
        <v>64</v>
      </c>
      <c r="I822" s="13">
        <v>0.95</v>
      </c>
      <c r="J822">
        <v>3</v>
      </c>
      <c r="K822" s="2">
        <v>3.0092592592592595E-4</v>
      </c>
      <c r="L822" s="11">
        <v>27.733333333333334</v>
      </c>
      <c r="M822" s="3">
        <v>0.43333333333333335</v>
      </c>
      <c r="N822" s="4">
        <v>26</v>
      </c>
      <c r="O822" s="2">
        <v>2.4421296296296296E-3</v>
      </c>
      <c r="P822" s="9">
        <v>225.06666666666666</v>
      </c>
      <c r="Q822" s="3">
        <v>3.5166666666666666</v>
      </c>
      <c r="R822" s="4">
        <v>211</v>
      </c>
      <c r="S822" s="3">
        <v>45</v>
      </c>
      <c r="T822" s="1">
        <v>0.71209999999999996</v>
      </c>
      <c r="U822" s="6">
        <v>45.574399999999997</v>
      </c>
    </row>
    <row r="823" spans="1:21" x14ac:dyDescent="0.35">
      <c r="A823">
        <v>822</v>
      </c>
      <c r="B823" s="5">
        <v>45018</v>
      </c>
      <c r="C823" s="4">
        <v>2023</v>
      </c>
      <c r="D823" s="4">
        <v>4</v>
      </c>
      <c r="E823" s="14">
        <v>45018</v>
      </c>
      <c r="F823" s="4">
        <v>2</v>
      </c>
      <c r="G823">
        <v>24</v>
      </c>
      <c r="H823">
        <v>23</v>
      </c>
      <c r="I823" s="13">
        <v>0.95</v>
      </c>
      <c r="J823">
        <v>1</v>
      </c>
      <c r="K823" s="2">
        <v>2.6620370370370372E-4</v>
      </c>
      <c r="L823" s="11">
        <v>8.8166666666666664</v>
      </c>
      <c r="M823" s="3">
        <v>0.38333333333333336</v>
      </c>
      <c r="N823" s="4">
        <v>23</v>
      </c>
      <c r="O823" s="2">
        <v>1.9675925925925924E-3</v>
      </c>
      <c r="P823" s="9">
        <v>65.166666666666671</v>
      </c>
      <c r="Q823" s="3">
        <v>2.8333333333333335</v>
      </c>
      <c r="R823" s="4">
        <v>170</v>
      </c>
      <c r="S823" s="3">
        <v>17</v>
      </c>
      <c r="T823" s="1">
        <v>0.75</v>
      </c>
      <c r="U823" s="6">
        <v>17.25</v>
      </c>
    </row>
    <row r="824" spans="1:21" x14ac:dyDescent="0.35">
      <c r="A824">
        <v>823</v>
      </c>
      <c r="B824" s="5">
        <v>45019</v>
      </c>
      <c r="C824" s="4">
        <v>2023</v>
      </c>
      <c r="D824" s="4">
        <v>4</v>
      </c>
      <c r="E824" s="14">
        <v>45019</v>
      </c>
      <c r="F824" s="4">
        <v>3</v>
      </c>
      <c r="G824">
        <v>106</v>
      </c>
      <c r="H824">
        <v>92</v>
      </c>
      <c r="I824" s="13">
        <v>0.86</v>
      </c>
      <c r="J824">
        <v>14</v>
      </c>
      <c r="K824" s="2">
        <v>5.0925925925925921E-4</v>
      </c>
      <c r="L824" s="11">
        <v>67.466666666666669</v>
      </c>
      <c r="M824" s="3">
        <v>0.73333333333333328</v>
      </c>
      <c r="N824" s="4">
        <v>44</v>
      </c>
      <c r="O824" s="2">
        <v>2.1180555555555558E-3</v>
      </c>
      <c r="P824" s="9">
        <v>280.59999999999997</v>
      </c>
      <c r="Q824" s="3">
        <v>3.05</v>
      </c>
      <c r="R824" s="4">
        <v>183</v>
      </c>
      <c r="S824" s="3">
        <v>41</v>
      </c>
      <c r="T824" s="1">
        <v>0.45629999999999998</v>
      </c>
      <c r="U824" s="6">
        <v>41.979599999999998</v>
      </c>
    </row>
    <row r="825" spans="1:21" x14ac:dyDescent="0.35">
      <c r="A825">
        <v>824</v>
      </c>
      <c r="B825" s="5">
        <v>45020</v>
      </c>
      <c r="C825" s="4">
        <v>2023</v>
      </c>
      <c r="D825" s="4">
        <v>4</v>
      </c>
      <c r="E825" s="14">
        <v>45020</v>
      </c>
      <c r="F825" s="4">
        <v>4</v>
      </c>
      <c r="G825">
        <v>52</v>
      </c>
      <c r="H825">
        <v>50</v>
      </c>
      <c r="I825" s="13">
        <v>0.96</v>
      </c>
      <c r="J825">
        <v>2</v>
      </c>
      <c r="K825" s="2">
        <v>1.273148148148148E-4</v>
      </c>
      <c r="L825" s="11">
        <v>9.1666666666666661</v>
      </c>
      <c r="M825" s="3">
        <v>0.18333333333333332</v>
      </c>
      <c r="N825" s="4">
        <v>11</v>
      </c>
      <c r="O825" s="2">
        <v>2.3032407407407407E-3</v>
      </c>
      <c r="P825" s="9">
        <v>165.83333333333331</v>
      </c>
      <c r="Q825" s="3">
        <v>3.3166666666666664</v>
      </c>
      <c r="R825" s="4">
        <v>199</v>
      </c>
      <c r="S825" s="3">
        <v>44</v>
      </c>
      <c r="T825" s="1">
        <v>0.88460000000000005</v>
      </c>
      <c r="U825" s="6">
        <v>44.230000000000004</v>
      </c>
    </row>
    <row r="826" spans="1:21" x14ac:dyDescent="0.35">
      <c r="A826">
        <v>825</v>
      </c>
      <c r="B826" s="5">
        <v>45021</v>
      </c>
      <c r="C826" s="4">
        <v>2023</v>
      </c>
      <c r="D826" s="4">
        <v>4</v>
      </c>
      <c r="E826" s="14">
        <v>45021</v>
      </c>
      <c r="F826" s="4">
        <v>5</v>
      </c>
      <c r="G826">
        <v>223</v>
      </c>
      <c r="H826">
        <v>203</v>
      </c>
      <c r="I826" s="13">
        <v>0.91</v>
      </c>
      <c r="J826">
        <v>20</v>
      </c>
      <c r="K826" s="2">
        <v>3.5879629629629629E-4</v>
      </c>
      <c r="L826" s="11">
        <v>104.88333333333334</v>
      </c>
      <c r="M826" s="3">
        <v>0.51666666666666672</v>
      </c>
      <c r="N826" s="4">
        <v>31.000000000000004</v>
      </c>
      <c r="O826" s="2">
        <v>2.2916666666666667E-3</v>
      </c>
      <c r="P826" s="9">
        <v>669.9</v>
      </c>
      <c r="Q826" s="3">
        <v>3.3</v>
      </c>
      <c r="R826" s="4">
        <v>198</v>
      </c>
      <c r="S826" s="3">
        <v>126</v>
      </c>
      <c r="T826" s="1">
        <v>0.621</v>
      </c>
      <c r="U826" s="6">
        <v>126.063</v>
      </c>
    </row>
    <row r="827" spans="1:21" x14ac:dyDescent="0.35">
      <c r="A827">
        <v>826</v>
      </c>
      <c r="B827" s="5">
        <v>45022</v>
      </c>
      <c r="C827" s="4">
        <v>2023</v>
      </c>
      <c r="D827" s="4">
        <v>4</v>
      </c>
      <c r="E827" s="14">
        <v>45022</v>
      </c>
      <c r="F827" s="4">
        <v>6</v>
      </c>
      <c r="G827">
        <v>274</v>
      </c>
      <c r="H827">
        <v>233</v>
      </c>
      <c r="I827" s="13">
        <v>0.85</v>
      </c>
      <c r="J827">
        <v>41</v>
      </c>
      <c r="K827" s="2">
        <v>5.5555555555555556E-4</v>
      </c>
      <c r="L827" s="11">
        <v>186.4</v>
      </c>
      <c r="M827" s="3">
        <v>0.8</v>
      </c>
      <c r="N827" s="4">
        <v>48</v>
      </c>
      <c r="O827" s="2">
        <v>2.3958333333333331E-3</v>
      </c>
      <c r="P827" s="9">
        <v>803.85</v>
      </c>
      <c r="Q827" s="3">
        <v>3.45</v>
      </c>
      <c r="R827" s="4">
        <v>207</v>
      </c>
      <c r="S827" s="3">
        <v>84</v>
      </c>
      <c r="T827" s="1">
        <v>0.36059999999999998</v>
      </c>
      <c r="U827" s="6">
        <v>84.019799999999989</v>
      </c>
    </row>
    <row r="828" spans="1:21" x14ac:dyDescent="0.35">
      <c r="A828">
        <v>827</v>
      </c>
      <c r="B828" s="5">
        <v>45023</v>
      </c>
      <c r="C828" s="4">
        <v>2023</v>
      </c>
      <c r="D828" s="4">
        <v>4</v>
      </c>
      <c r="E828" s="14">
        <v>45023</v>
      </c>
      <c r="F828" s="4">
        <v>7</v>
      </c>
      <c r="G828">
        <v>280</v>
      </c>
      <c r="H828">
        <v>263</v>
      </c>
      <c r="I828" s="13">
        <v>0.93</v>
      </c>
      <c r="J828">
        <v>17</v>
      </c>
      <c r="K828" s="2">
        <v>2.6620370370370372E-4</v>
      </c>
      <c r="L828" s="11">
        <v>100.81666666666668</v>
      </c>
      <c r="M828" s="3">
        <v>0.38333333333333336</v>
      </c>
      <c r="N828" s="4">
        <v>23</v>
      </c>
      <c r="O828" s="2">
        <v>2.2337962962962962E-3</v>
      </c>
      <c r="P828" s="9">
        <v>845.98333333333335</v>
      </c>
      <c r="Q828" s="3">
        <v>3.2166666666666668</v>
      </c>
      <c r="R828" s="4">
        <v>193</v>
      </c>
      <c r="S828" s="3">
        <v>177</v>
      </c>
      <c r="T828" s="1">
        <v>0.6764</v>
      </c>
      <c r="U828" s="6">
        <v>177.89320000000001</v>
      </c>
    </row>
    <row r="829" spans="1:21" x14ac:dyDescent="0.35">
      <c r="A829">
        <v>828</v>
      </c>
      <c r="B829" s="5">
        <v>45024</v>
      </c>
      <c r="C829" s="4">
        <v>2023</v>
      </c>
      <c r="D829" s="4">
        <v>4</v>
      </c>
      <c r="E829" s="14">
        <v>45024</v>
      </c>
      <c r="F829" s="4">
        <v>8</v>
      </c>
      <c r="G829">
        <v>534</v>
      </c>
      <c r="H829">
        <v>468</v>
      </c>
      <c r="I829" s="13">
        <v>0.87</v>
      </c>
      <c r="J829">
        <v>66</v>
      </c>
      <c r="K829" s="2">
        <v>3.4722222222222224E-4</v>
      </c>
      <c r="L829" s="11">
        <v>234</v>
      </c>
      <c r="M829" s="3">
        <v>0.5</v>
      </c>
      <c r="N829" s="4">
        <v>30</v>
      </c>
      <c r="O829" s="2">
        <v>1.9212962962962964E-3</v>
      </c>
      <c r="P829" s="9">
        <v>1294.8</v>
      </c>
      <c r="Q829" s="3">
        <v>2.7666666666666666</v>
      </c>
      <c r="R829" s="4">
        <v>166</v>
      </c>
      <c r="S829" s="3">
        <v>268</v>
      </c>
      <c r="T829" s="1">
        <v>0.57469999999999999</v>
      </c>
      <c r="U829" s="6">
        <v>268.95960000000002</v>
      </c>
    </row>
    <row r="830" spans="1:21" x14ac:dyDescent="0.35">
      <c r="A830">
        <v>829</v>
      </c>
      <c r="B830" s="5">
        <v>45025</v>
      </c>
      <c r="C830" s="4">
        <v>2023</v>
      </c>
      <c r="D830" s="4">
        <v>4</v>
      </c>
      <c r="E830" s="14">
        <v>45025</v>
      </c>
      <c r="F830" s="4">
        <v>9</v>
      </c>
      <c r="G830">
        <v>315</v>
      </c>
      <c r="H830">
        <v>300</v>
      </c>
      <c r="I830" s="13">
        <v>0.95</v>
      </c>
      <c r="J830">
        <v>15</v>
      </c>
      <c r="K830" s="2">
        <v>2.7777777777777778E-4</v>
      </c>
      <c r="L830" s="11">
        <v>120</v>
      </c>
      <c r="M830" s="3">
        <v>0.4</v>
      </c>
      <c r="N830" s="4">
        <v>24</v>
      </c>
      <c r="O830" s="2">
        <v>2.2106481481481482E-3</v>
      </c>
      <c r="P830" s="9">
        <v>954.99999999999989</v>
      </c>
      <c r="Q830" s="3">
        <v>3.1833333333333331</v>
      </c>
      <c r="R830" s="4">
        <v>191</v>
      </c>
      <c r="S830" s="3">
        <v>210</v>
      </c>
      <c r="T830" s="1">
        <v>0.70230000000000004</v>
      </c>
      <c r="U830" s="6">
        <v>210.69</v>
      </c>
    </row>
    <row r="831" spans="1:21" x14ac:dyDescent="0.35">
      <c r="A831">
        <v>830</v>
      </c>
      <c r="B831" s="5">
        <v>45026</v>
      </c>
      <c r="C831" s="4">
        <v>2023</v>
      </c>
      <c r="D831" s="4">
        <v>4</v>
      </c>
      <c r="E831" s="14">
        <v>45026</v>
      </c>
      <c r="F831" s="4">
        <v>10</v>
      </c>
      <c r="G831">
        <v>122</v>
      </c>
      <c r="H831">
        <v>113</v>
      </c>
      <c r="I831" s="13">
        <v>0.92</v>
      </c>
      <c r="J831">
        <v>9</v>
      </c>
      <c r="K831" s="2">
        <v>2.3148148148148149E-4</v>
      </c>
      <c r="L831" s="11">
        <v>37.666666666666664</v>
      </c>
      <c r="M831" s="3">
        <v>0.33333333333333331</v>
      </c>
      <c r="N831" s="4">
        <v>20</v>
      </c>
      <c r="O831" s="2">
        <v>2.0601851851851853E-3</v>
      </c>
      <c r="P831" s="9">
        <v>335.23333333333335</v>
      </c>
      <c r="Q831" s="3">
        <v>2.9666666666666668</v>
      </c>
      <c r="R831" s="4">
        <v>178</v>
      </c>
      <c r="S831" s="3">
        <v>86</v>
      </c>
      <c r="T831" s="1">
        <v>0.76670000000000005</v>
      </c>
      <c r="U831" s="6">
        <v>86.637100000000004</v>
      </c>
    </row>
    <row r="832" spans="1:21" x14ac:dyDescent="0.35">
      <c r="A832">
        <v>831</v>
      </c>
      <c r="B832" s="5">
        <v>45027</v>
      </c>
      <c r="C832" s="4">
        <v>2023</v>
      </c>
      <c r="D832" s="4">
        <v>4</v>
      </c>
      <c r="E832" s="14">
        <v>45027</v>
      </c>
      <c r="F832" s="4">
        <v>11</v>
      </c>
      <c r="G832">
        <v>63</v>
      </c>
      <c r="H832">
        <v>60</v>
      </c>
      <c r="I832" s="13">
        <v>0.95</v>
      </c>
      <c r="J832">
        <v>3</v>
      </c>
      <c r="K832" s="2">
        <v>2.4305555555555555E-4</v>
      </c>
      <c r="L832" s="11">
        <v>21</v>
      </c>
      <c r="M832" s="3">
        <v>0.35</v>
      </c>
      <c r="N832" s="4">
        <v>21</v>
      </c>
      <c r="O832" s="2">
        <v>1.9791666666666668E-3</v>
      </c>
      <c r="P832" s="9">
        <v>171</v>
      </c>
      <c r="Q832" s="3">
        <v>2.85</v>
      </c>
      <c r="R832" s="4">
        <v>171</v>
      </c>
      <c r="S832" s="3">
        <v>44</v>
      </c>
      <c r="T832" s="1">
        <v>0.7419</v>
      </c>
      <c r="U832" s="6">
        <v>44.514000000000003</v>
      </c>
    </row>
    <row r="833" spans="1:21" x14ac:dyDescent="0.35">
      <c r="A833">
        <v>832</v>
      </c>
      <c r="B833" s="5">
        <v>45028</v>
      </c>
      <c r="C833" s="4">
        <v>2023</v>
      </c>
      <c r="D833" s="4">
        <v>4</v>
      </c>
      <c r="E833" s="14">
        <v>45028</v>
      </c>
      <c r="F833" s="4">
        <v>12</v>
      </c>
      <c r="G833">
        <v>402</v>
      </c>
      <c r="H833">
        <v>368</v>
      </c>
      <c r="I833" s="13">
        <v>0.91</v>
      </c>
      <c r="J833">
        <v>34</v>
      </c>
      <c r="K833" s="2">
        <v>3.7037037037037035E-4</v>
      </c>
      <c r="L833" s="11">
        <v>196.26666666666665</v>
      </c>
      <c r="M833" s="3">
        <v>0.53333333333333333</v>
      </c>
      <c r="N833" s="4">
        <v>32</v>
      </c>
      <c r="O833" s="2">
        <v>2.1643518518518518E-3</v>
      </c>
      <c r="P833" s="9">
        <v>1146.9333333333334</v>
      </c>
      <c r="Q833" s="3">
        <v>3.1166666666666667</v>
      </c>
      <c r="R833" s="4">
        <v>187</v>
      </c>
      <c r="S833" s="3">
        <v>199</v>
      </c>
      <c r="T833" s="1">
        <v>0.54179999999999995</v>
      </c>
      <c r="U833" s="6">
        <v>199.38239999999999</v>
      </c>
    </row>
    <row r="834" spans="1:21" x14ac:dyDescent="0.35">
      <c r="A834">
        <v>833</v>
      </c>
      <c r="B834" s="5">
        <v>45029</v>
      </c>
      <c r="C834" s="4">
        <v>2023</v>
      </c>
      <c r="D834" s="4">
        <v>4</v>
      </c>
      <c r="E834" s="14">
        <v>45029</v>
      </c>
      <c r="F834" s="4">
        <v>13</v>
      </c>
      <c r="G834">
        <v>413</v>
      </c>
      <c r="H834">
        <v>370</v>
      </c>
      <c r="I834" s="13">
        <v>0.89</v>
      </c>
      <c r="J834">
        <v>43</v>
      </c>
      <c r="K834" s="2">
        <v>3.3564814814814812E-4</v>
      </c>
      <c r="L834" s="11">
        <v>178.83333333333334</v>
      </c>
      <c r="M834" s="3">
        <v>0.48333333333333334</v>
      </c>
      <c r="N834" s="4">
        <v>29</v>
      </c>
      <c r="O834" s="2">
        <v>2.1990740740740742E-3</v>
      </c>
      <c r="P834" s="9">
        <v>1171.6666666666665</v>
      </c>
      <c r="Q834" s="3">
        <v>3.1666666666666665</v>
      </c>
      <c r="R834" s="4">
        <v>190</v>
      </c>
      <c r="S834" s="3">
        <v>216</v>
      </c>
      <c r="T834" s="1">
        <v>0.58420000000000005</v>
      </c>
      <c r="U834" s="6">
        <v>216.15400000000002</v>
      </c>
    </row>
    <row r="835" spans="1:21" x14ac:dyDescent="0.35">
      <c r="A835">
        <v>834</v>
      </c>
      <c r="B835" s="5">
        <v>45030</v>
      </c>
      <c r="C835" s="4">
        <v>2023</v>
      </c>
      <c r="D835" s="4">
        <v>4</v>
      </c>
      <c r="E835" s="14">
        <v>45030</v>
      </c>
      <c r="F835" s="4">
        <v>14</v>
      </c>
      <c r="G835">
        <v>389</v>
      </c>
      <c r="H835">
        <v>346</v>
      </c>
      <c r="I835" s="13">
        <v>0.88</v>
      </c>
      <c r="J835">
        <v>43</v>
      </c>
      <c r="K835" s="2">
        <v>4.1666666666666669E-4</v>
      </c>
      <c r="L835" s="11">
        <v>207.6</v>
      </c>
      <c r="M835" s="3">
        <v>0.6</v>
      </c>
      <c r="N835" s="4">
        <v>36</v>
      </c>
      <c r="O835" s="2">
        <v>2.3263888888888887E-3</v>
      </c>
      <c r="P835" s="9">
        <v>1159.1000000000001</v>
      </c>
      <c r="Q835" s="3">
        <v>3.35</v>
      </c>
      <c r="R835" s="4">
        <v>201</v>
      </c>
      <c r="S835" s="3">
        <v>172</v>
      </c>
      <c r="T835" s="1">
        <v>0.49869999999999998</v>
      </c>
      <c r="U835" s="6">
        <v>172.55019999999999</v>
      </c>
    </row>
    <row r="836" spans="1:21" x14ac:dyDescent="0.35">
      <c r="A836">
        <v>835</v>
      </c>
      <c r="B836" s="5">
        <v>45031</v>
      </c>
      <c r="C836" s="4">
        <v>2023</v>
      </c>
      <c r="D836" s="4">
        <v>4</v>
      </c>
      <c r="E836" s="14">
        <v>45031</v>
      </c>
      <c r="F836" s="4">
        <v>15</v>
      </c>
      <c r="G836">
        <v>495</v>
      </c>
      <c r="H836">
        <v>308</v>
      </c>
      <c r="I836" s="13">
        <v>0.62</v>
      </c>
      <c r="J836">
        <v>187</v>
      </c>
      <c r="K836" s="2">
        <v>1.0532407407407407E-3</v>
      </c>
      <c r="L836" s="11">
        <v>467.13333333333333</v>
      </c>
      <c r="M836" s="3">
        <v>1.5166666666666666</v>
      </c>
      <c r="N836" s="4">
        <v>91</v>
      </c>
      <c r="O836" s="2">
        <v>2.3726851851851851E-3</v>
      </c>
      <c r="P836" s="9">
        <v>1052.3333333333333</v>
      </c>
      <c r="Q836" s="3">
        <v>3.4166666666666665</v>
      </c>
      <c r="R836" s="4">
        <v>205</v>
      </c>
      <c r="S836" s="3">
        <v>57</v>
      </c>
      <c r="T836" s="1">
        <v>0.18559999999999999</v>
      </c>
      <c r="U836" s="6">
        <v>57.1648</v>
      </c>
    </row>
    <row r="837" spans="1:21" x14ac:dyDescent="0.35">
      <c r="A837">
        <v>836</v>
      </c>
      <c r="B837" s="5">
        <v>45032</v>
      </c>
      <c r="C837" s="4">
        <v>2023</v>
      </c>
      <c r="D837" s="4">
        <v>4</v>
      </c>
      <c r="E837" s="14">
        <v>45032</v>
      </c>
      <c r="F837" s="4">
        <v>16</v>
      </c>
      <c r="G837">
        <v>712</v>
      </c>
      <c r="H837">
        <v>340</v>
      </c>
      <c r="I837" s="13">
        <v>0.47</v>
      </c>
      <c r="J837">
        <v>372</v>
      </c>
      <c r="K837" s="2">
        <v>1.3888888888888889E-3</v>
      </c>
      <c r="L837" s="11">
        <v>680</v>
      </c>
      <c r="M837" s="3">
        <v>2</v>
      </c>
      <c r="N837" s="4">
        <v>120</v>
      </c>
      <c r="O837" s="2">
        <v>2.3842592592592591E-3</v>
      </c>
      <c r="P837" s="9">
        <v>1167.3333333333335</v>
      </c>
      <c r="Q837" s="3">
        <v>3.4333333333333336</v>
      </c>
      <c r="R837" s="4">
        <v>206</v>
      </c>
      <c r="S837" s="3">
        <v>41</v>
      </c>
      <c r="T837" s="1">
        <v>0.1226</v>
      </c>
      <c r="U837" s="6">
        <v>41.683999999999997</v>
      </c>
    </row>
    <row r="838" spans="1:21" x14ac:dyDescent="0.35">
      <c r="A838">
        <v>837</v>
      </c>
      <c r="B838" s="5">
        <v>45033</v>
      </c>
      <c r="C838" s="4">
        <v>2023</v>
      </c>
      <c r="D838" s="4">
        <v>4</v>
      </c>
      <c r="E838" s="14">
        <v>45033</v>
      </c>
      <c r="F838" s="4">
        <v>17</v>
      </c>
      <c r="G838">
        <v>1057</v>
      </c>
      <c r="H838">
        <v>602</v>
      </c>
      <c r="I838" s="13">
        <v>0.56000000000000005</v>
      </c>
      <c r="J838">
        <v>455</v>
      </c>
      <c r="K838" s="2">
        <v>1.2037037037037038E-3</v>
      </c>
      <c r="L838" s="11">
        <v>1043.4666666666667</v>
      </c>
      <c r="M838" s="3">
        <v>1.7333333333333334</v>
      </c>
      <c r="N838" s="4">
        <v>104</v>
      </c>
      <c r="O838" s="2">
        <v>1.7708333333333332E-3</v>
      </c>
      <c r="P838" s="9">
        <v>1535.1</v>
      </c>
      <c r="Q838" s="3">
        <v>2.5499999999999998</v>
      </c>
      <c r="R838" s="4">
        <v>153</v>
      </c>
      <c r="S838" s="3">
        <v>69</v>
      </c>
      <c r="T838" s="1">
        <v>0.1149</v>
      </c>
      <c r="U838" s="6">
        <v>69.169799999999995</v>
      </c>
    </row>
    <row r="839" spans="1:21" x14ac:dyDescent="0.35">
      <c r="A839">
        <v>838</v>
      </c>
      <c r="B839" s="5">
        <v>45034</v>
      </c>
      <c r="C839" s="4">
        <v>2023</v>
      </c>
      <c r="D839" s="4">
        <v>4</v>
      </c>
      <c r="E839" s="14">
        <v>45034</v>
      </c>
      <c r="F839" s="4">
        <v>18</v>
      </c>
      <c r="G839">
        <v>620</v>
      </c>
      <c r="H839">
        <v>321</v>
      </c>
      <c r="I839" s="13">
        <v>0.51</v>
      </c>
      <c r="J839">
        <v>299</v>
      </c>
      <c r="K839" s="2">
        <v>1.8749999999999999E-3</v>
      </c>
      <c r="L839" s="11">
        <v>866.7</v>
      </c>
      <c r="M839" s="3">
        <v>2.7</v>
      </c>
      <c r="N839" s="4">
        <v>162</v>
      </c>
      <c r="O839" s="2">
        <v>2.2337962962962962E-3</v>
      </c>
      <c r="P839" s="9">
        <v>1032.55</v>
      </c>
      <c r="Q839" s="3">
        <v>3.2166666666666668</v>
      </c>
      <c r="R839" s="4">
        <v>193</v>
      </c>
      <c r="S839" s="3">
        <v>34</v>
      </c>
      <c r="T839" s="1">
        <v>0.1087</v>
      </c>
      <c r="U839" s="6">
        <v>34.892700000000005</v>
      </c>
    </row>
    <row r="840" spans="1:21" x14ac:dyDescent="0.35">
      <c r="A840">
        <v>839</v>
      </c>
      <c r="B840" s="5">
        <v>45035</v>
      </c>
      <c r="C840" s="4">
        <v>2023</v>
      </c>
      <c r="D840" s="4">
        <v>4</v>
      </c>
      <c r="E840" s="14">
        <v>45035</v>
      </c>
      <c r="F840" s="4">
        <v>19</v>
      </c>
      <c r="G840">
        <v>1575</v>
      </c>
      <c r="H840">
        <v>871</v>
      </c>
      <c r="I840" s="13">
        <v>0.55000000000000004</v>
      </c>
      <c r="J840">
        <v>704</v>
      </c>
      <c r="K840" s="2">
        <v>1.0648148148148149E-3</v>
      </c>
      <c r="L840" s="11">
        <v>1335.5333333333333</v>
      </c>
      <c r="M840" s="3">
        <v>1.5333333333333332</v>
      </c>
      <c r="N840" s="4">
        <v>92</v>
      </c>
      <c r="O840" s="2">
        <v>1.7708333333333332E-3</v>
      </c>
      <c r="P840" s="9">
        <v>2221.0499999999997</v>
      </c>
      <c r="Q840" s="3">
        <v>2.5499999999999998</v>
      </c>
      <c r="R840" s="4">
        <v>153</v>
      </c>
      <c r="S840" s="3">
        <v>121</v>
      </c>
      <c r="T840" s="1">
        <v>0.13930000000000001</v>
      </c>
      <c r="U840" s="6">
        <v>121.33030000000001</v>
      </c>
    </row>
    <row r="841" spans="1:21" x14ac:dyDescent="0.35">
      <c r="A841">
        <v>840</v>
      </c>
      <c r="B841" s="5">
        <v>45036</v>
      </c>
      <c r="C841" s="4">
        <v>2023</v>
      </c>
      <c r="D841" s="4">
        <v>4</v>
      </c>
      <c r="E841" s="14">
        <v>45036</v>
      </c>
      <c r="F841" s="4">
        <v>20</v>
      </c>
      <c r="G841">
        <v>1349</v>
      </c>
      <c r="H841">
        <v>775</v>
      </c>
      <c r="I841" s="13">
        <v>0.56999999999999995</v>
      </c>
      <c r="J841">
        <v>574</v>
      </c>
      <c r="K841" s="2">
        <v>1.2268518518518518E-3</v>
      </c>
      <c r="L841" s="11">
        <v>1369.1666666666665</v>
      </c>
      <c r="M841" s="3">
        <v>1.7666666666666666</v>
      </c>
      <c r="N841" s="4">
        <v>106</v>
      </c>
      <c r="O841" s="2">
        <v>2.1990740740740742E-3</v>
      </c>
      <c r="P841" s="9">
        <v>2454.1666666666665</v>
      </c>
      <c r="Q841" s="3">
        <v>3.1666666666666665</v>
      </c>
      <c r="R841" s="4">
        <v>190</v>
      </c>
      <c r="S841" s="3">
        <v>94</v>
      </c>
      <c r="T841" s="1">
        <v>0.1216</v>
      </c>
      <c r="U841" s="6">
        <v>94.24</v>
      </c>
    </row>
    <row r="842" spans="1:21" x14ac:dyDescent="0.35">
      <c r="A842">
        <v>841</v>
      </c>
      <c r="B842" s="5">
        <v>45037</v>
      </c>
      <c r="C842" s="4">
        <v>2023</v>
      </c>
      <c r="D842" s="4">
        <v>4</v>
      </c>
      <c r="E842" s="14">
        <v>45037</v>
      </c>
      <c r="F842" s="4">
        <v>21</v>
      </c>
      <c r="G842">
        <v>999</v>
      </c>
      <c r="H842">
        <v>454</v>
      </c>
      <c r="I842" s="13">
        <v>0.45</v>
      </c>
      <c r="J842">
        <v>545</v>
      </c>
      <c r="K842" s="2">
        <v>1.9444444444444444E-3</v>
      </c>
      <c r="L842" s="11">
        <v>1271.1999999999998</v>
      </c>
      <c r="M842" s="3">
        <v>2.8</v>
      </c>
      <c r="N842" s="4">
        <v>168</v>
      </c>
      <c r="O842" s="2">
        <v>2.2453703703703702E-3</v>
      </c>
      <c r="P842" s="9">
        <v>1467.9333333333334</v>
      </c>
      <c r="Q842" s="3">
        <v>3.2333333333333334</v>
      </c>
      <c r="R842" s="4">
        <v>194</v>
      </c>
      <c r="S842" s="3">
        <v>18</v>
      </c>
      <c r="T842" s="1">
        <v>4.07E-2</v>
      </c>
      <c r="U842" s="6">
        <v>18.477799999999998</v>
      </c>
    </row>
    <row r="843" spans="1:21" x14ac:dyDescent="0.35">
      <c r="A843">
        <v>842</v>
      </c>
      <c r="B843" s="5">
        <v>45038</v>
      </c>
      <c r="C843" s="4">
        <v>2023</v>
      </c>
      <c r="D843" s="4">
        <v>4</v>
      </c>
      <c r="E843" s="14">
        <v>45038</v>
      </c>
      <c r="F843" s="4">
        <v>22</v>
      </c>
      <c r="G843">
        <v>968</v>
      </c>
      <c r="H843">
        <v>547</v>
      </c>
      <c r="I843" s="13">
        <v>0.56000000000000005</v>
      </c>
      <c r="J843">
        <v>421</v>
      </c>
      <c r="K843" s="2">
        <v>1.6898148148148148E-3</v>
      </c>
      <c r="L843" s="11">
        <v>1331.0333333333335</v>
      </c>
      <c r="M843" s="3">
        <v>2.4333333333333336</v>
      </c>
      <c r="N843" s="4">
        <v>146</v>
      </c>
      <c r="O843" s="2">
        <v>2.2916666666666667E-3</v>
      </c>
      <c r="P843" s="9">
        <v>1805.1</v>
      </c>
      <c r="Q843" s="3">
        <v>3.3</v>
      </c>
      <c r="R843" s="4">
        <v>198</v>
      </c>
      <c r="S843" s="3">
        <v>64</v>
      </c>
      <c r="T843" s="1">
        <v>0.1171</v>
      </c>
      <c r="U843" s="6">
        <v>64.053699999999992</v>
      </c>
    </row>
    <row r="844" spans="1:21" x14ac:dyDescent="0.35">
      <c r="A844">
        <v>843</v>
      </c>
      <c r="B844" s="5">
        <v>45039</v>
      </c>
      <c r="C844" s="4">
        <v>2023</v>
      </c>
      <c r="D844" s="4">
        <v>4</v>
      </c>
      <c r="E844" s="14">
        <v>45039</v>
      </c>
      <c r="F844" s="4">
        <v>23</v>
      </c>
      <c r="G844">
        <v>1066</v>
      </c>
      <c r="H844">
        <v>453</v>
      </c>
      <c r="I844" s="13">
        <v>0.42</v>
      </c>
      <c r="J844">
        <v>613</v>
      </c>
      <c r="K844" s="2">
        <v>3.5185185185185185E-3</v>
      </c>
      <c r="L844" s="11">
        <v>2295.1999999999998</v>
      </c>
      <c r="M844" s="3">
        <v>5.0666666666666664</v>
      </c>
      <c r="N844" s="4">
        <v>304</v>
      </c>
      <c r="O844" s="2">
        <v>2.5347222222222221E-3</v>
      </c>
      <c r="P844" s="9">
        <v>1653.45</v>
      </c>
      <c r="Q844" s="3">
        <v>3.65</v>
      </c>
      <c r="R844" s="4">
        <v>219</v>
      </c>
      <c r="S844" s="3">
        <v>10</v>
      </c>
      <c r="T844" s="1">
        <v>2.24E-2</v>
      </c>
      <c r="U844" s="6">
        <v>10.1472</v>
      </c>
    </row>
    <row r="845" spans="1:21" x14ac:dyDescent="0.35">
      <c r="A845">
        <v>844</v>
      </c>
      <c r="B845" s="5">
        <v>45040</v>
      </c>
      <c r="C845" s="4">
        <v>2023</v>
      </c>
      <c r="D845" s="4">
        <v>4</v>
      </c>
      <c r="E845" s="14">
        <v>45040</v>
      </c>
      <c r="F845" s="4">
        <v>24</v>
      </c>
      <c r="G845">
        <v>788</v>
      </c>
      <c r="H845">
        <v>633</v>
      </c>
      <c r="I845" s="13">
        <v>0.8</v>
      </c>
      <c r="J845">
        <v>155</v>
      </c>
      <c r="K845" s="2">
        <v>8.4490740740740739E-4</v>
      </c>
      <c r="L845" s="11">
        <v>770.15000000000009</v>
      </c>
      <c r="M845" s="3">
        <v>1.2166666666666668</v>
      </c>
      <c r="N845" s="4">
        <v>73</v>
      </c>
      <c r="O845" s="2">
        <v>2.3495370370370371E-3</v>
      </c>
      <c r="P845" s="9">
        <v>2141.65</v>
      </c>
      <c r="Q845" s="3">
        <v>3.3833333333333333</v>
      </c>
      <c r="R845" s="4">
        <v>203</v>
      </c>
      <c r="S845" s="3">
        <v>132</v>
      </c>
      <c r="T845" s="1">
        <v>0.20880000000000001</v>
      </c>
      <c r="U845" s="6">
        <v>132.1704</v>
      </c>
    </row>
    <row r="846" spans="1:21" x14ac:dyDescent="0.35">
      <c r="A846">
        <v>845</v>
      </c>
      <c r="B846" s="5">
        <v>45041</v>
      </c>
      <c r="C846" s="4">
        <v>2023</v>
      </c>
      <c r="D846" s="4">
        <v>4</v>
      </c>
      <c r="E846" s="14">
        <v>45041</v>
      </c>
      <c r="F846" s="4">
        <v>25</v>
      </c>
      <c r="G846">
        <v>252</v>
      </c>
      <c r="H846">
        <v>213</v>
      </c>
      <c r="I846" s="13">
        <v>0.84</v>
      </c>
      <c r="J846">
        <v>39</v>
      </c>
      <c r="K846" s="2">
        <v>6.134259259259259E-4</v>
      </c>
      <c r="L846" s="11">
        <v>188.15</v>
      </c>
      <c r="M846" s="3">
        <v>0.8833333333333333</v>
      </c>
      <c r="N846" s="4">
        <v>53</v>
      </c>
      <c r="O846" s="2">
        <v>2.4421296296296296E-3</v>
      </c>
      <c r="P846" s="9">
        <v>749.05</v>
      </c>
      <c r="Q846" s="3">
        <v>3.5166666666666666</v>
      </c>
      <c r="R846" s="4">
        <v>211</v>
      </c>
      <c r="S846" s="3">
        <v>93</v>
      </c>
      <c r="T846" s="1">
        <v>0.44080000000000003</v>
      </c>
      <c r="U846" s="6">
        <v>93.8904</v>
      </c>
    </row>
    <row r="847" spans="1:21" x14ac:dyDescent="0.35">
      <c r="A847">
        <v>846</v>
      </c>
      <c r="B847" s="5">
        <v>45042</v>
      </c>
      <c r="C847" s="4">
        <v>2023</v>
      </c>
      <c r="D847" s="4">
        <v>4</v>
      </c>
      <c r="E847" s="14">
        <v>45042</v>
      </c>
      <c r="F847" s="4">
        <v>26</v>
      </c>
      <c r="G847">
        <v>842</v>
      </c>
      <c r="H847">
        <v>625</v>
      </c>
      <c r="I847" s="13">
        <v>0.74</v>
      </c>
      <c r="J847">
        <v>217</v>
      </c>
      <c r="K847" s="2">
        <v>8.2175925925925927E-4</v>
      </c>
      <c r="L847" s="11">
        <v>739.58333333333337</v>
      </c>
      <c r="M847" s="3">
        <v>1.1833333333333333</v>
      </c>
      <c r="N847" s="4">
        <v>71</v>
      </c>
      <c r="O847" s="2">
        <v>2.1990740740740742E-3</v>
      </c>
      <c r="P847" s="9">
        <v>1979.1666666666665</v>
      </c>
      <c r="Q847" s="3">
        <v>3.1666666666666665</v>
      </c>
      <c r="R847" s="4">
        <v>190</v>
      </c>
      <c r="S847" s="3">
        <v>168</v>
      </c>
      <c r="T847" s="1">
        <v>0.26929999999999998</v>
      </c>
      <c r="U847" s="6">
        <v>168.3125</v>
      </c>
    </row>
    <row r="848" spans="1:21" x14ac:dyDescent="0.35">
      <c r="A848">
        <v>847</v>
      </c>
      <c r="B848" s="5">
        <v>45043</v>
      </c>
      <c r="C848" s="4">
        <v>2023</v>
      </c>
      <c r="D848" s="4">
        <v>4</v>
      </c>
      <c r="E848" s="14">
        <v>45043</v>
      </c>
      <c r="F848" s="4">
        <v>27</v>
      </c>
      <c r="G848">
        <v>847</v>
      </c>
      <c r="H848">
        <v>722</v>
      </c>
      <c r="I848" s="13">
        <v>0.85</v>
      </c>
      <c r="J848">
        <v>125</v>
      </c>
      <c r="K848" s="2">
        <v>6.2500000000000001E-4</v>
      </c>
      <c r="L848" s="11">
        <v>649.80000000000007</v>
      </c>
      <c r="M848" s="3">
        <v>0.9</v>
      </c>
      <c r="N848" s="4">
        <v>54</v>
      </c>
      <c r="O848" s="2">
        <v>2.1296296296296298E-3</v>
      </c>
      <c r="P848" s="9">
        <v>2214.1333333333337</v>
      </c>
      <c r="Q848" s="3">
        <v>3.0666666666666669</v>
      </c>
      <c r="R848" s="4">
        <v>184</v>
      </c>
      <c r="S848" s="3">
        <v>241</v>
      </c>
      <c r="T848" s="1">
        <v>0.33489999999999998</v>
      </c>
      <c r="U848" s="6">
        <v>241.7978</v>
      </c>
    </row>
    <row r="849" spans="1:21" x14ac:dyDescent="0.35">
      <c r="A849">
        <v>848</v>
      </c>
      <c r="B849" s="5">
        <v>45044</v>
      </c>
      <c r="C849" s="4">
        <v>2023</v>
      </c>
      <c r="D849" s="4">
        <v>4</v>
      </c>
      <c r="E849" s="14">
        <v>45044</v>
      </c>
      <c r="F849" s="4">
        <v>28</v>
      </c>
      <c r="G849">
        <v>800</v>
      </c>
      <c r="H849">
        <v>615</v>
      </c>
      <c r="I849" s="13">
        <v>0.76</v>
      </c>
      <c r="J849">
        <v>185</v>
      </c>
      <c r="K849" s="2">
        <v>7.7546296296296293E-4</v>
      </c>
      <c r="L849" s="11">
        <v>686.75</v>
      </c>
      <c r="M849" s="3">
        <v>1.1166666666666667</v>
      </c>
      <c r="N849" s="4">
        <v>67</v>
      </c>
      <c r="O849" s="2">
        <v>2.3726851851851851E-3</v>
      </c>
      <c r="P849" s="9">
        <v>2101.25</v>
      </c>
      <c r="Q849" s="3">
        <v>3.4166666666666665</v>
      </c>
      <c r="R849" s="4">
        <v>205</v>
      </c>
      <c r="S849" s="3">
        <v>147</v>
      </c>
      <c r="T849" s="1">
        <v>0.23980000000000001</v>
      </c>
      <c r="U849" s="6">
        <v>147.477</v>
      </c>
    </row>
    <row r="850" spans="1:21" x14ac:dyDescent="0.35">
      <c r="A850">
        <v>849</v>
      </c>
      <c r="B850" s="5">
        <v>45045</v>
      </c>
      <c r="C850" s="4">
        <v>2023</v>
      </c>
      <c r="D850" s="4">
        <v>4</v>
      </c>
      <c r="E850" s="14">
        <v>45045</v>
      </c>
      <c r="F850" s="4">
        <v>29</v>
      </c>
      <c r="G850">
        <v>1100</v>
      </c>
      <c r="H850">
        <v>823</v>
      </c>
      <c r="I850" s="13">
        <v>0.74</v>
      </c>
      <c r="J850">
        <v>277</v>
      </c>
      <c r="K850" s="2">
        <v>7.8703703703703705E-4</v>
      </c>
      <c r="L850" s="11">
        <v>932.73333333333335</v>
      </c>
      <c r="M850" s="3">
        <v>1.1333333333333333</v>
      </c>
      <c r="N850" s="4">
        <v>68</v>
      </c>
      <c r="O850" s="2">
        <v>2.2916666666666667E-3</v>
      </c>
      <c r="P850" s="9">
        <v>2715.8999999999996</v>
      </c>
      <c r="Q850" s="3">
        <v>3.3</v>
      </c>
      <c r="R850" s="4">
        <v>198</v>
      </c>
      <c r="S850" s="3">
        <v>244</v>
      </c>
      <c r="T850" s="1">
        <v>0.29649999999999999</v>
      </c>
      <c r="U850" s="6">
        <v>244.01949999999999</v>
      </c>
    </row>
    <row r="851" spans="1:21" x14ac:dyDescent="0.35">
      <c r="A851">
        <v>850</v>
      </c>
      <c r="B851" s="5">
        <v>45046</v>
      </c>
      <c r="C851" s="4">
        <v>2023</v>
      </c>
      <c r="D851" s="4">
        <v>4</v>
      </c>
      <c r="E851" s="14">
        <v>45046</v>
      </c>
      <c r="F851" s="4">
        <v>30</v>
      </c>
      <c r="G851">
        <v>1242</v>
      </c>
      <c r="H851">
        <v>909</v>
      </c>
      <c r="I851" s="13">
        <v>0.73</v>
      </c>
      <c r="J851">
        <v>333</v>
      </c>
      <c r="K851" s="2">
        <v>9.6064814814814819E-4</v>
      </c>
      <c r="L851" s="11">
        <v>1257.45</v>
      </c>
      <c r="M851" s="3">
        <v>1.3833333333333333</v>
      </c>
      <c r="N851" s="4">
        <v>83</v>
      </c>
      <c r="O851" s="2">
        <v>2.1296296296296298E-3</v>
      </c>
      <c r="P851" s="9">
        <v>2787.6000000000004</v>
      </c>
      <c r="Q851" s="3">
        <v>3.0666666666666669</v>
      </c>
      <c r="R851" s="4">
        <v>184</v>
      </c>
      <c r="S851" s="3">
        <v>172</v>
      </c>
      <c r="T851" s="1">
        <v>0.19</v>
      </c>
      <c r="U851" s="6">
        <v>172.71</v>
      </c>
    </row>
    <row r="852" spans="1:21" x14ac:dyDescent="0.35">
      <c r="A852">
        <v>851</v>
      </c>
      <c r="B852" s="5">
        <v>45047</v>
      </c>
      <c r="C852" s="4">
        <v>2023</v>
      </c>
      <c r="D852" s="4">
        <v>5</v>
      </c>
      <c r="E852" s="14">
        <v>45047</v>
      </c>
      <c r="F852" s="4">
        <v>1</v>
      </c>
      <c r="G852">
        <v>732</v>
      </c>
      <c r="H852">
        <v>460</v>
      </c>
      <c r="I852" s="13">
        <v>0.62</v>
      </c>
      <c r="J852">
        <v>272</v>
      </c>
      <c r="K852" s="2">
        <v>1.0532407407407407E-3</v>
      </c>
      <c r="L852" s="11">
        <v>697.66666666666663</v>
      </c>
      <c r="M852" s="3">
        <v>1.5166666666666666</v>
      </c>
      <c r="N852" s="4">
        <v>91</v>
      </c>
      <c r="O852" s="2">
        <v>2.2222222222222222E-3</v>
      </c>
      <c r="P852" s="9">
        <v>1472</v>
      </c>
      <c r="Q852" s="3">
        <v>3.2</v>
      </c>
      <c r="R852" s="4">
        <v>192</v>
      </c>
      <c r="S852" s="3">
        <v>82</v>
      </c>
      <c r="T852" s="1">
        <v>0.1792</v>
      </c>
      <c r="U852" s="6">
        <v>82.432000000000002</v>
      </c>
    </row>
    <row r="853" spans="1:21" x14ac:dyDescent="0.35">
      <c r="A853">
        <v>852</v>
      </c>
      <c r="B853" s="5">
        <v>45048</v>
      </c>
      <c r="C853" s="4">
        <v>2023</v>
      </c>
      <c r="D853" s="4">
        <v>5</v>
      </c>
      <c r="E853" s="14">
        <v>45048</v>
      </c>
      <c r="F853" s="4">
        <v>2</v>
      </c>
      <c r="G853">
        <v>112</v>
      </c>
      <c r="H853">
        <v>104</v>
      </c>
      <c r="I853" s="13">
        <v>0.92</v>
      </c>
      <c r="J853">
        <v>8</v>
      </c>
      <c r="K853" s="2">
        <v>3.9351851851851852E-4</v>
      </c>
      <c r="L853" s="11">
        <v>58.93333333333333</v>
      </c>
      <c r="M853" s="3">
        <v>0.56666666666666665</v>
      </c>
      <c r="N853" s="4">
        <v>34</v>
      </c>
      <c r="O853" s="2">
        <v>2.3263888888888887E-3</v>
      </c>
      <c r="P853" s="9">
        <v>348.40000000000003</v>
      </c>
      <c r="Q853" s="3">
        <v>3.35</v>
      </c>
      <c r="R853" s="4">
        <v>201</v>
      </c>
      <c r="S853" s="3">
        <v>58</v>
      </c>
      <c r="T853" s="1">
        <v>0.56359999999999999</v>
      </c>
      <c r="U853" s="6">
        <v>58.614399999999996</v>
      </c>
    </row>
    <row r="854" spans="1:21" x14ac:dyDescent="0.35">
      <c r="A854">
        <v>853</v>
      </c>
      <c r="B854" s="5">
        <v>45049</v>
      </c>
      <c r="C854" s="4">
        <v>2023</v>
      </c>
      <c r="D854" s="4">
        <v>5</v>
      </c>
      <c r="E854" s="14">
        <v>45049</v>
      </c>
      <c r="F854" s="4">
        <v>3</v>
      </c>
      <c r="G854">
        <v>482</v>
      </c>
      <c r="H854">
        <v>434</v>
      </c>
      <c r="I854" s="13">
        <v>0.9</v>
      </c>
      <c r="J854">
        <v>48</v>
      </c>
      <c r="K854" s="2">
        <v>4.7453703703703704E-4</v>
      </c>
      <c r="L854" s="11">
        <v>296.56666666666666</v>
      </c>
      <c r="M854" s="3">
        <v>0.68333333333333335</v>
      </c>
      <c r="N854" s="4">
        <v>41</v>
      </c>
      <c r="O854" s="2">
        <v>2.0949074074074073E-3</v>
      </c>
      <c r="P854" s="9">
        <v>1309.2333333333333</v>
      </c>
      <c r="Q854" s="3">
        <v>3.0166666666666666</v>
      </c>
      <c r="R854" s="4">
        <v>181</v>
      </c>
      <c r="S854" s="3">
        <v>205</v>
      </c>
      <c r="T854" s="1">
        <v>0.47439999999999999</v>
      </c>
      <c r="U854" s="6">
        <v>205.8896</v>
      </c>
    </row>
    <row r="855" spans="1:21" x14ac:dyDescent="0.35">
      <c r="A855">
        <v>854</v>
      </c>
      <c r="B855" s="5">
        <v>45050</v>
      </c>
      <c r="C855" s="4">
        <v>2023</v>
      </c>
      <c r="D855" s="4">
        <v>5</v>
      </c>
      <c r="E855" s="14">
        <v>45050</v>
      </c>
      <c r="F855" s="4">
        <v>4</v>
      </c>
      <c r="G855">
        <v>570</v>
      </c>
      <c r="H855">
        <v>484</v>
      </c>
      <c r="I855" s="13">
        <v>0.84</v>
      </c>
      <c r="J855">
        <v>86</v>
      </c>
      <c r="K855" s="2">
        <v>5.9027777777777778E-4</v>
      </c>
      <c r="L855" s="11">
        <v>411.4</v>
      </c>
      <c r="M855" s="3">
        <v>0.85</v>
      </c>
      <c r="N855" s="4">
        <v>51</v>
      </c>
      <c r="O855" s="2">
        <v>2.1643518518518518E-3</v>
      </c>
      <c r="P855" s="9">
        <v>1508.4666666666667</v>
      </c>
      <c r="Q855" s="3">
        <v>3.1166666666666667</v>
      </c>
      <c r="R855" s="4">
        <v>187</v>
      </c>
      <c r="S855" s="3">
        <v>178</v>
      </c>
      <c r="T855" s="1">
        <v>0.36899999999999999</v>
      </c>
      <c r="U855" s="6">
        <v>178.596</v>
      </c>
    </row>
    <row r="856" spans="1:21" x14ac:dyDescent="0.35">
      <c r="A856">
        <v>855</v>
      </c>
      <c r="B856" s="5">
        <v>45051</v>
      </c>
      <c r="C856" s="4">
        <v>2023</v>
      </c>
      <c r="D856" s="4">
        <v>5</v>
      </c>
      <c r="E856" s="14">
        <v>45051</v>
      </c>
      <c r="F856" s="4">
        <v>5</v>
      </c>
      <c r="G856">
        <v>490</v>
      </c>
      <c r="H856">
        <v>398</v>
      </c>
      <c r="I856" s="13">
        <v>0.81</v>
      </c>
      <c r="J856">
        <v>92</v>
      </c>
      <c r="K856" s="2">
        <v>5.7870370370370367E-4</v>
      </c>
      <c r="L856" s="11">
        <v>331.66666666666669</v>
      </c>
      <c r="M856" s="3">
        <v>0.83333333333333337</v>
      </c>
      <c r="N856" s="4">
        <v>50</v>
      </c>
      <c r="O856" s="2">
        <v>2.2800925925925927E-3</v>
      </c>
      <c r="P856" s="9">
        <v>1306.7666666666667</v>
      </c>
      <c r="Q856" s="3">
        <v>3.2833333333333332</v>
      </c>
      <c r="R856" s="4">
        <v>197</v>
      </c>
      <c r="S856" s="3">
        <v>143</v>
      </c>
      <c r="T856" s="1">
        <v>0.36099999999999999</v>
      </c>
      <c r="U856" s="6">
        <v>143.678</v>
      </c>
    </row>
    <row r="857" spans="1:21" x14ac:dyDescent="0.35">
      <c r="A857">
        <v>856</v>
      </c>
      <c r="B857" s="5">
        <v>45052</v>
      </c>
      <c r="C857" s="4">
        <v>2023</v>
      </c>
      <c r="D857" s="4">
        <v>5</v>
      </c>
      <c r="E857" s="14">
        <v>45052</v>
      </c>
      <c r="F857" s="4">
        <v>6</v>
      </c>
      <c r="G857">
        <v>462</v>
      </c>
      <c r="H857">
        <v>311</v>
      </c>
      <c r="I857" s="13">
        <v>0.67</v>
      </c>
      <c r="J857">
        <v>151</v>
      </c>
      <c r="K857" s="2">
        <v>8.2175925925925927E-4</v>
      </c>
      <c r="L857" s="11">
        <v>368.01666666666665</v>
      </c>
      <c r="M857" s="3">
        <v>1.1833333333333333</v>
      </c>
      <c r="N857" s="4">
        <v>71</v>
      </c>
      <c r="O857" s="2">
        <v>2.2800925925925927E-3</v>
      </c>
      <c r="P857" s="9">
        <v>1021.1166666666667</v>
      </c>
      <c r="Q857" s="3">
        <v>3.2833333333333332</v>
      </c>
      <c r="R857" s="4">
        <v>197</v>
      </c>
      <c r="S857" s="3">
        <v>81</v>
      </c>
      <c r="T857" s="1">
        <v>0.26340000000000002</v>
      </c>
      <c r="U857" s="6">
        <v>81.917400000000001</v>
      </c>
    </row>
    <row r="858" spans="1:21" x14ac:dyDescent="0.35">
      <c r="A858">
        <v>857</v>
      </c>
      <c r="B858" s="5">
        <v>45053</v>
      </c>
      <c r="C858" s="4">
        <v>2023</v>
      </c>
      <c r="D858" s="4">
        <v>5</v>
      </c>
      <c r="E858" s="14">
        <v>45053</v>
      </c>
      <c r="F858" s="4">
        <v>7</v>
      </c>
      <c r="G858">
        <v>428</v>
      </c>
      <c r="H858">
        <v>373</v>
      </c>
      <c r="I858" s="13">
        <v>0.87</v>
      </c>
      <c r="J858">
        <v>55</v>
      </c>
      <c r="K858" s="2">
        <v>4.6296296296296298E-4</v>
      </c>
      <c r="L858" s="11">
        <v>248.66666666666666</v>
      </c>
      <c r="M858" s="3">
        <v>0.66666666666666663</v>
      </c>
      <c r="N858" s="4">
        <v>40</v>
      </c>
      <c r="O858" s="2">
        <v>2.0601851851851853E-3</v>
      </c>
      <c r="P858" s="9">
        <v>1106.5666666666666</v>
      </c>
      <c r="Q858" s="3">
        <v>2.9666666666666668</v>
      </c>
      <c r="R858" s="4">
        <v>178</v>
      </c>
      <c r="S858" s="3">
        <v>188</v>
      </c>
      <c r="T858" s="1">
        <v>0.50600000000000001</v>
      </c>
      <c r="U858" s="6">
        <v>188.738</v>
      </c>
    </row>
    <row r="859" spans="1:21" x14ac:dyDescent="0.35">
      <c r="A859">
        <v>858</v>
      </c>
      <c r="B859" s="5">
        <v>45054</v>
      </c>
      <c r="C859" s="4">
        <v>2023</v>
      </c>
      <c r="D859" s="4">
        <v>5</v>
      </c>
      <c r="E859" s="14">
        <v>45054</v>
      </c>
      <c r="F859" s="4">
        <v>8</v>
      </c>
      <c r="G859">
        <v>393</v>
      </c>
      <c r="H859">
        <v>312</v>
      </c>
      <c r="I859" s="13">
        <v>0.79</v>
      </c>
      <c r="J859">
        <v>81</v>
      </c>
      <c r="K859" s="2">
        <v>7.1759259259259259E-4</v>
      </c>
      <c r="L859" s="11">
        <v>322.40000000000003</v>
      </c>
      <c r="M859" s="3">
        <v>1.0333333333333334</v>
      </c>
      <c r="N859" s="4">
        <v>62.000000000000007</v>
      </c>
      <c r="O859" s="2">
        <v>2.2685185185185187E-3</v>
      </c>
      <c r="P859" s="9">
        <v>1019.1999999999999</v>
      </c>
      <c r="Q859" s="3">
        <v>3.2666666666666666</v>
      </c>
      <c r="R859" s="4">
        <v>196</v>
      </c>
      <c r="S859" s="3">
        <v>97</v>
      </c>
      <c r="T859" s="1">
        <v>0.314</v>
      </c>
      <c r="U859" s="6">
        <v>97.968000000000004</v>
      </c>
    </row>
    <row r="860" spans="1:21" x14ac:dyDescent="0.35">
      <c r="A860">
        <v>859</v>
      </c>
      <c r="B860" s="5">
        <v>45055</v>
      </c>
      <c r="C860" s="4">
        <v>2023</v>
      </c>
      <c r="D860" s="4">
        <v>5</v>
      </c>
      <c r="E860" s="14">
        <v>45055</v>
      </c>
      <c r="F860" s="4">
        <v>9</v>
      </c>
      <c r="G860">
        <v>58</v>
      </c>
      <c r="H860">
        <v>50</v>
      </c>
      <c r="I860" s="13">
        <v>0.86</v>
      </c>
      <c r="J860">
        <v>8</v>
      </c>
      <c r="K860" s="2">
        <v>3.3564814814814812E-4</v>
      </c>
      <c r="L860" s="11">
        <v>24.166666666666668</v>
      </c>
      <c r="M860" s="3">
        <v>0.48333333333333334</v>
      </c>
      <c r="N860" s="4">
        <v>29</v>
      </c>
      <c r="O860" s="2">
        <v>2.1296296296296298E-3</v>
      </c>
      <c r="P860" s="9">
        <v>153.33333333333334</v>
      </c>
      <c r="Q860" s="3">
        <v>3.0666666666666669</v>
      </c>
      <c r="R860" s="4">
        <v>184</v>
      </c>
      <c r="S860" s="3">
        <v>33</v>
      </c>
      <c r="T860" s="1">
        <v>0.6724</v>
      </c>
      <c r="U860" s="6">
        <v>33.619999999999997</v>
      </c>
    </row>
    <row r="861" spans="1:21" x14ac:dyDescent="0.35">
      <c r="A861">
        <v>860</v>
      </c>
      <c r="B861" s="5">
        <v>45056</v>
      </c>
      <c r="C861" s="4">
        <v>2023</v>
      </c>
      <c r="D861" s="4">
        <v>5</v>
      </c>
      <c r="E861" s="14">
        <v>45056</v>
      </c>
      <c r="F861" s="4">
        <v>10</v>
      </c>
      <c r="G861">
        <v>316</v>
      </c>
      <c r="H861">
        <v>279</v>
      </c>
      <c r="I861" s="13">
        <v>0.88</v>
      </c>
      <c r="J861">
        <v>37</v>
      </c>
      <c r="K861" s="2">
        <v>4.6296296296296298E-4</v>
      </c>
      <c r="L861" s="11">
        <v>186</v>
      </c>
      <c r="M861" s="3">
        <v>0.66666666666666663</v>
      </c>
      <c r="N861" s="4">
        <v>40</v>
      </c>
      <c r="O861" s="2">
        <v>2.0601851851851853E-3</v>
      </c>
      <c r="P861" s="9">
        <v>827.7</v>
      </c>
      <c r="Q861" s="3">
        <v>2.9666666666666668</v>
      </c>
      <c r="R861" s="4">
        <v>178</v>
      </c>
      <c r="S861" s="3">
        <v>123</v>
      </c>
      <c r="T861" s="1">
        <v>0.44159999999999999</v>
      </c>
      <c r="U861" s="6">
        <v>123.2064</v>
      </c>
    </row>
    <row r="862" spans="1:21" x14ac:dyDescent="0.35">
      <c r="A862">
        <v>861</v>
      </c>
      <c r="B862" s="5">
        <v>45057</v>
      </c>
      <c r="C862" s="4">
        <v>2023</v>
      </c>
      <c r="D862" s="4">
        <v>5</v>
      </c>
      <c r="E862" s="14">
        <v>45057</v>
      </c>
      <c r="F862" s="4">
        <v>11</v>
      </c>
      <c r="G862">
        <v>298</v>
      </c>
      <c r="H862">
        <v>274</v>
      </c>
      <c r="I862" s="13">
        <v>0.91</v>
      </c>
      <c r="J862">
        <v>24</v>
      </c>
      <c r="K862" s="2">
        <v>3.4722222222222224E-4</v>
      </c>
      <c r="L862" s="11">
        <v>137</v>
      </c>
      <c r="M862" s="3">
        <v>0.5</v>
      </c>
      <c r="N862" s="4">
        <v>30</v>
      </c>
      <c r="O862" s="2">
        <v>2.0717592592592593E-3</v>
      </c>
      <c r="P862" s="9">
        <v>817.43333333333339</v>
      </c>
      <c r="Q862" s="3">
        <v>2.9833333333333334</v>
      </c>
      <c r="R862" s="4">
        <v>179</v>
      </c>
      <c r="S862" s="3">
        <v>152</v>
      </c>
      <c r="T862" s="1">
        <v>0.55779999999999996</v>
      </c>
      <c r="U862" s="6">
        <v>152.8372</v>
      </c>
    </row>
    <row r="863" spans="1:21" x14ac:dyDescent="0.35">
      <c r="A863">
        <v>862</v>
      </c>
      <c r="B863" s="5">
        <v>45058</v>
      </c>
      <c r="C863" s="4">
        <v>2023</v>
      </c>
      <c r="D863" s="4">
        <v>5</v>
      </c>
      <c r="E863" s="14">
        <v>45058</v>
      </c>
      <c r="F863" s="4">
        <v>12</v>
      </c>
      <c r="G863">
        <v>308</v>
      </c>
      <c r="H863">
        <v>275</v>
      </c>
      <c r="I863" s="13">
        <v>0.89</v>
      </c>
      <c r="J863">
        <v>33</v>
      </c>
      <c r="K863" s="2">
        <v>4.6296296296296298E-4</v>
      </c>
      <c r="L863" s="11">
        <v>183.33333333333331</v>
      </c>
      <c r="M863" s="3">
        <v>0.66666666666666663</v>
      </c>
      <c r="N863" s="4">
        <v>40</v>
      </c>
      <c r="O863" s="2">
        <v>2.0370370370370369E-3</v>
      </c>
      <c r="P863" s="9">
        <v>806.66666666666674</v>
      </c>
      <c r="Q863" s="3">
        <v>2.9333333333333336</v>
      </c>
      <c r="R863" s="4">
        <v>176</v>
      </c>
      <c r="S863" s="3">
        <v>141</v>
      </c>
      <c r="T863" s="1">
        <v>0.51629999999999998</v>
      </c>
      <c r="U863" s="6">
        <v>141.98249999999999</v>
      </c>
    </row>
    <row r="864" spans="1:21" x14ac:dyDescent="0.35">
      <c r="A864">
        <v>863</v>
      </c>
      <c r="B864" s="5">
        <v>45059</v>
      </c>
      <c r="C864" s="4">
        <v>2023</v>
      </c>
      <c r="D864" s="4">
        <v>5</v>
      </c>
      <c r="E864" s="14">
        <v>45059</v>
      </c>
      <c r="F864" s="4">
        <v>13</v>
      </c>
      <c r="G864">
        <v>259</v>
      </c>
      <c r="H864">
        <v>242</v>
      </c>
      <c r="I864" s="13">
        <v>0.93</v>
      </c>
      <c r="J864">
        <v>17</v>
      </c>
      <c r="K864" s="2">
        <v>1.8518518518518518E-4</v>
      </c>
      <c r="L864" s="11">
        <v>64.533333333333331</v>
      </c>
      <c r="M864" s="3">
        <v>0.26666666666666666</v>
      </c>
      <c r="N864" s="4">
        <v>16</v>
      </c>
      <c r="O864" s="2">
        <v>2.0138888888888888E-3</v>
      </c>
      <c r="P864" s="9">
        <v>701.8</v>
      </c>
      <c r="Q864" s="3">
        <v>2.9</v>
      </c>
      <c r="R864" s="4">
        <v>174</v>
      </c>
      <c r="S864" s="3">
        <v>189</v>
      </c>
      <c r="T864" s="1">
        <v>0.78259999999999996</v>
      </c>
      <c r="U864" s="6">
        <v>189.38919999999999</v>
      </c>
    </row>
    <row r="865" spans="1:21" x14ac:dyDescent="0.35">
      <c r="A865">
        <v>864</v>
      </c>
      <c r="B865" s="5">
        <v>45060</v>
      </c>
      <c r="C865" s="4">
        <v>2023</v>
      </c>
      <c r="D865" s="4">
        <v>5</v>
      </c>
      <c r="E865" s="14">
        <v>45060</v>
      </c>
      <c r="F865" s="4">
        <v>14</v>
      </c>
      <c r="G865">
        <v>464</v>
      </c>
      <c r="H865">
        <v>391</v>
      </c>
      <c r="I865" s="13">
        <v>0.84</v>
      </c>
      <c r="J865">
        <v>73</v>
      </c>
      <c r="K865" s="2">
        <v>6.3657407407407413E-4</v>
      </c>
      <c r="L865" s="11">
        <v>358.41666666666663</v>
      </c>
      <c r="M865" s="3">
        <v>0.91666666666666663</v>
      </c>
      <c r="N865" s="4">
        <v>55</v>
      </c>
      <c r="O865" s="2">
        <v>2.4421296296296296E-3</v>
      </c>
      <c r="P865" s="9">
        <v>1375.0166666666667</v>
      </c>
      <c r="Q865" s="3">
        <v>3.5166666666666666</v>
      </c>
      <c r="R865" s="4">
        <v>211</v>
      </c>
      <c r="S865" s="3">
        <v>138</v>
      </c>
      <c r="T865" s="1">
        <v>0.35449999999999998</v>
      </c>
      <c r="U865" s="6">
        <v>138.6095</v>
      </c>
    </row>
    <row r="866" spans="1:21" x14ac:dyDescent="0.35">
      <c r="A866">
        <v>865</v>
      </c>
      <c r="B866" s="5">
        <v>45061</v>
      </c>
      <c r="C866" s="4">
        <v>2023</v>
      </c>
      <c r="D866" s="4">
        <v>5</v>
      </c>
      <c r="E866" s="14">
        <v>45061</v>
      </c>
      <c r="F866" s="4">
        <v>15</v>
      </c>
      <c r="G866">
        <v>302</v>
      </c>
      <c r="H866">
        <v>275</v>
      </c>
      <c r="I866" s="13">
        <v>0.91</v>
      </c>
      <c r="J866">
        <v>27</v>
      </c>
      <c r="K866" s="2">
        <v>3.4722222222222224E-4</v>
      </c>
      <c r="L866" s="11">
        <v>137.5</v>
      </c>
      <c r="M866" s="3">
        <v>0.5</v>
      </c>
      <c r="N866" s="4">
        <v>30</v>
      </c>
      <c r="O866" s="2">
        <v>2.1064814814814813E-3</v>
      </c>
      <c r="P866" s="9">
        <v>834.16666666666663</v>
      </c>
      <c r="Q866" s="3">
        <v>3.0333333333333332</v>
      </c>
      <c r="R866" s="4">
        <v>182</v>
      </c>
      <c r="S866" s="3">
        <v>154</v>
      </c>
      <c r="T866" s="1">
        <v>0.56040000000000001</v>
      </c>
      <c r="U866" s="6">
        <v>154.11000000000001</v>
      </c>
    </row>
    <row r="867" spans="1:21" x14ac:dyDescent="0.35">
      <c r="A867">
        <v>866</v>
      </c>
      <c r="B867" s="5">
        <v>45062</v>
      </c>
      <c r="C867" s="4">
        <v>2023</v>
      </c>
      <c r="D867" s="4">
        <v>5</v>
      </c>
      <c r="E867" s="14">
        <v>45062</v>
      </c>
      <c r="F867" s="4">
        <v>16</v>
      </c>
      <c r="G867">
        <v>47</v>
      </c>
      <c r="H867">
        <v>45</v>
      </c>
      <c r="I867" s="13">
        <v>0.95</v>
      </c>
      <c r="J867">
        <v>2</v>
      </c>
      <c r="K867" s="2">
        <v>1.3888888888888889E-4</v>
      </c>
      <c r="L867" s="11">
        <v>9</v>
      </c>
      <c r="M867" s="3">
        <v>0.2</v>
      </c>
      <c r="N867" s="4">
        <v>12</v>
      </c>
      <c r="O867" s="2">
        <v>1.8634259259259259E-3</v>
      </c>
      <c r="P867" s="9">
        <v>120.75000000000001</v>
      </c>
      <c r="Q867" s="3">
        <v>2.6833333333333336</v>
      </c>
      <c r="R867" s="4">
        <v>161</v>
      </c>
      <c r="S867" s="3">
        <v>38</v>
      </c>
      <c r="T867" s="1">
        <v>0.85109999999999997</v>
      </c>
      <c r="U867" s="6">
        <v>38.299500000000002</v>
      </c>
    </row>
    <row r="868" spans="1:21" x14ac:dyDescent="0.35">
      <c r="A868">
        <v>867</v>
      </c>
      <c r="B868" s="5">
        <v>45063</v>
      </c>
      <c r="C868" s="4">
        <v>2023</v>
      </c>
      <c r="D868" s="4">
        <v>5</v>
      </c>
      <c r="E868" s="14">
        <v>45063</v>
      </c>
      <c r="F868" s="4">
        <v>17</v>
      </c>
      <c r="G868">
        <v>293</v>
      </c>
      <c r="H868">
        <v>279</v>
      </c>
      <c r="I868" s="13">
        <v>0.95</v>
      </c>
      <c r="J868">
        <v>14</v>
      </c>
      <c r="K868" s="2">
        <v>2.5462962962962961E-4</v>
      </c>
      <c r="L868" s="11">
        <v>102.3</v>
      </c>
      <c r="M868" s="3">
        <v>0.36666666666666664</v>
      </c>
      <c r="N868" s="4">
        <v>22</v>
      </c>
      <c r="O868" s="2">
        <v>2.0023148148148148E-3</v>
      </c>
      <c r="P868" s="9">
        <v>804.45</v>
      </c>
      <c r="Q868" s="3">
        <v>2.8833333333333333</v>
      </c>
      <c r="R868" s="4">
        <v>173</v>
      </c>
      <c r="S868" s="3">
        <v>188</v>
      </c>
      <c r="T868" s="1">
        <v>0.67469999999999997</v>
      </c>
      <c r="U868" s="6">
        <v>188.2413</v>
      </c>
    </row>
    <row r="869" spans="1:21" x14ac:dyDescent="0.35">
      <c r="A869">
        <v>868</v>
      </c>
      <c r="B869" s="5">
        <v>45064</v>
      </c>
      <c r="C869" s="4">
        <v>2023</v>
      </c>
      <c r="D869" s="4">
        <v>5</v>
      </c>
      <c r="E869" s="14">
        <v>45064</v>
      </c>
      <c r="F869" s="4">
        <v>18</v>
      </c>
      <c r="G869">
        <v>245</v>
      </c>
      <c r="H869">
        <v>225</v>
      </c>
      <c r="I869" s="13">
        <v>0.91</v>
      </c>
      <c r="J869">
        <v>20</v>
      </c>
      <c r="K869" s="2">
        <v>2.0833333333333335E-4</v>
      </c>
      <c r="L869" s="11">
        <v>67.5</v>
      </c>
      <c r="M869" s="3">
        <v>0.3</v>
      </c>
      <c r="N869" s="4">
        <v>18</v>
      </c>
      <c r="O869" s="2">
        <v>2.0254629629629629E-3</v>
      </c>
      <c r="P869" s="9">
        <v>656.25</v>
      </c>
      <c r="Q869" s="3">
        <v>2.9166666666666665</v>
      </c>
      <c r="R869" s="4">
        <v>175</v>
      </c>
      <c r="S869" s="3">
        <v>165</v>
      </c>
      <c r="T869" s="1">
        <v>0.73550000000000004</v>
      </c>
      <c r="U869" s="6">
        <v>165.48750000000001</v>
      </c>
    </row>
    <row r="870" spans="1:21" x14ac:dyDescent="0.35">
      <c r="A870">
        <v>869</v>
      </c>
      <c r="B870" s="5">
        <v>45065</v>
      </c>
      <c r="C870" s="4">
        <v>2023</v>
      </c>
      <c r="D870" s="4">
        <v>5</v>
      </c>
      <c r="E870" s="14">
        <v>45065</v>
      </c>
      <c r="F870" s="4">
        <v>19</v>
      </c>
      <c r="G870">
        <v>295</v>
      </c>
      <c r="H870">
        <v>227</v>
      </c>
      <c r="I870" s="13">
        <v>0.76</v>
      </c>
      <c r="J870">
        <v>68</v>
      </c>
      <c r="K870" s="2">
        <v>5.5555555555555556E-4</v>
      </c>
      <c r="L870" s="11">
        <v>181.60000000000002</v>
      </c>
      <c r="M870" s="3">
        <v>0.8</v>
      </c>
      <c r="N870" s="4">
        <v>48</v>
      </c>
      <c r="O870" s="2">
        <v>2.3032407407407407E-3</v>
      </c>
      <c r="P870" s="9">
        <v>752.88333333333333</v>
      </c>
      <c r="Q870" s="3">
        <v>3.3166666666666664</v>
      </c>
      <c r="R870" s="4">
        <v>199</v>
      </c>
      <c r="S870" s="3">
        <v>101</v>
      </c>
      <c r="T870" s="1">
        <v>0.44790000000000002</v>
      </c>
      <c r="U870" s="6">
        <v>101.6733</v>
      </c>
    </row>
    <row r="871" spans="1:21" x14ac:dyDescent="0.35">
      <c r="A871">
        <v>870</v>
      </c>
      <c r="B871" s="5">
        <v>45066</v>
      </c>
      <c r="C871" s="4">
        <v>2023</v>
      </c>
      <c r="D871" s="4">
        <v>5</v>
      </c>
      <c r="E871" s="14">
        <v>45066</v>
      </c>
      <c r="F871" s="4">
        <v>20</v>
      </c>
      <c r="G871">
        <v>205</v>
      </c>
      <c r="H871">
        <v>196</v>
      </c>
      <c r="I871" s="13">
        <v>0.95</v>
      </c>
      <c r="J871">
        <v>9</v>
      </c>
      <c r="K871" s="2">
        <v>2.3148148148148149E-4</v>
      </c>
      <c r="L871" s="11">
        <v>65.333333333333329</v>
      </c>
      <c r="M871" s="3">
        <v>0.33333333333333331</v>
      </c>
      <c r="N871" s="4">
        <v>20</v>
      </c>
      <c r="O871" s="2">
        <v>2.1527777777777778E-3</v>
      </c>
      <c r="P871" s="9">
        <v>607.6</v>
      </c>
      <c r="Q871" s="3">
        <v>3.1</v>
      </c>
      <c r="R871" s="4">
        <v>186</v>
      </c>
      <c r="S871" s="3">
        <v>144</v>
      </c>
      <c r="T871" s="1">
        <v>0.73660000000000003</v>
      </c>
      <c r="U871" s="6">
        <v>144.37360000000001</v>
      </c>
    </row>
    <row r="872" spans="1:21" x14ac:dyDescent="0.35">
      <c r="A872">
        <v>871</v>
      </c>
      <c r="B872" s="5">
        <v>45067</v>
      </c>
      <c r="C872" s="4">
        <v>2023</v>
      </c>
      <c r="D872" s="4">
        <v>5</v>
      </c>
      <c r="E872" s="14">
        <v>45067</v>
      </c>
      <c r="F872" s="4">
        <v>21</v>
      </c>
      <c r="G872">
        <v>249</v>
      </c>
      <c r="H872">
        <v>215</v>
      </c>
      <c r="I872" s="13">
        <v>0.86</v>
      </c>
      <c r="J872">
        <v>34</v>
      </c>
      <c r="K872" s="2">
        <v>4.6296296296296298E-4</v>
      </c>
      <c r="L872" s="11">
        <v>143.33333333333331</v>
      </c>
      <c r="M872" s="3">
        <v>0.66666666666666663</v>
      </c>
      <c r="N872" s="4">
        <v>40</v>
      </c>
      <c r="O872" s="2">
        <v>2.0601851851851853E-3</v>
      </c>
      <c r="P872" s="9">
        <v>637.83333333333337</v>
      </c>
      <c r="Q872" s="3">
        <v>2.9666666666666668</v>
      </c>
      <c r="R872" s="4">
        <v>178</v>
      </c>
      <c r="S872" s="3">
        <v>99</v>
      </c>
      <c r="T872" s="1">
        <v>0.46089999999999998</v>
      </c>
      <c r="U872" s="6">
        <v>99.093499999999992</v>
      </c>
    </row>
    <row r="873" spans="1:21" x14ac:dyDescent="0.35">
      <c r="A873">
        <v>872</v>
      </c>
      <c r="B873" s="5">
        <v>45068</v>
      </c>
      <c r="C873" s="4">
        <v>2023</v>
      </c>
      <c r="D873" s="4">
        <v>5</v>
      </c>
      <c r="E873" s="14">
        <v>45068</v>
      </c>
      <c r="F873" s="4">
        <v>22</v>
      </c>
      <c r="G873">
        <v>236</v>
      </c>
      <c r="H873">
        <v>213</v>
      </c>
      <c r="I873" s="13">
        <v>0.9</v>
      </c>
      <c r="J873">
        <v>23</v>
      </c>
      <c r="K873" s="2">
        <v>3.0092592592592595E-4</v>
      </c>
      <c r="L873" s="11">
        <v>92.3</v>
      </c>
      <c r="M873" s="3">
        <v>0.43333333333333335</v>
      </c>
      <c r="N873" s="4">
        <v>26</v>
      </c>
      <c r="O873" s="2">
        <v>2.2453703703703702E-3</v>
      </c>
      <c r="P873" s="9">
        <v>688.7</v>
      </c>
      <c r="Q873" s="3">
        <v>3.2333333333333334</v>
      </c>
      <c r="R873" s="4">
        <v>194</v>
      </c>
      <c r="S873" s="3">
        <v>134</v>
      </c>
      <c r="T873" s="1">
        <v>0.63360000000000005</v>
      </c>
      <c r="U873" s="6">
        <v>134.95680000000002</v>
      </c>
    </row>
    <row r="874" spans="1:21" x14ac:dyDescent="0.35">
      <c r="A874">
        <v>873</v>
      </c>
      <c r="B874" s="5">
        <v>45069</v>
      </c>
      <c r="C874" s="4">
        <v>2023</v>
      </c>
      <c r="D874" s="4">
        <v>5</v>
      </c>
      <c r="E874" s="14">
        <v>45069</v>
      </c>
      <c r="F874" s="4">
        <v>23</v>
      </c>
      <c r="G874">
        <v>39</v>
      </c>
      <c r="H874">
        <v>39</v>
      </c>
      <c r="I874" s="13">
        <v>1</v>
      </c>
      <c r="J874">
        <v>0</v>
      </c>
      <c r="K874" s="2">
        <v>1.6203703703703703E-4</v>
      </c>
      <c r="L874" s="11">
        <v>9.1</v>
      </c>
      <c r="M874" s="3">
        <v>0.23333333333333334</v>
      </c>
      <c r="N874" s="4">
        <v>14</v>
      </c>
      <c r="O874" s="2">
        <v>1.736111111111111E-3</v>
      </c>
      <c r="P874" s="9">
        <v>97.5</v>
      </c>
      <c r="Q874" s="3">
        <v>2.5</v>
      </c>
      <c r="R874" s="4">
        <v>150</v>
      </c>
      <c r="S874" s="3">
        <v>34</v>
      </c>
      <c r="T874" s="1">
        <v>0.87180000000000002</v>
      </c>
      <c r="U874" s="6">
        <v>34.0002</v>
      </c>
    </row>
    <row r="875" spans="1:21" x14ac:dyDescent="0.35">
      <c r="A875">
        <v>874</v>
      </c>
      <c r="B875" s="5">
        <v>45070</v>
      </c>
      <c r="C875" s="4">
        <v>2023</v>
      </c>
      <c r="D875" s="4">
        <v>5</v>
      </c>
      <c r="E875" s="14">
        <v>45070</v>
      </c>
      <c r="F875" s="4">
        <v>24</v>
      </c>
      <c r="G875">
        <v>208</v>
      </c>
      <c r="H875">
        <v>194</v>
      </c>
      <c r="I875" s="13">
        <v>0.93</v>
      </c>
      <c r="J875">
        <v>14</v>
      </c>
      <c r="K875" s="2">
        <v>1.9675925925925926E-4</v>
      </c>
      <c r="L875" s="11">
        <v>54.966666666666669</v>
      </c>
      <c r="M875" s="3">
        <v>0.28333333333333333</v>
      </c>
      <c r="N875" s="4">
        <v>17</v>
      </c>
      <c r="O875" s="2">
        <v>2.0138888888888888E-3</v>
      </c>
      <c r="P875" s="9">
        <v>562.6</v>
      </c>
      <c r="Q875" s="3">
        <v>2.9</v>
      </c>
      <c r="R875" s="4">
        <v>174</v>
      </c>
      <c r="S875" s="3">
        <v>149</v>
      </c>
      <c r="T875" s="1">
        <v>0.76959999999999995</v>
      </c>
      <c r="U875" s="6">
        <v>149.30239999999998</v>
      </c>
    </row>
    <row r="876" spans="1:21" x14ac:dyDescent="0.35">
      <c r="A876">
        <v>875</v>
      </c>
      <c r="B876" s="5">
        <v>45071</v>
      </c>
      <c r="C876" s="4">
        <v>2023</v>
      </c>
      <c r="D876" s="4">
        <v>5</v>
      </c>
      <c r="E876" s="14">
        <v>45071</v>
      </c>
      <c r="F876" s="4">
        <v>25</v>
      </c>
      <c r="G876">
        <v>39</v>
      </c>
      <c r="H876">
        <v>38</v>
      </c>
      <c r="I876" s="13">
        <v>0.97</v>
      </c>
      <c r="J876">
        <v>1</v>
      </c>
      <c r="K876" s="2">
        <v>4.6296296296296294E-5</v>
      </c>
      <c r="L876" s="11">
        <v>2.5333333333333332</v>
      </c>
      <c r="M876" s="3">
        <v>6.6666666666666666E-2</v>
      </c>
      <c r="N876" s="4">
        <v>4</v>
      </c>
      <c r="O876" s="2">
        <v>1.6319444444444445E-3</v>
      </c>
      <c r="P876" s="9">
        <v>89.3</v>
      </c>
      <c r="Q876" s="3">
        <v>2.35</v>
      </c>
      <c r="R876" s="4">
        <v>141</v>
      </c>
      <c r="S876" s="3">
        <v>36</v>
      </c>
      <c r="T876" s="1">
        <v>0.94869999999999999</v>
      </c>
      <c r="U876" s="6">
        <v>36.050600000000003</v>
      </c>
    </row>
    <row r="877" spans="1:21" x14ac:dyDescent="0.35">
      <c r="A877">
        <v>876</v>
      </c>
      <c r="B877" s="5">
        <v>45072</v>
      </c>
      <c r="C877" s="4">
        <v>2023</v>
      </c>
      <c r="D877" s="4">
        <v>5</v>
      </c>
      <c r="E877" s="14">
        <v>45072</v>
      </c>
      <c r="F877" s="4">
        <v>26</v>
      </c>
      <c r="G877">
        <v>115</v>
      </c>
      <c r="H877">
        <v>110</v>
      </c>
      <c r="I877" s="13">
        <v>0.95</v>
      </c>
      <c r="J877">
        <v>5</v>
      </c>
      <c r="K877" s="2">
        <v>9.2592592592592588E-5</v>
      </c>
      <c r="L877" s="11">
        <v>14.666666666666666</v>
      </c>
      <c r="M877" s="3">
        <v>0.13333333333333333</v>
      </c>
      <c r="N877" s="4">
        <v>8</v>
      </c>
      <c r="O877" s="2">
        <v>1.9212962962962964E-3</v>
      </c>
      <c r="P877" s="9">
        <v>304.33333333333331</v>
      </c>
      <c r="Q877" s="3">
        <v>2.7666666666666666</v>
      </c>
      <c r="R877" s="4">
        <v>166</v>
      </c>
      <c r="S877" s="3">
        <v>99</v>
      </c>
      <c r="T877" s="1">
        <v>0.90429999999999999</v>
      </c>
      <c r="U877" s="6">
        <v>99.472999999999999</v>
      </c>
    </row>
    <row r="878" spans="1:21" x14ac:dyDescent="0.35">
      <c r="A878">
        <v>877</v>
      </c>
      <c r="B878" s="5">
        <v>45073</v>
      </c>
      <c r="C878" s="4">
        <v>2023</v>
      </c>
      <c r="D878" s="4">
        <v>5</v>
      </c>
      <c r="E878" s="14">
        <v>45073</v>
      </c>
      <c r="F878" s="4">
        <v>27</v>
      </c>
      <c r="G878">
        <v>338</v>
      </c>
      <c r="H878">
        <v>308</v>
      </c>
      <c r="I878" s="13">
        <v>0.91</v>
      </c>
      <c r="J878">
        <v>30</v>
      </c>
      <c r="K878" s="2">
        <v>3.1250000000000001E-4</v>
      </c>
      <c r="L878" s="11">
        <v>138.6</v>
      </c>
      <c r="M878" s="3">
        <v>0.45</v>
      </c>
      <c r="N878" s="4">
        <v>27</v>
      </c>
      <c r="O878" s="2">
        <v>1.9675925925925924E-3</v>
      </c>
      <c r="P878" s="9">
        <v>872.66666666666674</v>
      </c>
      <c r="Q878" s="3">
        <v>2.8333333333333335</v>
      </c>
      <c r="R878" s="4">
        <v>170</v>
      </c>
      <c r="S878" s="3">
        <v>194</v>
      </c>
      <c r="T878" s="1">
        <v>0.63100000000000001</v>
      </c>
      <c r="U878" s="6">
        <v>194.34800000000001</v>
      </c>
    </row>
    <row r="879" spans="1:21" x14ac:dyDescent="0.35">
      <c r="A879">
        <v>878</v>
      </c>
      <c r="B879" s="5">
        <v>45074</v>
      </c>
      <c r="C879" s="4">
        <v>2023</v>
      </c>
      <c r="D879" s="4">
        <v>5</v>
      </c>
      <c r="E879" s="14">
        <v>45074</v>
      </c>
      <c r="F879" s="4">
        <v>28</v>
      </c>
      <c r="G879">
        <v>404</v>
      </c>
      <c r="H879">
        <v>320</v>
      </c>
      <c r="I879" s="13">
        <v>0.79</v>
      </c>
      <c r="J879">
        <v>84</v>
      </c>
      <c r="K879" s="2">
        <v>5.2083333333333333E-4</v>
      </c>
      <c r="L879" s="11">
        <v>240</v>
      </c>
      <c r="M879" s="3">
        <v>0.75</v>
      </c>
      <c r="N879" s="4">
        <v>45</v>
      </c>
      <c r="O879" s="2">
        <v>2.0601851851851853E-3</v>
      </c>
      <c r="P879" s="9">
        <v>949.33333333333337</v>
      </c>
      <c r="Q879" s="3">
        <v>2.9666666666666668</v>
      </c>
      <c r="R879" s="4">
        <v>178</v>
      </c>
      <c r="S879" s="3">
        <v>164</v>
      </c>
      <c r="T879" s="1">
        <v>0.51390000000000002</v>
      </c>
      <c r="U879" s="6">
        <v>164.44800000000001</v>
      </c>
    </row>
    <row r="880" spans="1:21" x14ac:dyDescent="0.35">
      <c r="A880">
        <v>879</v>
      </c>
      <c r="B880" s="5">
        <v>45075</v>
      </c>
      <c r="C880" s="4">
        <v>2023</v>
      </c>
      <c r="D880" s="4">
        <v>5</v>
      </c>
      <c r="E880" s="14">
        <v>45075</v>
      </c>
      <c r="F880" s="4">
        <v>29</v>
      </c>
      <c r="G880">
        <v>436</v>
      </c>
      <c r="H880">
        <v>393</v>
      </c>
      <c r="I880" s="13">
        <v>0.9</v>
      </c>
      <c r="J880">
        <v>43</v>
      </c>
      <c r="K880" s="2">
        <v>3.0092592592592595E-4</v>
      </c>
      <c r="L880" s="11">
        <v>170.3</v>
      </c>
      <c r="M880" s="3">
        <v>0.43333333333333335</v>
      </c>
      <c r="N880" s="4">
        <v>26</v>
      </c>
      <c r="O880" s="2">
        <v>1.9791666666666668E-3</v>
      </c>
      <c r="P880" s="9">
        <v>1120.05</v>
      </c>
      <c r="Q880" s="3">
        <v>2.85</v>
      </c>
      <c r="R880" s="4">
        <v>171</v>
      </c>
      <c r="S880" s="3">
        <v>256</v>
      </c>
      <c r="T880" s="1">
        <v>0.65259999999999996</v>
      </c>
      <c r="U880" s="6">
        <v>256.47179999999997</v>
      </c>
    </row>
    <row r="881" spans="1:21" x14ac:dyDescent="0.35">
      <c r="A881">
        <v>880</v>
      </c>
      <c r="B881" s="5">
        <v>45076</v>
      </c>
      <c r="C881" s="4">
        <v>2023</v>
      </c>
      <c r="D881" s="4">
        <v>5</v>
      </c>
      <c r="E881" s="14">
        <v>45076</v>
      </c>
      <c r="F881" s="4">
        <v>30</v>
      </c>
      <c r="G881">
        <v>73</v>
      </c>
      <c r="H881">
        <v>72</v>
      </c>
      <c r="I881" s="13">
        <v>0.98</v>
      </c>
      <c r="J881">
        <v>1</v>
      </c>
      <c r="K881" s="2">
        <v>8.1018518518518516E-5</v>
      </c>
      <c r="L881" s="11">
        <v>8.4</v>
      </c>
      <c r="M881" s="3">
        <v>0.11666666666666667</v>
      </c>
      <c r="N881" s="4">
        <v>7</v>
      </c>
      <c r="O881" s="2">
        <v>1.9212962962962964E-3</v>
      </c>
      <c r="P881" s="9">
        <v>199.2</v>
      </c>
      <c r="Q881" s="3">
        <v>2.7666666666666666</v>
      </c>
      <c r="R881" s="4">
        <v>166</v>
      </c>
      <c r="S881" s="3">
        <v>67</v>
      </c>
      <c r="T881" s="1">
        <v>0.93149999999999999</v>
      </c>
      <c r="U881" s="6">
        <v>67.067999999999998</v>
      </c>
    </row>
    <row r="882" spans="1:21" x14ac:dyDescent="0.35">
      <c r="A882">
        <v>881</v>
      </c>
      <c r="B882" s="5">
        <v>45077</v>
      </c>
      <c r="C882" s="4">
        <v>2023</v>
      </c>
      <c r="D882" s="4">
        <v>5</v>
      </c>
      <c r="E882" s="14">
        <v>45077</v>
      </c>
      <c r="F882" s="4">
        <v>31</v>
      </c>
      <c r="G882">
        <v>521</v>
      </c>
      <c r="H882">
        <v>492</v>
      </c>
      <c r="I882" s="13">
        <v>0.94</v>
      </c>
      <c r="J882">
        <v>29</v>
      </c>
      <c r="K882" s="2">
        <v>1.9675925925925926E-4</v>
      </c>
      <c r="L882" s="11">
        <v>139.4</v>
      </c>
      <c r="M882" s="3">
        <v>0.28333333333333333</v>
      </c>
      <c r="N882" s="4">
        <v>17</v>
      </c>
      <c r="O882" s="2">
        <v>1.9097222222222222E-3</v>
      </c>
      <c r="P882" s="9">
        <v>1353</v>
      </c>
      <c r="Q882" s="3">
        <v>2.75</v>
      </c>
      <c r="R882" s="4">
        <v>165</v>
      </c>
      <c r="S882" s="3">
        <v>388</v>
      </c>
      <c r="T882" s="1">
        <v>0.78939999999999999</v>
      </c>
      <c r="U882" s="6">
        <v>388.38479999999998</v>
      </c>
    </row>
    <row r="883" spans="1:21" x14ac:dyDescent="0.35">
      <c r="A883">
        <v>882</v>
      </c>
      <c r="B883" s="5">
        <v>45078</v>
      </c>
      <c r="C883" s="4">
        <v>2023</v>
      </c>
      <c r="D883" s="4">
        <v>6</v>
      </c>
      <c r="E883" s="14">
        <v>45078</v>
      </c>
      <c r="F883" s="4">
        <v>1</v>
      </c>
      <c r="G883">
        <v>648</v>
      </c>
      <c r="H883">
        <v>564</v>
      </c>
      <c r="I883" s="13">
        <v>0.87</v>
      </c>
      <c r="J883">
        <v>84</v>
      </c>
      <c r="K883" s="2">
        <v>3.1250000000000001E-4</v>
      </c>
      <c r="L883" s="11">
        <v>253.8</v>
      </c>
      <c r="M883" s="3">
        <v>0.45</v>
      </c>
      <c r="N883" s="4">
        <v>27</v>
      </c>
      <c r="O883" s="2">
        <v>1.9212962962962964E-3</v>
      </c>
      <c r="P883" s="9">
        <v>1560.3999999999999</v>
      </c>
      <c r="Q883" s="3">
        <v>2.7666666666666666</v>
      </c>
      <c r="R883" s="4">
        <v>166</v>
      </c>
      <c r="S883" s="3">
        <v>346</v>
      </c>
      <c r="T883" s="1">
        <v>0.61360000000000003</v>
      </c>
      <c r="U883" s="6">
        <v>346.07040000000001</v>
      </c>
    </row>
    <row r="884" spans="1:21" x14ac:dyDescent="0.35">
      <c r="A884">
        <v>883</v>
      </c>
      <c r="B884" s="5">
        <v>45079</v>
      </c>
      <c r="C884" s="4">
        <v>2023</v>
      </c>
      <c r="D884" s="4">
        <v>6</v>
      </c>
      <c r="E884" s="14">
        <v>45079</v>
      </c>
      <c r="F884" s="4">
        <v>2</v>
      </c>
      <c r="G884">
        <v>729</v>
      </c>
      <c r="H884">
        <v>592</v>
      </c>
      <c r="I884" s="13">
        <v>0.81</v>
      </c>
      <c r="J884">
        <v>137</v>
      </c>
      <c r="K884" s="2">
        <v>6.3657407407407413E-4</v>
      </c>
      <c r="L884" s="11">
        <v>542.66666666666663</v>
      </c>
      <c r="M884" s="3">
        <v>0.91666666666666663</v>
      </c>
      <c r="N884" s="4">
        <v>55</v>
      </c>
      <c r="O884" s="2">
        <v>2.0023148148148148E-3</v>
      </c>
      <c r="P884" s="9">
        <v>1706.9333333333334</v>
      </c>
      <c r="Q884" s="3">
        <v>2.8833333333333333</v>
      </c>
      <c r="R884" s="4">
        <v>173</v>
      </c>
      <c r="S884" s="3">
        <v>212</v>
      </c>
      <c r="T884" s="1">
        <v>0.35830000000000001</v>
      </c>
      <c r="U884" s="6">
        <v>212.11359999999999</v>
      </c>
    </row>
    <row r="885" spans="1:21" x14ac:dyDescent="0.35">
      <c r="A885">
        <v>884</v>
      </c>
      <c r="B885" s="5">
        <v>45080</v>
      </c>
      <c r="C885" s="4">
        <v>2023</v>
      </c>
      <c r="D885" s="4">
        <v>6</v>
      </c>
      <c r="E885" s="14">
        <v>45080</v>
      </c>
      <c r="F885" s="4">
        <v>3</v>
      </c>
      <c r="G885">
        <v>1196</v>
      </c>
      <c r="H885">
        <v>718</v>
      </c>
      <c r="I885" s="13">
        <v>0.6</v>
      </c>
      <c r="J885">
        <v>478</v>
      </c>
      <c r="K885" s="2">
        <v>1.2962962962962963E-3</v>
      </c>
      <c r="L885" s="11">
        <v>1340.2666666666667</v>
      </c>
      <c r="M885" s="3">
        <v>1.8666666666666667</v>
      </c>
      <c r="N885" s="4">
        <v>112</v>
      </c>
      <c r="O885" s="2">
        <v>2.1875000000000002E-3</v>
      </c>
      <c r="P885" s="9">
        <v>2261.6999999999998</v>
      </c>
      <c r="Q885" s="3">
        <v>3.15</v>
      </c>
      <c r="R885" s="4">
        <v>189</v>
      </c>
      <c r="S885" s="3">
        <v>104</v>
      </c>
      <c r="T885" s="1">
        <v>0.1462</v>
      </c>
      <c r="U885" s="6">
        <v>104.9716</v>
      </c>
    </row>
    <row r="886" spans="1:21" x14ac:dyDescent="0.35">
      <c r="A886">
        <v>885</v>
      </c>
      <c r="B886" s="5">
        <v>45081</v>
      </c>
      <c r="C886" s="4">
        <v>2023</v>
      </c>
      <c r="D886" s="4">
        <v>6</v>
      </c>
      <c r="E886" s="14">
        <v>45081</v>
      </c>
      <c r="F886" s="4">
        <v>4</v>
      </c>
      <c r="G886">
        <v>436</v>
      </c>
      <c r="H886">
        <v>323</v>
      </c>
      <c r="I886" s="13">
        <v>0.74</v>
      </c>
      <c r="J886">
        <v>113</v>
      </c>
      <c r="K886" s="2">
        <v>5.0925925925925921E-4</v>
      </c>
      <c r="L886" s="11">
        <v>236.86666666666665</v>
      </c>
      <c r="M886" s="3">
        <v>0.73333333333333328</v>
      </c>
      <c r="N886" s="4">
        <v>44</v>
      </c>
      <c r="O886" s="2">
        <v>2.1064814814814813E-3</v>
      </c>
      <c r="P886" s="9">
        <v>979.76666666666665</v>
      </c>
      <c r="Q886" s="3">
        <v>3.0333333333333332</v>
      </c>
      <c r="R886" s="4">
        <v>182</v>
      </c>
      <c r="S886" s="3">
        <v>141</v>
      </c>
      <c r="T886" s="1">
        <v>0.4375</v>
      </c>
      <c r="U886" s="6">
        <v>141.3125</v>
      </c>
    </row>
    <row r="887" spans="1:21" x14ac:dyDescent="0.35">
      <c r="A887">
        <v>886</v>
      </c>
      <c r="B887" s="5">
        <v>45082</v>
      </c>
      <c r="C887" s="4">
        <v>2023</v>
      </c>
      <c r="D887" s="4">
        <v>6</v>
      </c>
      <c r="E887" s="14">
        <v>45082</v>
      </c>
      <c r="F887" s="4">
        <v>5</v>
      </c>
      <c r="G887">
        <v>191</v>
      </c>
      <c r="H887">
        <v>178</v>
      </c>
      <c r="I887" s="13">
        <v>0.93</v>
      </c>
      <c r="J887">
        <v>13</v>
      </c>
      <c r="K887" s="2">
        <v>1.8518518518518518E-4</v>
      </c>
      <c r="L887" s="11">
        <v>47.466666666666669</v>
      </c>
      <c r="M887" s="3">
        <v>0.26666666666666666</v>
      </c>
      <c r="N887" s="4">
        <v>16</v>
      </c>
      <c r="O887" s="2">
        <v>1.9791666666666668E-3</v>
      </c>
      <c r="P887" s="9">
        <v>507.3</v>
      </c>
      <c r="Q887" s="3">
        <v>2.85</v>
      </c>
      <c r="R887" s="4">
        <v>171</v>
      </c>
      <c r="S887" s="3">
        <v>143</v>
      </c>
      <c r="T887" s="1">
        <v>0.80530000000000002</v>
      </c>
      <c r="U887" s="6">
        <v>143.3434</v>
      </c>
    </row>
    <row r="888" spans="1:21" x14ac:dyDescent="0.35">
      <c r="A888">
        <v>887</v>
      </c>
      <c r="B888" s="5">
        <v>45083</v>
      </c>
      <c r="C888" s="4">
        <v>2023</v>
      </c>
      <c r="D888" s="4">
        <v>6</v>
      </c>
      <c r="E888" s="14">
        <v>45083</v>
      </c>
      <c r="F888" s="4">
        <v>6</v>
      </c>
      <c r="G888">
        <v>68</v>
      </c>
      <c r="H888">
        <v>68</v>
      </c>
      <c r="I888" s="13">
        <v>1</v>
      </c>
      <c r="J888">
        <v>0</v>
      </c>
      <c r="K888" s="2">
        <v>5.7870370370370373E-5</v>
      </c>
      <c r="L888" s="11">
        <v>5.6666666666666661</v>
      </c>
      <c r="M888" s="3">
        <v>8.3333333333333329E-2</v>
      </c>
      <c r="N888" s="4">
        <v>5</v>
      </c>
      <c r="O888" s="2">
        <v>2.0370370370370369E-3</v>
      </c>
      <c r="P888" s="9">
        <v>199.4666666666667</v>
      </c>
      <c r="Q888" s="3">
        <v>2.9333333333333336</v>
      </c>
      <c r="R888" s="4">
        <v>176</v>
      </c>
      <c r="S888" s="3">
        <v>67</v>
      </c>
      <c r="T888" s="1">
        <v>0.98529999999999995</v>
      </c>
      <c r="U888" s="6">
        <v>67.000399999999999</v>
      </c>
    </row>
    <row r="889" spans="1:21" x14ac:dyDescent="0.35">
      <c r="A889">
        <v>888</v>
      </c>
      <c r="B889" s="5">
        <v>45084</v>
      </c>
      <c r="C889" s="4">
        <v>2023</v>
      </c>
      <c r="D889" s="4">
        <v>6</v>
      </c>
      <c r="E889" s="14">
        <v>45084</v>
      </c>
      <c r="F889" s="4">
        <v>7</v>
      </c>
      <c r="G889">
        <v>498</v>
      </c>
      <c r="H889">
        <v>429</v>
      </c>
      <c r="I889" s="13">
        <v>0.86</v>
      </c>
      <c r="J889">
        <v>69</v>
      </c>
      <c r="K889" s="2">
        <v>3.9351851851851852E-4</v>
      </c>
      <c r="L889" s="11">
        <v>243.1</v>
      </c>
      <c r="M889" s="3">
        <v>0.56666666666666665</v>
      </c>
      <c r="N889" s="4">
        <v>34</v>
      </c>
      <c r="O889" s="2">
        <v>2.1875000000000002E-3</v>
      </c>
      <c r="P889" s="9">
        <v>1351.35</v>
      </c>
      <c r="Q889" s="3">
        <v>3.15</v>
      </c>
      <c r="R889" s="4">
        <v>189</v>
      </c>
      <c r="S889" s="3">
        <v>217</v>
      </c>
      <c r="T889" s="1">
        <v>0.5071</v>
      </c>
      <c r="U889" s="6">
        <v>217.54589999999999</v>
      </c>
    </row>
    <row r="890" spans="1:21" x14ac:dyDescent="0.35">
      <c r="A890">
        <v>889</v>
      </c>
      <c r="B890" s="5">
        <v>45085</v>
      </c>
      <c r="C890" s="4">
        <v>2023</v>
      </c>
      <c r="D890" s="4">
        <v>6</v>
      </c>
      <c r="E890" s="14">
        <v>45085</v>
      </c>
      <c r="F890" s="4">
        <v>8</v>
      </c>
      <c r="G890">
        <v>358</v>
      </c>
      <c r="H890">
        <v>329</v>
      </c>
      <c r="I890" s="13">
        <v>0.91</v>
      </c>
      <c r="J890">
        <v>29</v>
      </c>
      <c r="K890" s="2">
        <v>2.4305555555555555E-4</v>
      </c>
      <c r="L890" s="11">
        <v>115.14999999999999</v>
      </c>
      <c r="M890" s="3">
        <v>0.35</v>
      </c>
      <c r="N890" s="4">
        <v>21</v>
      </c>
      <c r="O890" s="2">
        <v>2.1180555555555558E-3</v>
      </c>
      <c r="P890" s="9">
        <v>1003.4499999999999</v>
      </c>
      <c r="Q890" s="3">
        <v>3.05</v>
      </c>
      <c r="R890" s="4">
        <v>183</v>
      </c>
      <c r="S890" s="3">
        <v>220</v>
      </c>
      <c r="T890" s="1">
        <v>0.66949999999999998</v>
      </c>
      <c r="U890" s="6">
        <v>220.2655</v>
      </c>
    </row>
    <row r="891" spans="1:21" x14ac:dyDescent="0.35">
      <c r="A891">
        <v>890</v>
      </c>
      <c r="B891" s="5">
        <v>45086</v>
      </c>
      <c r="C891" s="4">
        <v>2023</v>
      </c>
      <c r="D891" s="4">
        <v>6</v>
      </c>
      <c r="E891" s="14">
        <v>45086</v>
      </c>
      <c r="F891" s="4">
        <v>9</v>
      </c>
      <c r="G891">
        <v>340</v>
      </c>
      <c r="H891">
        <v>302</v>
      </c>
      <c r="I891" s="13">
        <v>0.88</v>
      </c>
      <c r="J891">
        <v>38</v>
      </c>
      <c r="K891" s="2">
        <v>2.7777777777777778E-4</v>
      </c>
      <c r="L891" s="11">
        <v>120.80000000000001</v>
      </c>
      <c r="M891" s="3">
        <v>0.4</v>
      </c>
      <c r="N891" s="4">
        <v>24</v>
      </c>
      <c r="O891" s="2">
        <v>1.9675925925925924E-3</v>
      </c>
      <c r="P891" s="9">
        <v>855.66666666666674</v>
      </c>
      <c r="Q891" s="3">
        <v>2.8333333333333335</v>
      </c>
      <c r="R891" s="4">
        <v>170</v>
      </c>
      <c r="S891" s="3">
        <v>198</v>
      </c>
      <c r="T891" s="1">
        <v>0.65669999999999995</v>
      </c>
      <c r="U891" s="6">
        <v>198.32339999999999</v>
      </c>
    </row>
    <row r="892" spans="1:21" x14ac:dyDescent="0.35">
      <c r="A892">
        <v>891</v>
      </c>
      <c r="B892" s="5">
        <v>45087</v>
      </c>
      <c r="C892" s="4">
        <v>2023</v>
      </c>
      <c r="D892" s="4">
        <v>6</v>
      </c>
      <c r="E892" s="14">
        <v>45087</v>
      </c>
      <c r="F892" s="4">
        <v>10</v>
      </c>
      <c r="G892">
        <v>322</v>
      </c>
      <c r="H892">
        <v>306</v>
      </c>
      <c r="I892" s="13">
        <v>0.95</v>
      </c>
      <c r="J892">
        <v>16</v>
      </c>
      <c r="K892" s="2">
        <v>1.8518518518518518E-4</v>
      </c>
      <c r="L892" s="11">
        <v>81.599999999999994</v>
      </c>
      <c r="M892" s="3">
        <v>0.26666666666666666</v>
      </c>
      <c r="N892" s="4">
        <v>16</v>
      </c>
      <c r="O892" s="2">
        <v>1.8402777777777777E-3</v>
      </c>
      <c r="P892" s="9">
        <v>810.9</v>
      </c>
      <c r="Q892" s="3">
        <v>2.65</v>
      </c>
      <c r="R892" s="4">
        <v>159</v>
      </c>
      <c r="S892" s="3">
        <v>237</v>
      </c>
      <c r="T892" s="1">
        <v>0.77739999999999998</v>
      </c>
      <c r="U892" s="6">
        <v>237.8844</v>
      </c>
    </row>
    <row r="893" spans="1:21" x14ac:dyDescent="0.35">
      <c r="A893">
        <v>892</v>
      </c>
      <c r="B893" s="5">
        <v>45088</v>
      </c>
      <c r="C893" s="4">
        <v>2023</v>
      </c>
      <c r="D893" s="4">
        <v>6</v>
      </c>
      <c r="E893" s="14">
        <v>45088</v>
      </c>
      <c r="F893" s="4">
        <v>11</v>
      </c>
      <c r="G893">
        <v>296</v>
      </c>
      <c r="H893">
        <v>282</v>
      </c>
      <c r="I893" s="13">
        <v>0.95</v>
      </c>
      <c r="J893">
        <v>14</v>
      </c>
      <c r="K893" s="2">
        <v>2.0833333333333335E-4</v>
      </c>
      <c r="L893" s="11">
        <v>84.6</v>
      </c>
      <c r="M893" s="3">
        <v>0.3</v>
      </c>
      <c r="N893" s="4">
        <v>18</v>
      </c>
      <c r="O893" s="2">
        <v>1.8171296296296297E-3</v>
      </c>
      <c r="P893" s="9">
        <v>737.9</v>
      </c>
      <c r="Q893" s="3">
        <v>2.6166666666666667</v>
      </c>
      <c r="R893" s="4">
        <v>157</v>
      </c>
      <c r="S893" s="3">
        <v>215</v>
      </c>
      <c r="T893" s="1">
        <v>0.76529999999999998</v>
      </c>
      <c r="U893" s="6">
        <v>215.81459999999998</v>
      </c>
    </row>
    <row r="894" spans="1:21" x14ac:dyDescent="0.35">
      <c r="A894">
        <v>893</v>
      </c>
      <c r="B894" s="5">
        <v>45089</v>
      </c>
      <c r="C894" s="4">
        <v>2023</v>
      </c>
      <c r="D894" s="4">
        <v>6</v>
      </c>
      <c r="E894" s="14">
        <v>45089</v>
      </c>
      <c r="F894" s="4">
        <v>12</v>
      </c>
      <c r="G894">
        <v>264</v>
      </c>
      <c r="H894">
        <v>234</v>
      </c>
      <c r="I894" s="13">
        <v>0.88</v>
      </c>
      <c r="J894">
        <v>30</v>
      </c>
      <c r="K894" s="2">
        <v>2.3148148148148149E-4</v>
      </c>
      <c r="L894" s="11">
        <v>78</v>
      </c>
      <c r="M894" s="3">
        <v>0.33333333333333331</v>
      </c>
      <c r="N894" s="4">
        <v>20</v>
      </c>
      <c r="O894" s="2">
        <v>1.7824074074074075E-3</v>
      </c>
      <c r="P894" s="9">
        <v>600.59999999999991</v>
      </c>
      <c r="Q894" s="3">
        <v>2.5666666666666664</v>
      </c>
      <c r="R894" s="4">
        <v>154</v>
      </c>
      <c r="S894" s="3">
        <v>163</v>
      </c>
      <c r="T894" s="1">
        <v>0.69879999999999998</v>
      </c>
      <c r="U894" s="6">
        <v>163.51919999999998</v>
      </c>
    </row>
    <row r="895" spans="1:21" x14ac:dyDescent="0.35">
      <c r="A895">
        <v>894</v>
      </c>
      <c r="B895" s="5">
        <v>45090</v>
      </c>
      <c r="C895" s="4">
        <v>2023</v>
      </c>
      <c r="D895" s="4">
        <v>6</v>
      </c>
      <c r="E895" s="14">
        <v>45090</v>
      </c>
      <c r="F895" s="4">
        <v>13</v>
      </c>
      <c r="G895">
        <v>52</v>
      </c>
      <c r="H895">
        <v>51</v>
      </c>
      <c r="I895" s="13">
        <v>0.98</v>
      </c>
      <c r="J895">
        <v>1</v>
      </c>
      <c r="K895" s="2">
        <v>6.9444444444444444E-5</v>
      </c>
      <c r="L895" s="11">
        <v>5.1000000000000005</v>
      </c>
      <c r="M895" s="3">
        <v>0.1</v>
      </c>
      <c r="N895" s="4">
        <v>6</v>
      </c>
      <c r="O895" s="2">
        <v>1.8055555555555555E-3</v>
      </c>
      <c r="P895" s="9">
        <v>132.6</v>
      </c>
      <c r="Q895" s="3">
        <v>2.6</v>
      </c>
      <c r="R895" s="4">
        <v>156</v>
      </c>
      <c r="S895" s="3">
        <v>48</v>
      </c>
      <c r="T895" s="1">
        <v>0.94120000000000004</v>
      </c>
      <c r="U895" s="6">
        <v>48.001200000000004</v>
      </c>
    </row>
    <row r="896" spans="1:21" x14ac:dyDescent="0.35">
      <c r="A896">
        <v>895</v>
      </c>
      <c r="B896" s="5">
        <v>45091</v>
      </c>
      <c r="C896" s="4">
        <v>2023</v>
      </c>
      <c r="D896" s="4">
        <v>6</v>
      </c>
      <c r="E896" s="14">
        <v>45091</v>
      </c>
      <c r="F896" s="4">
        <v>14</v>
      </c>
      <c r="G896">
        <v>266</v>
      </c>
      <c r="H896">
        <v>264</v>
      </c>
      <c r="I896" s="13">
        <v>0.99</v>
      </c>
      <c r="J896">
        <v>2</v>
      </c>
      <c r="K896" s="2">
        <v>1.0416666666666667E-4</v>
      </c>
      <c r="L896" s="11">
        <v>39.6</v>
      </c>
      <c r="M896" s="3">
        <v>0.15</v>
      </c>
      <c r="N896" s="4">
        <v>9</v>
      </c>
      <c r="O896" s="2">
        <v>1.8402777777777777E-3</v>
      </c>
      <c r="P896" s="9">
        <v>699.6</v>
      </c>
      <c r="Q896" s="3">
        <v>2.65</v>
      </c>
      <c r="R896" s="4">
        <v>159</v>
      </c>
      <c r="S896" s="3">
        <v>240</v>
      </c>
      <c r="T896" s="1">
        <v>0.90980000000000005</v>
      </c>
      <c r="U896" s="6">
        <v>240.18720000000002</v>
      </c>
    </row>
    <row r="897" spans="1:21" x14ac:dyDescent="0.35">
      <c r="A897">
        <v>896</v>
      </c>
      <c r="B897" s="5">
        <v>45092</v>
      </c>
      <c r="C897" s="4">
        <v>2023</v>
      </c>
      <c r="D897" s="4">
        <v>6</v>
      </c>
      <c r="E897" s="14">
        <v>45092</v>
      </c>
      <c r="F897" s="4">
        <v>15</v>
      </c>
      <c r="G897">
        <v>242</v>
      </c>
      <c r="H897">
        <v>238</v>
      </c>
      <c r="I897" s="13">
        <v>0.98</v>
      </c>
      <c r="J897">
        <v>4</v>
      </c>
      <c r="K897" s="2">
        <v>1.0416666666666667E-4</v>
      </c>
      <c r="L897" s="11">
        <v>35.699999999999996</v>
      </c>
      <c r="M897" s="3">
        <v>0.15</v>
      </c>
      <c r="N897" s="4">
        <v>9</v>
      </c>
      <c r="O897" s="2">
        <v>1.9097222222222222E-3</v>
      </c>
      <c r="P897" s="9">
        <v>654.5</v>
      </c>
      <c r="Q897" s="3">
        <v>2.75</v>
      </c>
      <c r="R897" s="4">
        <v>165</v>
      </c>
      <c r="S897" s="3">
        <v>215</v>
      </c>
      <c r="T897" s="1">
        <v>0.90459999999999996</v>
      </c>
      <c r="U897" s="6">
        <v>215.29479999999998</v>
      </c>
    </row>
    <row r="898" spans="1:21" x14ac:dyDescent="0.35">
      <c r="A898">
        <v>897</v>
      </c>
      <c r="B898" s="5">
        <v>45093</v>
      </c>
      <c r="C898" s="4">
        <v>2023</v>
      </c>
      <c r="D898" s="4">
        <v>6</v>
      </c>
      <c r="E898" s="14">
        <v>45093</v>
      </c>
      <c r="F898" s="4">
        <v>16</v>
      </c>
      <c r="G898">
        <v>241</v>
      </c>
      <c r="H898">
        <v>228</v>
      </c>
      <c r="I898" s="13">
        <v>0.94</v>
      </c>
      <c r="J898">
        <v>13</v>
      </c>
      <c r="K898" s="2">
        <v>2.199074074074074E-4</v>
      </c>
      <c r="L898" s="11">
        <v>72.2</v>
      </c>
      <c r="M898" s="3">
        <v>0.31666666666666665</v>
      </c>
      <c r="N898" s="4">
        <v>19</v>
      </c>
      <c r="O898" s="2">
        <v>1.9444444444444444E-3</v>
      </c>
      <c r="P898" s="9">
        <v>638.4</v>
      </c>
      <c r="Q898" s="3">
        <v>2.8</v>
      </c>
      <c r="R898" s="4">
        <v>168</v>
      </c>
      <c r="S898" s="3">
        <v>181</v>
      </c>
      <c r="T898" s="1">
        <v>0.79579999999999995</v>
      </c>
      <c r="U898" s="6">
        <v>181.44239999999999</v>
      </c>
    </row>
    <row r="899" spans="1:21" x14ac:dyDescent="0.35">
      <c r="A899">
        <v>898</v>
      </c>
      <c r="B899" s="5">
        <v>45094</v>
      </c>
      <c r="C899" s="4">
        <v>2023</v>
      </c>
      <c r="D899" s="4">
        <v>6</v>
      </c>
      <c r="E899" s="14">
        <v>45094</v>
      </c>
      <c r="F899" s="4">
        <v>17</v>
      </c>
      <c r="G899">
        <v>279</v>
      </c>
      <c r="H899">
        <v>269</v>
      </c>
      <c r="I899" s="13">
        <v>0.96</v>
      </c>
      <c r="J899">
        <v>10</v>
      </c>
      <c r="K899" s="2">
        <v>9.2592592592592588E-5</v>
      </c>
      <c r="L899" s="11">
        <v>35.866666666666667</v>
      </c>
      <c r="M899" s="3">
        <v>0.13333333333333333</v>
      </c>
      <c r="N899" s="4">
        <v>8</v>
      </c>
      <c r="O899" s="2">
        <v>1.8865740740740742E-3</v>
      </c>
      <c r="P899" s="9">
        <v>730.78333333333342</v>
      </c>
      <c r="Q899" s="3">
        <v>2.7166666666666668</v>
      </c>
      <c r="R899" s="4">
        <v>163</v>
      </c>
      <c r="S899" s="3">
        <v>245</v>
      </c>
      <c r="T899" s="1">
        <v>0.91300000000000003</v>
      </c>
      <c r="U899" s="6">
        <v>245.59700000000001</v>
      </c>
    </row>
    <row r="900" spans="1:21" x14ac:dyDescent="0.35">
      <c r="A900">
        <v>899</v>
      </c>
      <c r="B900" s="5">
        <v>45095</v>
      </c>
      <c r="C900" s="4">
        <v>2023</v>
      </c>
      <c r="D900" s="4">
        <v>6</v>
      </c>
      <c r="E900" s="14">
        <v>45095</v>
      </c>
      <c r="F900" s="4">
        <v>18</v>
      </c>
      <c r="G900">
        <v>73</v>
      </c>
      <c r="H900">
        <v>72</v>
      </c>
      <c r="I900" s="13">
        <v>0.98</v>
      </c>
      <c r="J900">
        <v>1</v>
      </c>
      <c r="K900" s="2">
        <v>9.2592592592592588E-5</v>
      </c>
      <c r="L900" s="11">
        <v>9.6</v>
      </c>
      <c r="M900" s="3">
        <v>0.13333333333333333</v>
      </c>
      <c r="N900" s="4">
        <v>8</v>
      </c>
      <c r="O900" s="2">
        <v>2.1296296296296298E-3</v>
      </c>
      <c r="P900" s="9">
        <v>220.8</v>
      </c>
      <c r="Q900" s="3">
        <v>3.0666666666666669</v>
      </c>
      <c r="R900" s="4">
        <v>184</v>
      </c>
      <c r="S900" s="3">
        <v>66</v>
      </c>
      <c r="T900" s="1">
        <v>0.91779999999999995</v>
      </c>
      <c r="U900" s="6">
        <v>66.081599999999995</v>
      </c>
    </row>
    <row r="901" spans="1:21" x14ac:dyDescent="0.35">
      <c r="A901">
        <v>900</v>
      </c>
      <c r="B901" s="5">
        <v>45096</v>
      </c>
      <c r="C901" s="4">
        <v>2023</v>
      </c>
      <c r="D901" s="4">
        <v>6</v>
      </c>
      <c r="E901" s="14">
        <v>45096</v>
      </c>
      <c r="F901" s="4">
        <v>19</v>
      </c>
      <c r="G901">
        <v>226</v>
      </c>
      <c r="H901">
        <v>218</v>
      </c>
      <c r="I901" s="13">
        <v>0.96</v>
      </c>
      <c r="J901">
        <v>8</v>
      </c>
      <c r="K901" s="2">
        <v>9.2592592592592588E-5</v>
      </c>
      <c r="L901" s="11">
        <v>29.066666666666666</v>
      </c>
      <c r="M901" s="3">
        <v>0.13333333333333333</v>
      </c>
      <c r="N901" s="4">
        <v>8</v>
      </c>
      <c r="O901" s="2">
        <v>2.0138888888888888E-3</v>
      </c>
      <c r="P901" s="9">
        <v>632.19999999999993</v>
      </c>
      <c r="Q901" s="3">
        <v>2.9</v>
      </c>
      <c r="R901" s="4">
        <v>174</v>
      </c>
      <c r="S901" s="3">
        <v>200</v>
      </c>
      <c r="T901" s="1">
        <v>0.91859999999999997</v>
      </c>
      <c r="U901" s="6">
        <v>200.25479999999999</v>
      </c>
    </row>
    <row r="902" spans="1:21" x14ac:dyDescent="0.35">
      <c r="A902">
        <v>901</v>
      </c>
      <c r="B902" s="5">
        <v>45097</v>
      </c>
      <c r="C902" s="4">
        <v>2023</v>
      </c>
      <c r="D902" s="4">
        <v>6</v>
      </c>
      <c r="E902" s="14">
        <v>45097</v>
      </c>
      <c r="F902" s="4">
        <v>20</v>
      </c>
      <c r="G902">
        <v>43</v>
      </c>
      <c r="H902">
        <v>42</v>
      </c>
      <c r="I902" s="13">
        <v>0.97</v>
      </c>
      <c r="J902">
        <v>1</v>
      </c>
      <c r="K902" s="2">
        <v>1.273148148148148E-4</v>
      </c>
      <c r="L902" s="11">
        <v>7.6999999999999993</v>
      </c>
      <c r="M902" s="3">
        <v>0.18333333333333332</v>
      </c>
      <c r="N902" s="4">
        <v>11</v>
      </c>
      <c r="O902" s="2">
        <v>1.8287037037037037E-3</v>
      </c>
      <c r="P902" s="9">
        <v>110.6</v>
      </c>
      <c r="Q902" s="3">
        <v>2.6333333333333333</v>
      </c>
      <c r="R902" s="4">
        <v>158</v>
      </c>
      <c r="S902" s="3">
        <v>35</v>
      </c>
      <c r="T902" s="1">
        <v>0.83720000000000006</v>
      </c>
      <c r="U902" s="6">
        <v>35.162400000000005</v>
      </c>
    </row>
    <row r="903" spans="1:21" x14ac:dyDescent="0.35">
      <c r="A903">
        <v>902</v>
      </c>
      <c r="B903" s="5">
        <v>45098</v>
      </c>
      <c r="C903" s="4">
        <v>2023</v>
      </c>
      <c r="D903" s="4">
        <v>6</v>
      </c>
      <c r="E903" s="14">
        <v>45098</v>
      </c>
      <c r="F903" s="4">
        <v>21</v>
      </c>
      <c r="G903">
        <v>311</v>
      </c>
      <c r="H903">
        <v>255</v>
      </c>
      <c r="I903" s="13">
        <v>0.81</v>
      </c>
      <c r="J903">
        <v>56</v>
      </c>
      <c r="K903" s="2">
        <v>5.2083333333333333E-4</v>
      </c>
      <c r="L903" s="11">
        <v>191.25</v>
      </c>
      <c r="M903" s="3">
        <v>0.75</v>
      </c>
      <c r="N903" s="4">
        <v>45</v>
      </c>
      <c r="O903" s="2">
        <v>2.0254629629629629E-3</v>
      </c>
      <c r="P903" s="9">
        <v>743.75</v>
      </c>
      <c r="Q903" s="3">
        <v>2.9166666666666665</v>
      </c>
      <c r="R903" s="4">
        <v>175</v>
      </c>
      <c r="S903" s="3">
        <v>120</v>
      </c>
      <c r="T903" s="1">
        <v>0.4718</v>
      </c>
      <c r="U903" s="6">
        <v>120.309</v>
      </c>
    </row>
    <row r="904" spans="1:21" x14ac:dyDescent="0.35">
      <c r="A904">
        <v>903</v>
      </c>
      <c r="B904" s="5">
        <v>45099</v>
      </c>
      <c r="C904" s="4">
        <v>2023</v>
      </c>
      <c r="D904" s="4">
        <v>6</v>
      </c>
      <c r="E904" s="14">
        <v>45099</v>
      </c>
      <c r="F904" s="4">
        <v>22</v>
      </c>
      <c r="G904">
        <v>251</v>
      </c>
      <c r="H904">
        <v>210</v>
      </c>
      <c r="I904" s="13">
        <v>0.83</v>
      </c>
      <c r="J904">
        <v>41</v>
      </c>
      <c r="K904" s="2">
        <v>3.0092592592592595E-4</v>
      </c>
      <c r="L904" s="11">
        <v>91</v>
      </c>
      <c r="M904" s="3">
        <v>0.43333333333333335</v>
      </c>
      <c r="N904" s="4">
        <v>26</v>
      </c>
      <c r="O904" s="2">
        <v>2.0138888888888888E-3</v>
      </c>
      <c r="P904" s="9">
        <v>609</v>
      </c>
      <c r="Q904" s="3">
        <v>2.9</v>
      </c>
      <c r="R904" s="4">
        <v>174</v>
      </c>
      <c r="S904" s="3">
        <v>133</v>
      </c>
      <c r="T904" s="1">
        <v>0.63519999999999999</v>
      </c>
      <c r="U904" s="6">
        <v>133.392</v>
      </c>
    </row>
    <row r="905" spans="1:21" x14ac:dyDescent="0.35">
      <c r="A905">
        <v>904</v>
      </c>
      <c r="B905" s="5">
        <v>45100</v>
      </c>
      <c r="C905" s="4">
        <v>2023</v>
      </c>
      <c r="D905" s="4">
        <v>6</v>
      </c>
      <c r="E905" s="14">
        <v>45100</v>
      </c>
      <c r="F905" s="4">
        <v>23</v>
      </c>
      <c r="G905">
        <v>339</v>
      </c>
      <c r="H905">
        <v>313</v>
      </c>
      <c r="I905" s="13">
        <v>0.92</v>
      </c>
      <c r="J905">
        <v>26</v>
      </c>
      <c r="K905" s="2">
        <v>1.3888888888888889E-4</v>
      </c>
      <c r="L905" s="11">
        <v>62.6</v>
      </c>
      <c r="M905" s="3">
        <v>0.2</v>
      </c>
      <c r="N905" s="4">
        <v>12</v>
      </c>
      <c r="O905" s="2">
        <v>1.4120370370370369E-3</v>
      </c>
      <c r="P905" s="9">
        <v>636.43333333333328</v>
      </c>
      <c r="Q905" s="3">
        <v>2.0333333333333332</v>
      </c>
      <c r="R905" s="4">
        <v>122</v>
      </c>
      <c r="S905" s="3">
        <v>256</v>
      </c>
      <c r="T905" s="1">
        <v>0.82089999999999996</v>
      </c>
      <c r="U905" s="6">
        <v>256.94169999999997</v>
      </c>
    </row>
    <row r="906" spans="1:21" x14ac:dyDescent="0.35">
      <c r="A906">
        <v>905</v>
      </c>
      <c r="B906" s="5">
        <v>45101</v>
      </c>
      <c r="C906" s="4">
        <v>2023</v>
      </c>
      <c r="D906" s="4">
        <v>6</v>
      </c>
      <c r="E906" s="14">
        <v>45101</v>
      </c>
      <c r="F906" s="4">
        <v>24</v>
      </c>
      <c r="G906">
        <v>323</v>
      </c>
      <c r="H906">
        <v>261</v>
      </c>
      <c r="I906" s="13">
        <v>0.8</v>
      </c>
      <c r="J906">
        <v>62</v>
      </c>
      <c r="K906" s="2">
        <v>4.7453703703703704E-4</v>
      </c>
      <c r="L906" s="11">
        <v>178.35</v>
      </c>
      <c r="M906" s="3">
        <v>0.68333333333333335</v>
      </c>
      <c r="N906" s="4">
        <v>41</v>
      </c>
      <c r="O906" s="2">
        <v>2.0486111111111113E-3</v>
      </c>
      <c r="P906" s="9">
        <v>769.95</v>
      </c>
      <c r="Q906" s="3">
        <v>2.95</v>
      </c>
      <c r="R906" s="4">
        <v>177</v>
      </c>
      <c r="S906" s="3">
        <v>140</v>
      </c>
      <c r="T906" s="1">
        <v>0.53990000000000005</v>
      </c>
      <c r="U906" s="6">
        <v>140.91390000000001</v>
      </c>
    </row>
    <row r="907" spans="1:21" x14ac:dyDescent="0.35">
      <c r="A907">
        <v>906</v>
      </c>
      <c r="B907" s="5">
        <v>45102</v>
      </c>
      <c r="C907" s="4">
        <v>2023</v>
      </c>
      <c r="D907" s="4">
        <v>6</v>
      </c>
      <c r="E907" s="14">
        <v>45102</v>
      </c>
      <c r="F907" s="4">
        <v>25</v>
      </c>
      <c r="G907">
        <v>289</v>
      </c>
      <c r="H907">
        <v>265</v>
      </c>
      <c r="I907" s="13">
        <v>0.91</v>
      </c>
      <c r="J907">
        <v>24</v>
      </c>
      <c r="K907" s="2">
        <v>1.273148148148148E-4</v>
      </c>
      <c r="L907" s="11">
        <v>48.583333333333329</v>
      </c>
      <c r="M907" s="3">
        <v>0.18333333333333332</v>
      </c>
      <c r="N907" s="4">
        <v>11</v>
      </c>
      <c r="O907" s="2">
        <v>2.0833333333333333E-3</v>
      </c>
      <c r="P907" s="9">
        <v>795</v>
      </c>
      <c r="Q907" s="3">
        <v>3</v>
      </c>
      <c r="R907" s="4">
        <v>180</v>
      </c>
      <c r="S907" s="3">
        <v>220</v>
      </c>
      <c r="T907" s="1">
        <v>0.8327</v>
      </c>
      <c r="U907" s="6">
        <v>220.66550000000001</v>
      </c>
    </row>
    <row r="908" spans="1:21" x14ac:dyDescent="0.35">
      <c r="A908">
        <v>907</v>
      </c>
      <c r="B908" s="5">
        <v>45103</v>
      </c>
      <c r="C908" s="4">
        <v>2023</v>
      </c>
      <c r="D908" s="4">
        <v>6</v>
      </c>
      <c r="E908" s="14">
        <v>45103</v>
      </c>
      <c r="F908" s="4">
        <v>26</v>
      </c>
      <c r="G908">
        <v>310</v>
      </c>
      <c r="H908">
        <v>281</v>
      </c>
      <c r="I908" s="13">
        <v>0.9</v>
      </c>
      <c r="J908">
        <v>29</v>
      </c>
      <c r="K908" s="2">
        <v>1.7361111111111112E-4</v>
      </c>
      <c r="L908" s="11">
        <v>70.25</v>
      </c>
      <c r="M908" s="3">
        <v>0.25</v>
      </c>
      <c r="N908" s="4">
        <v>15</v>
      </c>
      <c r="O908" s="2">
        <v>1.8634259259259259E-3</v>
      </c>
      <c r="P908" s="9">
        <v>754.01666666666677</v>
      </c>
      <c r="Q908" s="3">
        <v>2.6833333333333336</v>
      </c>
      <c r="R908" s="4">
        <v>161</v>
      </c>
      <c r="S908" s="3">
        <v>222</v>
      </c>
      <c r="T908" s="1">
        <v>0.79120000000000001</v>
      </c>
      <c r="U908" s="6">
        <v>222.3272</v>
      </c>
    </row>
    <row r="909" spans="1:21" x14ac:dyDescent="0.35">
      <c r="A909">
        <v>908</v>
      </c>
      <c r="B909" s="5">
        <v>45104</v>
      </c>
      <c r="C909" s="4">
        <v>2023</v>
      </c>
      <c r="D909" s="4">
        <v>6</v>
      </c>
      <c r="E909" s="14">
        <v>45104</v>
      </c>
      <c r="F909" s="4">
        <v>27</v>
      </c>
      <c r="G909">
        <v>33</v>
      </c>
      <c r="H909">
        <v>31</v>
      </c>
      <c r="I909" s="13">
        <v>0.93</v>
      </c>
      <c r="J909">
        <v>2</v>
      </c>
      <c r="K909" s="2">
        <v>1.6203703703703703E-4</v>
      </c>
      <c r="L909" s="11">
        <v>7.2333333333333334</v>
      </c>
      <c r="M909" s="3">
        <v>0.23333333333333334</v>
      </c>
      <c r="N909" s="4">
        <v>14</v>
      </c>
      <c r="O909" s="2">
        <v>2.0023148148148148E-3</v>
      </c>
      <c r="P909" s="9">
        <v>89.383333333333326</v>
      </c>
      <c r="Q909" s="3">
        <v>2.8833333333333333</v>
      </c>
      <c r="R909" s="4">
        <v>173</v>
      </c>
      <c r="S909" s="3">
        <v>26</v>
      </c>
      <c r="T909" s="1">
        <v>0.84850000000000003</v>
      </c>
      <c r="U909" s="6">
        <v>26.3035</v>
      </c>
    </row>
    <row r="910" spans="1:21" x14ac:dyDescent="0.35">
      <c r="A910">
        <v>909</v>
      </c>
      <c r="B910" s="5">
        <v>45105</v>
      </c>
      <c r="C910" s="4">
        <v>2023</v>
      </c>
      <c r="D910" s="4">
        <v>6</v>
      </c>
      <c r="E910" s="14">
        <v>45105</v>
      </c>
      <c r="F910" s="4">
        <v>28</v>
      </c>
      <c r="G910">
        <v>346</v>
      </c>
      <c r="H910">
        <v>318</v>
      </c>
      <c r="I910" s="13">
        <v>0.91</v>
      </c>
      <c r="J910">
        <v>28</v>
      </c>
      <c r="K910" s="2">
        <v>1.3888888888888889E-4</v>
      </c>
      <c r="L910" s="11">
        <v>63.6</v>
      </c>
      <c r="M910" s="3">
        <v>0.2</v>
      </c>
      <c r="N910" s="4">
        <v>12</v>
      </c>
      <c r="O910" s="2">
        <v>1.8055555555555555E-3</v>
      </c>
      <c r="P910" s="9">
        <v>826.80000000000007</v>
      </c>
      <c r="Q910" s="3">
        <v>2.6</v>
      </c>
      <c r="R910" s="4">
        <v>156</v>
      </c>
      <c r="S910" s="3">
        <v>262</v>
      </c>
      <c r="T910" s="1">
        <v>0.82489999999999997</v>
      </c>
      <c r="U910" s="6">
        <v>262.31819999999999</v>
      </c>
    </row>
    <row r="911" spans="1:21" x14ac:dyDescent="0.35">
      <c r="A911">
        <v>910</v>
      </c>
      <c r="B911" s="5">
        <v>45106</v>
      </c>
      <c r="C911" s="4">
        <v>2023</v>
      </c>
      <c r="D911" s="4">
        <v>6</v>
      </c>
      <c r="E911" s="14">
        <v>45106</v>
      </c>
      <c r="F911" s="4">
        <v>29</v>
      </c>
      <c r="G911">
        <v>325</v>
      </c>
      <c r="H911">
        <v>285</v>
      </c>
      <c r="I911" s="13">
        <v>0.87</v>
      </c>
      <c r="J911">
        <v>40</v>
      </c>
      <c r="K911" s="2">
        <v>3.7037037037037035E-4</v>
      </c>
      <c r="L911" s="11">
        <v>152</v>
      </c>
      <c r="M911" s="3">
        <v>0.53333333333333333</v>
      </c>
      <c r="N911" s="4">
        <v>32</v>
      </c>
      <c r="O911" s="2">
        <v>1.9097222222222222E-3</v>
      </c>
      <c r="P911" s="9">
        <v>783.75</v>
      </c>
      <c r="Q911" s="3">
        <v>2.75</v>
      </c>
      <c r="R911" s="4">
        <v>165</v>
      </c>
      <c r="S911" s="3">
        <v>173</v>
      </c>
      <c r="T911" s="1">
        <v>0.60819999999999996</v>
      </c>
      <c r="U911" s="6">
        <v>173.33699999999999</v>
      </c>
    </row>
    <row r="912" spans="1:21" x14ac:dyDescent="0.35">
      <c r="A912">
        <v>911</v>
      </c>
      <c r="B912" s="5">
        <v>45107</v>
      </c>
      <c r="C912" s="4">
        <v>2023</v>
      </c>
      <c r="D912" s="4">
        <v>6</v>
      </c>
      <c r="E912" s="14">
        <v>45107</v>
      </c>
      <c r="F912" s="4">
        <v>30</v>
      </c>
      <c r="G912">
        <v>627</v>
      </c>
      <c r="H912">
        <v>504</v>
      </c>
      <c r="I912" s="13">
        <v>0.8</v>
      </c>
      <c r="J912">
        <v>123</v>
      </c>
      <c r="K912" s="2">
        <v>4.2824074074074075E-4</v>
      </c>
      <c r="L912" s="11">
        <v>310.8</v>
      </c>
      <c r="M912" s="3">
        <v>0.6166666666666667</v>
      </c>
      <c r="N912" s="4">
        <v>37</v>
      </c>
      <c r="O912" s="2">
        <v>2.3148148148148147E-3</v>
      </c>
      <c r="P912" s="9">
        <v>1680</v>
      </c>
      <c r="Q912" s="3">
        <v>3.3333333333333335</v>
      </c>
      <c r="R912" s="4">
        <v>200</v>
      </c>
      <c r="S912" s="3">
        <v>286</v>
      </c>
      <c r="T912" s="1">
        <v>0.56930000000000003</v>
      </c>
      <c r="U912" s="6">
        <v>286.92720000000003</v>
      </c>
    </row>
    <row r="913" spans="1:21" x14ac:dyDescent="0.35">
      <c r="A913">
        <v>912</v>
      </c>
      <c r="B913" s="5">
        <v>45108</v>
      </c>
      <c r="C913" s="4">
        <v>2023</v>
      </c>
      <c r="D913" s="4">
        <v>7</v>
      </c>
      <c r="E913" s="14">
        <v>45108</v>
      </c>
      <c r="F913" s="4">
        <v>1</v>
      </c>
      <c r="G913">
        <v>905</v>
      </c>
      <c r="H913">
        <v>631</v>
      </c>
      <c r="I913" s="13">
        <v>0.69</v>
      </c>
      <c r="J913">
        <v>274</v>
      </c>
      <c r="K913" s="2">
        <v>9.6064814814814819E-4</v>
      </c>
      <c r="L913" s="11">
        <v>872.88333333333333</v>
      </c>
      <c r="M913" s="3">
        <v>1.3833333333333333</v>
      </c>
      <c r="N913" s="4">
        <v>83</v>
      </c>
      <c r="O913" s="2">
        <v>2.5694444444444445E-3</v>
      </c>
      <c r="P913" s="9">
        <v>2334.7000000000003</v>
      </c>
      <c r="Q913" s="3">
        <v>3.7</v>
      </c>
      <c r="R913" s="4">
        <v>222</v>
      </c>
      <c r="S913" s="3">
        <v>162</v>
      </c>
      <c r="T913" s="1">
        <v>0.25679999999999997</v>
      </c>
      <c r="U913" s="6">
        <v>162.04079999999999</v>
      </c>
    </row>
    <row r="914" spans="1:21" x14ac:dyDescent="0.35">
      <c r="A914">
        <v>913</v>
      </c>
      <c r="B914" s="5">
        <v>45109</v>
      </c>
      <c r="C914" s="4">
        <v>2023</v>
      </c>
      <c r="D914" s="4">
        <v>7</v>
      </c>
      <c r="E914" s="14">
        <v>45109</v>
      </c>
      <c r="F914" s="4">
        <v>2</v>
      </c>
      <c r="G914">
        <v>1141</v>
      </c>
      <c r="H914">
        <v>610</v>
      </c>
      <c r="I914" s="13">
        <v>0.53</v>
      </c>
      <c r="J914">
        <v>531</v>
      </c>
      <c r="K914" s="2">
        <v>1.2268518518518518E-3</v>
      </c>
      <c r="L914" s="11">
        <v>1077.6666666666667</v>
      </c>
      <c r="M914" s="3">
        <v>1.7666666666666666</v>
      </c>
      <c r="N914" s="4">
        <v>106</v>
      </c>
      <c r="O914" s="2">
        <v>2.2222222222222222E-3</v>
      </c>
      <c r="P914" s="9">
        <v>1952</v>
      </c>
      <c r="Q914" s="3">
        <v>3.2</v>
      </c>
      <c r="R914" s="4">
        <v>192</v>
      </c>
      <c r="S914" s="3">
        <v>88</v>
      </c>
      <c r="T914" s="1">
        <v>0.14549999999999999</v>
      </c>
      <c r="U914" s="6">
        <v>88.754999999999995</v>
      </c>
    </row>
    <row r="915" spans="1:21" x14ac:dyDescent="0.35">
      <c r="A915">
        <v>914</v>
      </c>
      <c r="B915" s="5">
        <v>45110</v>
      </c>
      <c r="C915" s="4">
        <v>2023</v>
      </c>
      <c r="D915" s="4">
        <v>7</v>
      </c>
      <c r="E915" s="14">
        <v>45110</v>
      </c>
      <c r="F915" s="4">
        <v>3</v>
      </c>
      <c r="G915">
        <v>863</v>
      </c>
      <c r="H915">
        <v>511</v>
      </c>
      <c r="I915" s="13">
        <v>0.59</v>
      </c>
      <c r="J915">
        <v>352</v>
      </c>
      <c r="K915" s="2">
        <v>1.4699074074074074E-3</v>
      </c>
      <c r="L915" s="11">
        <v>1081.6166666666668</v>
      </c>
      <c r="M915" s="3">
        <v>2.1166666666666667</v>
      </c>
      <c r="N915" s="4">
        <v>127</v>
      </c>
      <c r="O915" s="2">
        <v>2.1180555555555558E-3</v>
      </c>
      <c r="P915" s="9">
        <v>1558.55</v>
      </c>
      <c r="Q915" s="3">
        <v>3.05</v>
      </c>
      <c r="R915" s="4">
        <v>183</v>
      </c>
      <c r="S915" s="3">
        <v>61</v>
      </c>
      <c r="T915" s="1">
        <v>0.12130000000000001</v>
      </c>
      <c r="U915" s="6">
        <v>61.984300000000005</v>
      </c>
    </row>
    <row r="916" spans="1:21" x14ac:dyDescent="0.35">
      <c r="A916">
        <v>915</v>
      </c>
      <c r="B916" s="5">
        <v>45111</v>
      </c>
      <c r="C916" s="4">
        <v>2023</v>
      </c>
      <c r="D916" s="4">
        <v>7</v>
      </c>
      <c r="E916" s="14">
        <v>45111</v>
      </c>
      <c r="F916" s="4">
        <v>4</v>
      </c>
      <c r="G916">
        <v>63</v>
      </c>
      <c r="H916">
        <v>56</v>
      </c>
      <c r="I916" s="13">
        <v>0.88</v>
      </c>
      <c r="J916">
        <v>7</v>
      </c>
      <c r="K916" s="2">
        <v>1.8518518518518518E-4</v>
      </c>
      <c r="L916" s="11">
        <v>14.933333333333334</v>
      </c>
      <c r="M916" s="3">
        <v>0.26666666666666666</v>
      </c>
      <c r="N916" s="4">
        <v>16</v>
      </c>
      <c r="O916" s="2">
        <v>1.7476851851851852E-3</v>
      </c>
      <c r="P916" s="9">
        <v>140.93333333333334</v>
      </c>
      <c r="Q916" s="3">
        <v>2.5166666666666666</v>
      </c>
      <c r="R916" s="4">
        <v>151</v>
      </c>
      <c r="S916" s="3">
        <v>39</v>
      </c>
      <c r="T916" s="1">
        <v>0.7097</v>
      </c>
      <c r="U916" s="6">
        <v>39.743200000000002</v>
      </c>
    </row>
    <row r="917" spans="1:21" x14ac:dyDescent="0.35">
      <c r="A917">
        <v>916</v>
      </c>
      <c r="B917" s="5">
        <v>45112</v>
      </c>
      <c r="C917" s="4">
        <v>2023</v>
      </c>
      <c r="D917" s="4">
        <v>7</v>
      </c>
      <c r="E917" s="14">
        <v>45112</v>
      </c>
      <c r="F917" s="4">
        <v>5</v>
      </c>
      <c r="G917">
        <v>573</v>
      </c>
      <c r="H917">
        <v>487</v>
      </c>
      <c r="I917" s="13">
        <v>0.84</v>
      </c>
      <c r="J917">
        <v>86</v>
      </c>
      <c r="K917" s="2">
        <v>6.4814814814814813E-4</v>
      </c>
      <c r="L917" s="11">
        <v>454.53333333333336</v>
      </c>
      <c r="M917" s="3">
        <v>0.93333333333333335</v>
      </c>
      <c r="N917" s="4">
        <v>56</v>
      </c>
      <c r="O917" s="2">
        <v>1.9097222222222222E-3</v>
      </c>
      <c r="P917" s="9">
        <v>1339.25</v>
      </c>
      <c r="Q917" s="3">
        <v>2.75</v>
      </c>
      <c r="R917" s="4">
        <v>165</v>
      </c>
      <c r="S917" s="3">
        <v>170</v>
      </c>
      <c r="T917" s="1">
        <v>0.34989999999999999</v>
      </c>
      <c r="U917" s="6">
        <v>170.40129999999999</v>
      </c>
    </row>
    <row r="918" spans="1:21" x14ac:dyDescent="0.35">
      <c r="A918">
        <v>917</v>
      </c>
      <c r="B918" s="5">
        <v>45113</v>
      </c>
      <c r="C918" s="4">
        <v>2023</v>
      </c>
      <c r="D918" s="4">
        <v>7</v>
      </c>
      <c r="E918" s="14">
        <v>45113</v>
      </c>
      <c r="F918" s="4">
        <v>6</v>
      </c>
      <c r="G918">
        <v>391</v>
      </c>
      <c r="H918">
        <v>323</v>
      </c>
      <c r="I918" s="13">
        <v>0.82</v>
      </c>
      <c r="J918">
        <v>68</v>
      </c>
      <c r="K918" s="2">
        <v>5.3240740740740744E-4</v>
      </c>
      <c r="L918" s="11">
        <v>247.63333333333335</v>
      </c>
      <c r="M918" s="3">
        <v>0.76666666666666672</v>
      </c>
      <c r="N918" s="4">
        <v>46</v>
      </c>
      <c r="O918" s="2">
        <v>2.1759259259259258E-3</v>
      </c>
      <c r="P918" s="9">
        <v>1012.0666666666666</v>
      </c>
      <c r="Q918" s="3">
        <v>3.1333333333333333</v>
      </c>
      <c r="R918" s="4">
        <v>188</v>
      </c>
      <c r="S918" s="3">
        <v>137</v>
      </c>
      <c r="T918" s="1">
        <v>0.42709999999999998</v>
      </c>
      <c r="U918" s="6">
        <v>137.95329999999998</v>
      </c>
    </row>
    <row r="919" spans="1:21" x14ac:dyDescent="0.35">
      <c r="A919">
        <v>918</v>
      </c>
      <c r="B919" s="5">
        <v>45114</v>
      </c>
      <c r="C919" s="4">
        <v>2023</v>
      </c>
      <c r="D919" s="4">
        <v>7</v>
      </c>
      <c r="E919" s="14">
        <v>45114</v>
      </c>
      <c r="F919" s="4">
        <v>7</v>
      </c>
      <c r="G919">
        <v>526</v>
      </c>
      <c r="H919">
        <v>355</v>
      </c>
      <c r="I919" s="13">
        <v>0.67</v>
      </c>
      <c r="J919">
        <v>171</v>
      </c>
      <c r="K919" s="2">
        <v>1.0300925925925926E-3</v>
      </c>
      <c r="L919" s="11">
        <v>526.58333333333337</v>
      </c>
      <c r="M919" s="3">
        <v>1.4833333333333334</v>
      </c>
      <c r="N919" s="4">
        <v>89</v>
      </c>
      <c r="O919" s="2">
        <v>2.662037037037037E-3</v>
      </c>
      <c r="P919" s="9">
        <v>1360.8333333333335</v>
      </c>
      <c r="Q919" s="3">
        <v>3.8333333333333335</v>
      </c>
      <c r="R919" s="4">
        <v>230</v>
      </c>
      <c r="S919" s="3">
        <v>79</v>
      </c>
      <c r="T919" s="1">
        <v>0.224</v>
      </c>
      <c r="U919" s="6">
        <v>79.52</v>
      </c>
    </row>
    <row r="920" spans="1:21" x14ac:dyDescent="0.35">
      <c r="A920">
        <v>919</v>
      </c>
      <c r="B920" s="5">
        <v>45115</v>
      </c>
      <c r="C920" s="4">
        <v>2023</v>
      </c>
      <c r="D920" s="4">
        <v>7</v>
      </c>
      <c r="E920" s="14">
        <v>45115</v>
      </c>
      <c r="F920" s="4">
        <v>8</v>
      </c>
      <c r="G920">
        <v>343</v>
      </c>
      <c r="H920">
        <v>309</v>
      </c>
      <c r="I920" s="13">
        <v>0.9</v>
      </c>
      <c r="J920">
        <v>34</v>
      </c>
      <c r="K920" s="2">
        <v>4.5138888888888887E-4</v>
      </c>
      <c r="L920" s="11">
        <v>200.85</v>
      </c>
      <c r="M920" s="3">
        <v>0.65</v>
      </c>
      <c r="N920" s="4">
        <v>39</v>
      </c>
      <c r="O920" s="2">
        <v>2.3611111111111111E-3</v>
      </c>
      <c r="P920" s="9">
        <v>1050.5999999999999</v>
      </c>
      <c r="Q920" s="3">
        <v>3.4</v>
      </c>
      <c r="R920" s="4">
        <v>204</v>
      </c>
      <c r="S920" s="3">
        <v>150</v>
      </c>
      <c r="T920" s="1">
        <v>0.48820000000000002</v>
      </c>
      <c r="U920" s="6">
        <v>150.85380000000001</v>
      </c>
    </row>
    <row r="921" spans="1:21" x14ac:dyDescent="0.35">
      <c r="A921">
        <v>920</v>
      </c>
      <c r="B921" s="5">
        <v>45116</v>
      </c>
      <c r="C921" s="4">
        <v>2023</v>
      </c>
      <c r="D921" s="4">
        <v>7</v>
      </c>
      <c r="E921" s="14">
        <v>45116</v>
      </c>
      <c r="F921" s="4">
        <v>9</v>
      </c>
      <c r="G921">
        <v>401</v>
      </c>
      <c r="H921">
        <v>346</v>
      </c>
      <c r="I921" s="13">
        <v>0.86</v>
      </c>
      <c r="J921">
        <v>55</v>
      </c>
      <c r="K921" s="2">
        <v>4.7453703703703704E-4</v>
      </c>
      <c r="L921" s="11">
        <v>236.43333333333334</v>
      </c>
      <c r="M921" s="3">
        <v>0.68333333333333335</v>
      </c>
      <c r="N921" s="4">
        <v>41</v>
      </c>
      <c r="O921" s="2">
        <v>2.2337962962962962E-3</v>
      </c>
      <c r="P921" s="9">
        <v>1112.9666666666667</v>
      </c>
      <c r="Q921" s="3">
        <v>3.2166666666666668</v>
      </c>
      <c r="R921" s="4">
        <v>193</v>
      </c>
      <c r="S921" s="3">
        <v>153</v>
      </c>
      <c r="T921" s="1">
        <v>0.44269999999999998</v>
      </c>
      <c r="U921" s="6">
        <v>153.17419999999998</v>
      </c>
    </row>
    <row r="922" spans="1:21" x14ac:dyDescent="0.35">
      <c r="A922">
        <v>921</v>
      </c>
      <c r="B922" s="5">
        <v>45117</v>
      </c>
      <c r="C922" s="4">
        <v>2023</v>
      </c>
      <c r="D922" s="4">
        <v>7</v>
      </c>
      <c r="E922" s="14">
        <v>45117</v>
      </c>
      <c r="F922" s="4">
        <v>10</v>
      </c>
      <c r="G922">
        <v>281</v>
      </c>
      <c r="H922">
        <v>239</v>
      </c>
      <c r="I922" s="13">
        <v>0.85</v>
      </c>
      <c r="J922">
        <v>42</v>
      </c>
      <c r="K922" s="2">
        <v>4.7453703703703704E-4</v>
      </c>
      <c r="L922" s="11">
        <v>163.31666666666666</v>
      </c>
      <c r="M922" s="3">
        <v>0.68333333333333335</v>
      </c>
      <c r="N922" s="4">
        <v>41</v>
      </c>
      <c r="O922" s="2">
        <v>2.1643518518518518E-3</v>
      </c>
      <c r="P922" s="9">
        <v>744.88333333333333</v>
      </c>
      <c r="Q922" s="3">
        <v>3.1166666666666667</v>
      </c>
      <c r="R922" s="4">
        <v>187</v>
      </c>
      <c r="S922" s="3">
        <v>101</v>
      </c>
      <c r="T922" s="1">
        <v>0.42549999999999999</v>
      </c>
      <c r="U922" s="6">
        <v>101.69449999999999</v>
      </c>
    </row>
    <row r="923" spans="1:21" x14ac:dyDescent="0.35">
      <c r="A923">
        <v>922</v>
      </c>
      <c r="B923" s="5">
        <v>45118</v>
      </c>
      <c r="C923" s="4">
        <v>2023</v>
      </c>
      <c r="D923" s="4">
        <v>7</v>
      </c>
      <c r="E923" s="14">
        <v>45118</v>
      </c>
      <c r="F923" s="4">
        <v>11</v>
      </c>
      <c r="G923">
        <v>46</v>
      </c>
      <c r="H923">
        <v>39</v>
      </c>
      <c r="I923" s="13">
        <v>0.84</v>
      </c>
      <c r="J923">
        <v>7</v>
      </c>
      <c r="K923" s="2">
        <v>1.273148148148148E-4</v>
      </c>
      <c r="L923" s="11">
        <v>7.1499999999999995</v>
      </c>
      <c r="M923" s="3">
        <v>0.18333333333333332</v>
      </c>
      <c r="N923" s="4">
        <v>11</v>
      </c>
      <c r="O923" s="2">
        <v>2.1875000000000002E-3</v>
      </c>
      <c r="P923" s="9">
        <v>122.85</v>
      </c>
      <c r="Q923" s="3">
        <v>3.15</v>
      </c>
      <c r="R923" s="4">
        <v>189</v>
      </c>
      <c r="S923" s="3">
        <v>31</v>
      </c>
      <c r="T923" s="1">
        <v>0.80430000000000001</v>
      </c>
      <c r="U923" s="6">
        <v>31.367699999999999</v>
      </c>
    </row>
    <row r="924" spans="1:21" x14ac:dyDescent="0.35">
      <c r="A924">
        <v>923</v>
      </c>
      <c r="B924" s="5">
        <v>45119</v>
      </c>
      <c r="C924" s="4">
        <v>2023</v>
      </c>
      <c r="D924" s="4">
        <v>7</v>
      </c>
      <c r="E924" s="14">
        <v>45119</v>
      </c>
      <c r="F924" s="4">
        <v>12</v>
      </c>
      <c r="G924">
        <v>357</v>
      </c>
      <c r="H924">
        <v>323</v>
      </c>
      <c r="I924" s="13">
        <v>0.9</v>
      </c>
      <c r="J924">
        <v>34</v>
      </c>
      <c r="K924" s="2">
        <v>3.7037037037037035E-4</v>
      </c>
      <c r="L924" s="11">
        <v>172.26666666666665</v>
      </c>
      <c r="M924" s="3">
        <v>0.53333333333333333</v>
      </c>
      <c r="N924" s="4">
        <v>32</v>
      </c>
      <c r="O924" s="2">
        <v>2.1759259259259258E-3</v>
      </c>
      <c r="P924" s="9">
        <v>1012.0666666666666</v>
      </c>
      <c r="Q924" s="3">
        <v>3.1333333333333333</v>
      </c>
      <c r="R924" s="4">
        <v>188</v>
      </c>
      <c r="S924" s="3">
        <v>196</v>
      </c>
      <c r="T924" s="1">
        <v>0.60909999999999997</v>
      </c>
      <c r="U924" s="6">
        <v>196.73929999999999</v>
      </c>
    </row>
    <row r="925" spans="1:21" x14ac:dyDescent="0.35">
      <c r="A925">
        <v>924</v>
      </c>
      <c r="B925" s="5">
        <v>45120</v>
      </c>
      <c r="C925" s="4">
        <v>2023</v>
      </c>
      <c r="D925" s="4">
        <v>7</v>
      </c>
      <c r="E925" s="14">
        <v>45120</v>
      </c>
      <c r="F925" s="4">
        <v>13</v>
      </c>
      <c r="G925">
        <v>280</v>
      </c>
      <c r="H925">
        <v>255</v>
      </c>
      <c r="I925" s="13">
        <v>0.91</v>
      </c>
      <c r="J925">
        <v>25</v>
      </c>
      <c r="K925" s="2">
        <v>3.9351851851851852E-4</v>
      </c>
      <c r="L925" s="11">
        <v>144.5</v>
      </c>
      <c r="M925" s="3">
        <v>0.56666666666666665</v>
      </c>
      <c r="N925" s="4">
        <v>34</v>
      </c>
      <c r="O925" s="2">
        <v>2.1064814814814813E-3</v>
      </c>
      <c r="P925" s="9">
        <v>773.5</v>
      </c>
      <c r="Q925" s="3">
        <v>3.0333333333333332</v>
      </c>
      <c r="R925" s="4">
        <v>182</v>
      </c>
      <c r="S925" s="3">
        <v>134</v>
      </c>
      <c r="T925" s="1">
        <v>0.52900000000000003</v>
      </c>
      <c r="U925" s="6">
        <v>134.89500000000001</v>
      </c>
    </row>
    <row r="926" spans="1:21" x14ac:dyDescent="0.35">
      <c r="A926">
        <v>925</v>
      </c>
      <c r="B926" s="5">
        <v>45121</v>
      </c>
      <c r="C926" s="4">
        <v>2023</v>
      </c>
      <c r="D926" s="4">
        <v>7</v>
      </c>
      <c r="E926" s="14">
        <v>45121</v>
      </c>
      <c r="F926" s="4">
        <v>14</v>
      </c>
      <c r="G926">
        <v>258</v>
      </c>
      <c r="H926">
        <v>247</v>
      </c>
      <c r="I926" s="13">
        <v>0.95</v>
      </c>
      <c r="J926">
        <v>11</v>
      </c>
      <c r="K926" s="2">
        <v>2.8935185185185184E-4</v>
      </c>
      <c r="L926" s="11">
        <v>102.91666666666667</v>
      </c>
      <c r="M926" s="3">
        <v>0.41666666666666669</v>
      </c>
      <c r="N926" s="4">
        <v>25</v>
      </c>
      <c r="O926" s="2">
        <v>2.0486111111111113E-3</v>
      </c>
      <c r="P926" s="9">
        <v>728.65000000000009</v>
      </c>
      <c r="Q926" s="3">
        <v>2.95</v>
      </c>
      <c r="R926" s="4">
        <v>177</v>
      </c>
      <c r="S926" s="3">
        <v>173</v>
      </c>
      <c r="T926" s="1">
        <v>0.70199999999999996</v>
      </c>
      <c r="U926" s="6">
        <v>173.39399999999998</v>
      </c>
    </row>
    <row r="927" spans="1:21" x14ac:dyDescent="0.35">
      <c r="A927">
        <v>926</v>
      </c>
      <c r="B927" s="5">
        <v>45122</v>
      </c>
      <c r="C927" s="4">
        <v>2023</v>
      </c>
      <c r="D927" s="4">
        <v>7</v>
      </c>
      <c r="E927" s="14">
        <v>45122</v>
      </c>
      <c r="F927" s="4">
        <v>15</v>
      </c>
      <c r="G927">
        <v>282</v>
      </c>
      <c r="H927">
        <v>255</v>
      </c>
      <c r="I927" s="13">
        <v>0.9</v>
      </c>
      <c r="J927">
        <v>27</v>
      </c>
      <c r="K927" s="2">
        <v>2.0833333333333335E-4</v>
      </c>
      <c r="L927" s="11">
        <v>76.5</v>
      </c>
      <c r="M927" s="3">
        <v>0.3</v>
      </c>
      <c r="N927" s="4">
        <v>18</v>
      </c>
      <c r="O927" s="2">
        <v>1.9328703703703704E-3</v>
      </c>
      <c r="P927" s="9">
        <v>709.75</v>
      </c>
      <c r="Q927" s="3">
        <v>2.7833333333333332</v>
      </c>
      <c r="R927" s="4">
        <v>167</v>
      </c>
      <c r="S927" s="3">
        <v>190</v>
      </c>
      <c r="T927" s="1">
        <v>0.74729999999999996</v>
      </c>
      <c r="U927" s="6">
        <v>190.5615</v>
      </c>
    </row>
    <row r="928" spans="1:21" x14ac:dyDescent="0.35">
      <c r="A928">
        <v>927</v>
      </c>
      <c r="B928" s="5">
        <v>45123</v>
      </c>
      <c r="C928" s="4">
        <v>2023</v>
      </c>
      <c r="D928" s="4">
        <v>7</v>
      </c>
      <c r="E928" s="14">
        <v>45123</v>
      </c>
      <c r="F928" s="4">
        <v>16</v>
      </c>
      <c r="G928">
        <v>253</v>
      </c>
      <c r="H928">
        <v>240</v>
      </c>
      <c r="I928" s="13">
        <v>0.94</v>
      </c>
      <c r="J928">
        <v>13</v>
      </c>
      <c r="K928" s="2">
        <v>2.0833333333333335E-4</v>
      </c>
      <c r="L928" s="11">
        <v>72</v>
      </c>
      <c r="M928" s="3">
        <v>0.3</v>
      </c>
      <c r="N928" s="4">
        <v>18</v>
      </c>
      <c r="O928" s="2">
        <v>1.8634259259259259E-3</v>
      </c>
      <c r="P928" s="9">
        <v>644</v>
      </c>
      <c r="Q928" s="3">
        <v>2.6833333333333336</v>
      </c>
      <c r="R928" s="4">
        <v>161</v>
      </c>
      <c r="S928" s="3">
        <v>180</v>
      </c>
      <c r="T928" s="1">
        <v>0.752</v>
      </c>
      <c r="U928" s="6">
        <v>180.48</v>
      </c>
    </row>
    <row r="929" spans="1:21" x14ac:dyDescent="0.35">
      <c r="A929">
        <v>928</v>
      </c>
      <c r="B929" s="5">
        <v>45124</v>
      </c>
      <c r="C929" s="4">
        <v>2023</v>
      </c>
      <c r="D929" s="4">
        <v>7</v>
      </c>
      <c r="E929" s="14">
        <v>45124</v>
      </c>
      <c r="F929" s="4">
        <v>17</v>
      </c>
      <c r="G929">
        <v>266</v>
      </c>
      <c r="H929">
        <v>232</v>
      </c>
      <c r="I929" s="13">
        <v>0.87</v>
      </c>
      <c r="J929">
        <v>34</v>
      </c>
      <c r="K929" s="2">
        <v>4.2824074074074075E-4</v>
      </c>
      <c r="L929" s="11">
        <v>143.06666666666666</v>
      </c>
      <c r="M929" s="3">
        <v>0.6166666666666667</v>
      </c>
      <c r="N929" s="4">
        <v>37</v>
      </c>
      <c r="O929" s="2">
        <v>1.9560185185185184E-3</v>
      </c>
      <c r="P929" s="9">
        <v>653.46666666666658</v>
      </c>
      <c r="Q929" s="3">
        <v>2.8166666666666664</v>
      </c>
      <c r="R929" s="4">
        <v>169</v>
      </c>
      <c r="S929" s="3">
        <v>133</v>
      </c>
      <c r="T929" s="1">
        <v>0.57589999999999997</v>
      </c>
      <c r="U929" s="6">
        <v>133.6088</v>
      </c>
    </row>
    <row r="930" spans="1:21" x14ac:dyDescent="0.35">
      <c r="A930">
        <v>929</v>
      </c>
      <c r="B930" s="5">
        <v>45125</v>
      </c>
      <c r="C930" s="4">
        <v>2023</v>
      </c>
      <c r="D930" s="4">
        <v>7</v>
      </c>
      <c r="E930" s="14">
        <v>45125</v>
      </c>
      <c r="F930" s="4">
        <v>18</v>
      </c>
      <c r="G930">
        <v>30</v>
      </c>
      <c r="H930">
        <v>29</v>
      </c>
      <c r="I930" s="13">
        <v>0.96</v>
      </c>
      <c r="J930">
        <v>1</v>
      </c>
      <c r="K930" s="2">
        <v>1.1574074074074075E-4</v>
      </c>
      <c r="L930" s="11">
        <v>4.833333333333333</v>
      </c>
      <c r="M930" s="3">
        <v>0.16666666666666666</v>
      </c>
      <c r="N930" s="4">
        <v>10</v>
      </c>
      <c r="O930" s="2">
        <v>2.3263888888888887E-3</v>
      </c>
      <c r="P930" s="9">
        <v>97.15</v>
      </c>
      <c r="Q930" s="3">
        <v>3.35</v>
      </c>
      <c r="R930" s="4">
        <v>201</v>
      </c>
      <c r="S930" s="3">
        <v>26</v>
      </c>
      <c r="T930" s="1">
        <v>0.9</v>
      </c>
      <c r="U930" s="6">
        <v>26.1</v>
      </c>
    </row>
    <row r="931" spans="1:21" x14ac:dyDescent="0.35">
      <c r="A931">
        <v>930</v>
      </c>
      <c r="B931" s="5">
        <v>45126</v>
      </c>
      <c r="C931" s="4">
        <v>2023</v>
      </c>
      <c r="D931" s="4">
        <v>7</v>
      </c>
      <c r="E931" s="14">
        <v>45126</v>
      </c>
      <c r="F931" s="4">
        <v>19</v>
      </c>
      <c r="G931">
        <v>258</v>
      </c>
      <c r="H931">
        <v>230</v>
      </c>
      <c r="I931" s="13">
        <v>0.89</v>
      </c>
      <c r="J931">
        <v>28</v>
      </c>
      <c r="K931" s="2">
        <v>3.8194444444444446E-4</v>
      </c>
      <c r="L931" s="11">
        <v>126.50000000000001</v>
      </c>
      <c r="M931" s="3">
        <v>0.55000000000000004</v>
      </c>
      <c r="N931" s="4">
        <v>33</v>
      </c>
      <c r="O931" s="2">
        <v>2.0949074074074073E-3</v>
      </c>
      <c r="P931" s="9">
        <v>693.83333333333337</v>
      </c>
      <c r="Q931" s="3">
        <v>3.0166666666666666</v>
      </c>
      <c r="R931" s="4">
        <v>181</v>
      </c>
      <c r="S931" s="3">
        <v>123</v>
      </c>
      <c r="T931" s="1">
        <v>0.53539999999999999</v>
      </c>
      <c r="U931" s="6">
        <v>123.142</v>
      </c>
    </row>
    <row r="932" spans="1:21" x14ac:dyDescent="0.35">
      <c r="A932">
        <v>931</v>
      </c>
      <c r="B932" s="5">
        <v>45127</v>
      </c>
      <c r="C932" s="4">
        <v>2023</v>
      </c>
      <c r="D932" s="4">
        <v>7</v>
      </c>
      <c r="E932" s="14">
        <v>45127</v>
      </c>
      <c r="F932" s="4">
        <v>20</v>
      </c>
      <c r="G932">
        <v>293</v>
      </c>
      <c r="H932">
        <v>282</v>
      </c>
      <c r="I932" s="13">
        <v>0.96</v>
      </c>
      <c r="J932">
        <v>11</v>
      </c>
      <c r="K932" s="2">
        <v>2.6620370370370372E-4</v>
      </c>
      <c r="L932" s="11">
        <v>108.10000000000001</v>
      </c>
      <c r="M932" s="3">
        <v>0.38333333333333336</v>
      </c>
      <c r="N932" s="4">
        <v>23</v>
      </c>
      <c r="O932" s="2">
        <v>1.8402777777777777E-3</v>
      </c>
      <c r="P932" s="9">
        <v>747.3</v>
      </c>
      <c r="Q932" s="3">
        <v>2.65</v>
      </c>
      <c r="R932" s="4">
        <v>159</v>
      </c>
      <c r="S932" s="3">
        <v>198</v>
      </c>
      <c r="T932" s="1">
        <v>0.70240000000000002</v>
      </c>
      <c r="U932" s="6">
        <v>198.07680000000002</v>
      </c>
    </row>
    <row r="933" spans="1:21" x14ac:dyDescent="0.35">
      <c r="A933">
        <v>932</v>
      </c>
      <c r="B933" s="5">
        <v>45128</v>
      </c>
      <c r="C933" s="4">
        <v>2023</v>
      </c>
      <c r="D933" s="4">
        <v>7</v>
      </c>
      <c r="E933" s="14">
        <v>45128</v>
      </c>
      <c r="F933" s="4">
        <v>21</v>
      </c>
      <c r="G933">
        <v>377</v>
      </c>
      <c r="H933">
        <v>341</v>
      </c>
      <c r="I933" s="13">
        <v>0.9</v>
      </c>
      <c r="J933">
        <v>36</v>
      </c>
      <c r="K933" s="2">
        <v>2.3148148148148149E-4</v>
      </c>
      <c r="L933" s="11">
        <v>113.66666666666666</v>
      </c>
      <c r="M933" s="3">
        <v>0.33333333333333331</v>
      </c>
      <c r="N933" s="4">
        <v>20</v>
      </c>
      <c r="O933" s="2">
        <v>1.6319444444444445E-3</v>
      </c>
      <c r="P933" s="9">
        <v>801.35</v>
      </c>
      <c r="Q933" s="3">
        <v>2.35</v>
      </c>
      <c r="R933" s="4">
        <v>141</v>
      </c>
      <c r="S933" s="3">
        <v>232</v>
      </c>
      <c r="T933" s="1">
        <v>0.68279999999999996</v>
      </c>
      <c r="U933" s="6">
        <v>232.8348</v>
      </c>
    </row>
    <row r="934" spans="1:21" x14ac:dyDescent="0.35">
      <c r="A934">
        <v>933</v>
      </c>
      <c r="B934" s="5">
        <v>45129</v>
      </c>
      <c r="C934" s="4">
        <v>2023</v>
      </c>
      <c r="D934" s="4">
        <v>7</v>
      </c>
      <c r="E934" s="14">
        <v>45129</v>
      </c>
      <c r="F934" s="4">
        <v>22</v>
      </c>
      <c r="G934">
        <v>196</v>
      </c>
      <c r="H934">
        <v>182</v>
      </c>
      <c r="I934" s="13">
        <v>0.92</v>
      </c>
      <c r="J934">
        <v>14</v>
      </c>
      <c r="K934" s="2">
        <v>3.2407407407407406E-4</v>
      </c>
      <c r="L934" s="11">
        <v>84.933333333333337</v>
      </c>
      <c r="M934" s="3">
        <v>0.46666666666666667</v>
      </c>
      <c r="N934" s="4">
        <v>28</v>
      </c>
      <c r="O934" s="2">
        <v>1.8171296296296297E-3</v>
      </c>
      <c r="P934" s="9">
        <v>476.23333333333335</v>
      </c>
      <c r="Q934" s="3">
        <v>2.6166666666666667</v>
      </c>
      <c r="R934" s="4">
        <v>157</v>
      </c>
      <c r="S934" s="3">
        <v>112</v>
      </c>
      <c r="T934" s="1">
        <v>0.61860000000000004</v>
      </c>
      <c r="U934" s="6">
        <v>112.5852</v>
      </c>
    </row>
    <row r="935" spans="1:21" x14ac:dyDescent="0.35">
      <c r="A935">
        <v>934</v>
      </c>
      <c r="B935" s="5">
        <v>45130</v>
      </c>
      <c r="C935" s="4">
        <v>2023</v>
      </c>
      <c r="D935" s="4">
        <v>7</v>
      </c>
      <c r="E935" s="14">
        <v>45130</v>
      </c>
      <c r="F935" s="4">
        <v>23</v>
      </c>
      <c r="G935">
        <v>192</v>
      </c>
      <c r="H935">
        <v>173</v>
      </c>
      <c r="I935" s="13">
        <v>0.9</v>
      </c>
      <c r="J935">
        <v>19</v>
      </c>
      <c r="K935" s="2">
        <v>3.8194444444444446E-4</v>
      </c>
      <c r="L935" s="11">
        <v>95.15</v>
      </c>
      <c r="M935" s="3">
        <v>0.55000000000000004</v>
      </c>
      <c r="N935" s="4">
        <v>33</v>
      </c>
      <c r="O935" s="2">
        <v>1.8981481481481482E-3</v>
      </c>
      <c r="P935" s="9">
        <v>472.86666666666667</v>
      </c>
      <c r="Q935" s="3">
        <v>2.7333333333333334</v>
      </c>
      <c r="R935" s="4">
        <v>164</v>
      </c>
      <c r="S935" s="3">
        <v>106</v>
      </c>
      <c r="T935" s="1">
        <v>0.61780000000000002</v>
      </c>
      <c r="U935" s="6">
        <v>106.8794</v>
      </c>
    </row>
    <row r="936" spans="1:21" x14ac:dyDescent="0.35">
      <c r="A936">
        <v>935</v>
      </c>
      <c r="B936" s="5">
        <v>45131</v>
      </c>
      <c r="C936" s="4">
        <v>2023</v>
      </c>
      <c r="D936" s="4">
        <v>7</v>
      </c>
      <c r="E936" s="14">
        <v>45131</v>
      </c>
      <c r="F936" s="4">
        <v>24</v>
      </c>
      <c r="G936">
        <v>185</v>
      </c>
      <c r="H936">
        <v>178</v>
      </c>
      <c r="I936" s="13">
        <v>0.96</v>
      </c>
      <c r="J936">
        <v>7</v>
      </c>
      <c r="K936" s="2">
        <v>1.9675925925925926E-4</v>
      </c>
      <c r="L936" s="11">
        <v>50.43333333333333</v>
      </c>
      <c r="M936" s="3">
        <v>0.28333333333333333</v>
      </c>
      <c r="N936" s="4">
        <v>17</v>
      </c>
      <c r="O936" s="2">
        <v>1.9212962962962964E-3</v>
      </c>
      <c r="P936" s="9">
        <v>492.46666666666664</v>
      </c>
      <c r="Q936" s="3">
        <v>2.7666666666666666</v>
      </c>
      <c r="R936" s="4">
        <v>166</v>
      </c>
      <c r="S936" s="3">
        <v>138</v>
      </c>
      <c r="T936" s="1">
        <v>0.7772</v>
      </c>
      <c r="U936" s="6">
        <v>138.3416</v>
      </c>
    </row>
    <row r="937" spans="1:21" x14ac:dyDescent="0.35">
      <c r="A937">
        <v>936</v>
      </c>
      <c r="B937" s="5">
        <v>45132</v>
      </c>
      <c r="C937" s="4">
        <v>2023</v>
      </c>
      <c r="D937" s="4">
        <v>7</v>
      </c>
      <c r="E937" s="14">
        <v>45132</v>
      </c>
      <c r="F937" s="4">
        <v>25</v>
      </c>
      <c r="G937">
        <v>27</v>
      </c>
      <c r="H937">
        <v>25</v>
      </c>
      <c r="I937" s="13">
        <v>0.92</v>
      </c>
      <c r="J937">
        <v>2</v>
      </c>
      <c r="K937" s="2">
        <v>2.0833333333333335E-4</v>
      </c>
      <c r="L937" s="11">
        <v>7.5</v>
      </c>
      <c r="M937" s="3">
        <v>0.3</v>
      </c>
      <c r="N937" s="4">
        <v>18</v>
      </c>
      <c r="O937" s="2">
        <v>1.4930555555555556E-3</v>
      </c>
      <c r="P937" s="9">
        <v>53.75</v>
      </c>
      <c r="Q937" s="3">
        <v>2.15</v>
      </c>
      <c r="R937" s="4">
        <v>129</v>
      </c>
      <c r="S937" s="3">
        <v>18</v>
      </c>
      <c r="T937" s="1">
        <v>0.74070000000000003</v>
      </c>
      <c r="U937" s="6">
        <v>18.517500000000002</v>
      </c>
    </row>
    <row r="938" spans="1:21" x14ac:dyDescent="0.35">
      <c r="A938">
        <v>937</v>
      </c>
      <c r="B938" s="5">
        <v>45133</v>
      </c>
      <c r="C938" s="4">
        <v>2023</v>
      </c>
      <c r="D938" s="4">
        <v>7</v>
      </c>
      <c r="E938" s="14">
        <v>45133</v>
      </c>
      <c r="F938" s="4">
        <v>26</v>
      </c>
      <c r="G938">
        <v>222</v>
      </c>
      <c r="H938">
        <v>214</v>
      </c>
      <c r="I938" s="13">
        <v>0.96</v>
      </c>
      <c r="J938">
        <v>8</v>
      </c>
      <c r="K938" s="2">
        <v>2.0833333333333335E-4</v>
      </c>
      <c r="L938" s="11">
        <v>64.2</v>
      </c>
      <c r="M938" s="3">
        <v>0.3</v>
      </c>
      <c r="N938" s="4">
        <v>18</v>
      </c>
      <c r="O938" s="2">
        <v>2.0486111111111113E-3</v>
      </c>
      <c r="P938" s="9">
        <v>631.30000000000007</v>
      </c>
      <c r="Q938" s="3">
        <v>2.95</v>
      </c>
      <c r="R938" s="4">
        <v>177</v>
      </c>
      <c r="S938" s="3">
        <v>159</v>
      </c>
      <c r="T938" s="1">
        <v>0.74660000000000004</v>
      </c>
      <c r="U938" s="6">
        <v>159.7724</v>
      </c>
    </row>
    <row r="939" spans="1:21" x14ac:dyDescent="0.35">
      <c r="A939">
        <v>938</v>
      </c>
      <c r="B939" s="5">
        <v>45134</v>
      </c>
      <c r="C939" s="4">
        <v>2023</v>
      </c>
      <c r="D939" s="4">
        <v>7</v>
      </c>
      <c r="E939" s="14">
        <v>45134</v>
      </c>
      <c r="F939" s="4">
        <v>27</v>
      </c>
      <c r="G939">
        <v>217</v>
      </c>
      <c r="H939">
        <v>198</v>
      </c>
      <c r="I939" s="13">
        <v>0.91</v>
      </c>
      <c r="J939">
        <v>19</v>
      </c>
      <c r="K939" s="2">
        <v>1.0416666666666667E-4</v>
      </c>
      <c r="L939" s="11">
        <v>29.7</v>
      </c>
      <c r="M939" s="3">
        <v>0.15</v>
      </c>
      <c r="N939" s="4">
        <v>9</v>
      </c>
      <c r="O939" s="2">
        <v>1.8865740740740742E-3</v>
      </c>
      <c r="P939" s="9">
        <v>537.9</v>
      </c>
      <c r="Q939" s="3">
        <v>2.7166666666666668</v>
      </c>
      <c r="R939" s="4">
        <v>163</v>
      </c>
      <c r="S939" s="3">
        <v>175</v>
      </c>
      <c r="T939" s="1">
        <v>0.88829999999999998</v>
      </c>
      <c r="U939" s="6">
        <v>175.88339999999999</v>
      </c>
    </row>
    <row r="940" spans="1:21" x14ac:dyDescent="0.35">
      <c r="A940">
        <v>939</v>
      </c>
      <c r="B940" s="5">
        <v>45135</v>
      </c>
      <c r="C940" s="4">
        <v>2023</v>
      </c>
      <c r="D940" s="4">
        <v>7</v>
      </c>
      <c r="E940" s="14">
        <v>45135</v>
      </c>
      <c r="F940" s="4">
        <v>28</v>
      </c>
      <c r="G940">
        <v>204</v>
      </c>
      <c r="H940">
        <v>197</v>
      </c>
      <c r="I940" s="13">
        <v>0.96</v>
      </c>
      <c r="J940">
        <v>7</v>
      </c>
      <c r="K940" s="2">
        <v>1.9675925925925926E-4</v>
      </c>
      <c r="L940" s="11">
        <v>55.816666666666663</v>
      </c>
      <c r="M940" s="3">
        <v>0.28333333333333333</v>
      </c>
      <c r="N940" s="4">
        <v>17</v>
      </c>
      <c r="O940" s="2">
        <v>1.8518518518518519E-3</v>
      </c>
      <c r="P940" s="9">
        <v>525.33333333333326</v>
      </c>
      <c r="Q940" s="3">
        <v>2.6666666666666665</v>
      </c>
      <c r="R940" s="4">
        <v>160</v>
      </c>
      <c r="S940" s="3">
        <v>157</v>
      </c>
      <c r="T940" s="1">
        <v>0.79700000000000004</v>
      </c>
      <c r="U940" s="6">
        <v>157.00900000000001</v>
      </c>
    </row>
    <row r="941" spans="1:21" x14ac:dyDescent="0.35">
      <c r="A941">
        <v>940</v>
      </c>
      <c r="B941" s="5">
        <v>45136</v>
      </c>
      <c r="C941" s="4">
        <v>2023</v>
      </c>
      <c r="D941" s="4">
        <v>7</v>
      </c>
      <c r="E941" s="14">
        <v>45136</v>
      </c>
      <c r="F941" s="4">
        <v>29</v>
      </c>
      <c r="G941">
        <v>191</v>
      </c>
      <c r="H941">
        <v>181</v>
      </c>
      <c r="I941" s="13">
        <v>0.94</v>
      </c>
      <c r="J941">
        <v>10</v>
      </c>
      <c r="K941" s="2">
        <v>1.3888888888888889E-4</v>
      </c>
      <c r="L941" s="11">
        <v>36.200000000000003</v>
      </c>
      <c r="M941" s="3">
        <v>0.2</v>
      </c>
      <c r="N941" s="4">
        <v>12</v>
      </c>
      <c r="O941" s="2">
        <v>1.9212962962962964E-3</v>
      </c>
      <c r="P941" s="9">
        <v>500.76666666666665</v>
      </c>
      <c r="Q941" s="3">
        <v>2.7666666666666666</v>
      </c>
      <c r="R941" s="4">
        <v>166</v>
      </c>
      <c r="S941" s="3">
        <v>157</v>
      </c>
      <c r="T941" s="1">
        <v>0.87229999999999996</v>
      </c>
      <c r="U941" s="6">
        <v>157.88630000000001</v>
      </c>
    </row>
    <row r="942" spans="1:21" x14ac:dyDescent="0.35">
      <c r="A942">
        <v>941</v>
      </c>
      <c r="B942" s="5">
        <v>45137</v>
      </c>
      <c r="C942" s="4">
        <v>2023</v>
      </c>
      <c r="D942" s="4">
        <v>7</v>
      </c>
      <c r="E942" s="14">
        <v>45137</v>
      </c>
      <c r="F942" s="4">
        <v>30</v>
      </c>
      <c r="G942">
        <v>176</v>
      </c>
      <c r="H942">
        <v>157</v>
      </c>
      <c r="I942" s="13">
        <v>0.89</v>
      </c>
      <c r="J942">
        <v>19</v>
      </c>
      <c r="K942" s="2">
        <v>1.9675925925925926E-4</v>
      </c>
      <c r="L942" s="11">
        <v>44.483333333333334</v>
      </c>
      <c r="M942" s="3">
        <v>0.28333333333333333</v>
      </c>
      <c r="N942" s="4">
        <v>17</v>
      </c>
      <c r="O942" s="2">
        <v>1.9791666666666668E-3</v>
      </c>
      <c r="P942" s="9">
        <v>447.45</v>
      </c>
      <c r="Q942" s="3">
        <v>2.85</v>
      </c>
      <c r="R942" s="4">
        <v>171</v>
      </c>
      <c r="S942" s="3">
        <v>115</v>
      </c>
      <c r="T942" s="1">
        <v>0.73529999999999995</v>
      </c>
      <c r="U942" s="6">
        <v>115.4421</v>
      </c>
    </row>
    <row r="943" spans="1:21" x14ac:dyDescent="0.35">
      <c r="A943">
        <v>942</v>
      </c>
      <c r="B943" s="5">
        <v>45138</v>
      </c>
      <c r="C943" s="4">
        <v>2023</v>
      </c>
      <c r="D943" s="4">
        <v>7</v>
      </c>
      <c r="E943" s="14">
        <v>45138</v>
      </c>
      <c r="F943" s="4">
        <v>31</v>
      </c>
      <c r="G943">
        <v>176</v>
      </c>
      <c r="H943">
        <v>163</v>
      </c>
      <c r="I943" s="13">
        <v>0.92</v>
      </c>
      <c r="J943">
        <v>13</v>
      </c>
      <c r="K943" s="2">
        <v>2.7777777777777778E-4</v>
      </c>
      <c r="L943" s="11">
        <v>65.2</v>
      </c>
      <c r="M943" s="3">
        <v>0.4</v>
      </c>
      <c r="N943" s="4">
        <v>24</v>
      </c>
      <c r="O943" s="2">
        <v>2.2106481481481482E-3</v>
      </c>
      <c r="P943" s="9">
        <v>518.88333333333333</v>
      </c>
      <c r="Q943" s="3">
        <v>3.1833333333333331</v>
      </c>
      <c r="R943" s="4">
        <v>191</v>
      </c>
      <c r="S943" s="3">
        <v>104</v>
      </c>
      <c r="T943" s="1">
        <v>0.64159999999999995</v>
      </c>
      <c r="U943" s="6">
        <v>104.5808</v>
      </c>
    </row>
    <row r="944" spans="1:21" x14ac:dyDescent="0.35">
      <c r="A944">
        <v>943</v>
      </c>
      <c r="B944" s="5">
        <v>45139</v>
      </c>
      <c r="C944" s="4">
        <v>2023</v>
      </c>
      <c r="D944" s="4">
        <v>8</v>
      </c>
      <c r="E944" s="14">
        <v>45139</v>
      </c>
      <c r="F944" s="4">
        <v>1</v>
      </c>
      <c r="G944">
        <v>26</v>
      </c>
      <c r="H944">
        <v>26</v>
      </c>
      <c r="I944" s="13">
        <v>1</v>
      </c>
      <c r="J944">
        <v>0</v>
      </c>
      <c r="K944" s="2">
        <v>2.7777777777777778E-4</v>
      </c>
      <c r="L944" s="11">
        <v>10.4</v>
      </c>
      <c r="M944" s="3">
        <v>0.4</v>
      </c>
      <c r="N944" s="4">
        <v>24</v>
      </c>
      <c r="O944" s="2">
        <v>2.1180555555555558E-3</v>
      </c>
      <c r="P944" s="9">
        <v>79.3</v>
      </c>
      <c r="Q944" s="3">
        <v>3.05</v>
      </c>
      <c r="R944" s="4">
        <v>183</v>
      </c>
      <c r="S944" s="3">
        <v>17</v>
      </c>
      <c r="T944" s="1">
        <v>0.69230000000000003</v>
      </c>
      <c r="U944" s="6">
        <v>17.9998</v>
      </c>
    </row>
    <row r="945" spans="1:21" x14ac:dyDescent="0.35">
      <c r="A945">
        <v>944</v>
      </c>
      <c r="B945" s="5">
        <v>45140</v>
      </c>
      <c r="C945" s="4">
        <v>2023</v>
      </c>
      <c r="D945" s="4">
        <v>8</v>
      </c>
      <c r="E945" s="14">
        <v>45140</v>
      </c>
      <c r="F945" s="4">
        <v>2</v>
      </c>
      <c r="G945">
        <v>170</v>
      </c>
      <c r="H945">
        <v>167</v>
      </c>
      <c r="I945" s="13">
        <v>0.98</v>
      </c>
      <c r="J945">
        <v>3</v>
      </c>
      <c r="K945" s="2">
        <v>1.8518518518518518E-4</v>
      </c>
      <c r="L945" s="11">
        <v>44.533333333333331</v>
      </c>
      <c r="M945" s="3">
        <v>0.26666666666666666</v>
      </c>
      <c r="N945" s="4">
        <v>16</v>
      </c>
      <c r="O945" s="2">
        <v>1.9328703703703704E-3</v>
      </c>
      <c r="P945" s="9">
        <v>464.81666666666666</v>
      </c>
      <c r="Q945" s="3">
        <v>2.7833333333333332</v>
      </c>
      <c r="R945" s="4">
        <v>167</v>
      </c>
      <c r="S945" s="3">
        <v>132</v>
      </c>
      <c r="T945" s="1">
        <v>0.79410000000000003</v>
      </c>
      <c r="U945" s="6">
        <v>132.6147</v>
      </c>
    </row>
    <row r="946" spans="1:21" x14ac:dyDescent="0.35">
      <c r="A946">
        <v>945</v>
      </c>
      <c r="B946" s="5">
        <v>45141</v>
      </c>
      <c r="C946" s="4">
        <v>2023</v>
      </c>
      <c r="D946" s="4">
        <v>8</v>
      </c>
      <c r="E946" s="14">
        <v>45141</v>
      </c>
      <c r="F946" s="4">
        <v>3</v>
      </c>
      <c r="G946">
        <v>154</v>
      </c>
      <c r="H946">
        <v>147</v>
      </c>
      <c r="I946" s="13">
        <v>0.95</v>
      </c>
      <c r="J946">
        <v>7</v>
      </c>
      <c r="K946" s="2">
        <v>2.4305555555555555E-4</v>
      </c>
      <c r="L946" s="11">
        <v>51.449999999999996</v>
      </c>
      <c r="M946" s="3">
        <v>0.35</v>
      </c>
      <c r="N946" s="4">
        <v>21</v>
      </c>
      <c r="O946" s="2">
        <v>2.1064814814814813E-3</v>
      </c>
      <c r="P946" s="9">
        <v>445.9</v>
      </c>
      <c r="Q946" s="3">
        <v>3.0333333333333332</v>
      </c>
      <c r="R946" s="4">
        <v>182</v>
      </c>
      <c r="S946" s="3">
        <v>110</v>
      </c>
      <c r="T946" s="1">
        <v>0.75160000000000005</v>
      </c>
      <c r="U946" s="6">
        <v>110.48520000000001</v>
      </c>
    </row>
    <row r="947" spans="1:21" x14ac:dyDescent="0.35">
      <c r="A947">
        <v>946</v>
      </c>
      <c r="B947" s="5">
        <v>45142</v>
      </c>
      <c r="C947" s="4">
        <v>2023</v>
      </c>
      <c r="D947" s="4">
        <v>8</v>
      </c>
      <c r="E947" s="14">
        <v>45142</v>
      </c>
      <c r="F947" s="4">
        <v>4</v>
      </c>
      <c r="G947">
        <v>165</v>
      </c>
      <c r="H947">
        <v>152</v>
      </c>
      <c r="I947" s="13">
        <v>0.92</v>
      </c>
      <c r="J947">
        <v>13</v>
      </c>
      <c r="K947" s="2">
        <v>1.9675925925925926E-4</v>
      </c>
      <c r="L947" s="11">
        <v>43.066666666666663</v>
      </c>
      <c r="M947" s="3">
        <v>0.28333333333333333</v>
      </c>
      <c r="N947" s="4">
        <v>17</v>
      </c>
      <c r="O947" s="2">
        <v>2.0601851851851853E-3</v>
      </c>
      <c r="P947" s="9">
        <v>450.93333333333334</v>
      </c>
      <c r="Q947" s="3">
        <v>2.9666666666666668</v>
      </c>
      <c r="R947" s="4">
        <v>178</v>
      </c>
      <c r="S947" s="3">
        <v>122</v>
      </c>
      <c r="T947" s="1">
        <v>0.8075</v>
      </c>
      <c r="U947" s="6">
        <v>122.74</v>
      </c>
    </row>
    <row r="948" spans="1:21" x14ac:dyDescent="0.35">
      <c r="A948">
        <v>947</v>
      </c>
      <c r="B948" s="5">
        <v>45143</v>
      </c>
      <c r="C948" s="4">
        <v>2023</v>
      </c>
      <c r="D948" s="4">
        <v>8</v>
      </c>
      <c r="E948" s="14">
        <v>45143</v>
      </c>
      <c r="F948" s="4">
        <v>5</v>
      </c>
      <c r="G948">
        <v>153</v>
      </c>
      <c r="H948">
        <v>143</v>
      </c>
      <c r="I948" s="13">
        <v>0.93</v>
      </c>
      <c r="J948">
        <v>10</v>
      </c>
      <c r="K948" s="2">
        <v>2.199074074074074E-4</v>
      </c>
      <c r="L948" s="11">
        <v>45.283333333333331</v>
      </c>
      <c r="M948" s="3">
        <v>0.31666666666666665</v>
      </c>
      <c r="N948" s="4">
        <v>19</v>
      </c>
      <c r="O948" s="2">
        <v>2.1412037037037038E-3</v>
      </c>
      <c r="P948" s="9">
        <v>440.91666666666669</v>
      </c>
      <c r="Q948" s="3">
        <v>3.0833333333333335</v>
      </c>
      <c r="R948" s="4">
        <v>185</v>
      </c>
      <c r="S948" s="3">
        <v>111</v>
      </c>
      <c r="T948" s="1">
        <v>0.77629999999999999</v>
      </c>
      <c r="U948" s="6">
        <v>111.01089999999999</v>
      </c>
    </row>
    <row r="949" spans="1:21" x14ac:dyDescent="0.35">
      <c r="A949">
        <v>948</v>
      </c>
      <c r="B949" s="5">
        <v>45144</v>
      </c>
      <c r="C949" s="4">
        <v>2023</v>
      </c>
      <c r="D949" s="4">
        <v>8</v>
      </c>
      <c r="E949" s="14">
        <v>45144</v>
      </c>
      <c r="F949" s="4">
        <v>6</v>
      </c>
      <c r="G949">
        <v>175</v>
      </c>
      <c r="H949">
        <v>169</v>
      </c>
      <c r="I949" s="13">
        <v>0.96</v>
      </c>
      <c r="J949">
        <v>6</v>
      </c>
      <c r="K949" s="2">
        <v>1.273148148148148E-4</v>
      </c>
      <c r="L949" s="11">
        <v>30.983333333333331</v>
      </c>
      <c r="M949" s="3">
        <v>0.18333333333333332</v>
      </c>
      <c r="N949" s="4">
        <v>11</v>
      </c>
      <c r="O949" s="2">
        <v>1.5856481481481481E-3</v>
      </c>
      <c r="P949" s="9">
        <v>385.88333333333333</v>
      </c>
      <c r="Q949" s="3">
        <v>2.2833333333333332</v>
      </c>
      <c r="R949" s="4">
        <v>137</v>
      </c>
      <c r="S949" s="3">
        <v>144</v>
      </c>
      <c r="T949" s="1">
        <v>0.85629999999999995</v>
      </c>
      <c r="U949" s="6">
        <v>144.71469999999999</v>
      </c>
    </row>
    <row r="950" spans="1:21" x14ac:dyDescent="0.35">
      <c r="A950">
        <v>949</v>
      </c>
      <c r="B950" s="5">
        <v>45145</v>
      </c>
      <c r="C950" s="4">
        <v>2023</v>
      </c>
      <c r="D950" s="4">
        <v>8</v>
      </c>
      <c r="E950" s="14">
        <v>45145</v>
      </c>
      <c r="F950" s="4">
        <v>7</v>
      </c>
      <c r="G950">
        <v>241</v>
      </c>
      <c r="H950">
        <v>214</v>
      </c>
      <c r="I950" s="13">
        <v>0.88</v>
      </c>
      <c r="J950">
        <v>27</v>
      </c>
      <c r="K950" s="2">
        <v>3.3564814814814812E-4</v>
      </c>
      <c r="L950" s="11">
        <v>103.43333333333334</v>
      </c>
      <c r="M950" s="3">
        <v>0.48333333333333334</v>
      </c>
      <c r="N950" s="4">
        <v>29</v>
      </c>
      <c r="O950" s="2">
        <v>2.0833333333333333E-3</v>
      </c>
      <c r="P950" s="9">
        <v>642</v>
      </c>
      <c r="Q950" s="3">
        <v>3</v>
      </c>
      <c r="R950" s="4">
        <v>180</v>
      </c>
      <c r="S950" s="3">
        <v>141</v>
      </c>
      <c r="T950" s="1">
        <v>0.6623</v>
      </c>
      <c r="U950" s="6">
        <v>141.73220000000001</v>
      </c>
    </row>
    <row r="951" spans="1:21" x14ac:dyDescent="0.35">
      <c r="A951">
        <v>950</v>
      </c>
      <c r="B951" s="5">
        <v>45146</v>
      </c>
      <c r="C951" s="4">
        <v>2023</v>
      </c>
      <c r="D951" s="4">
        <v>8</v>
      </c>
      <c r="E951" s="14">
        <v>45146</v>
      </c>
      <c r="F951" s="4">
        <v>8</v>
      </c>
      <c r="G951">
        <v>14</v>
      </c>
      <c r="H951">
        <v>14</v>
      </c>
      <c r="I951" s="13">
        <v>1</v>
      </c>
      <c r="J951">
        <v>0</v>
      </c>
      <c r="K951" s="2">
        <v>1.8518518518518518E-4</v>
      </c>
      <c r="L951" s="11">
        <v>3.7333333333333334</v>
      </c>
      <c r="M951" s="3">
        <v>0.26666666666666666</v>
      </c>
      <c r="N951" s="4">
        <v>16</v>
      </c>
      <c r="O951" s="2">
        <v>1.9212962962962964E-3</v>
      </c>
      <c r="P951" s="9">
        <v>38.733333333333334</v>
      </c>
      <c r="Q951" s="3">
        <v>2.7666666666666666</v>
      </c>
      <c r="R951" s="4">
        <v>166</v>
      </c>
      <c r="S951" s="3">
        <v>11</v>
      </c>
      <c r="T951" s="1">
        <v>0.85709999999999997</v>
      </c>
      <c r="U951" s="6">
        <v>11.9994</v>
      </c>
    </row>
    <row r="952" spans="1:21" x14ac:dyDescent="0.35">
      <c r="A952">
        <v>951</v>
      </c>
      <c r="B952" s="5">
        <v>45147</v>
      </c>
      <c r="C952" s="4">
        <v>2023</v>
      </c>
      <c r="D952" s="4">
        <v>8</v>
      </c>
      <c r="E952" s="14">
        <v>45147</v>
      </c>
      <c r="F952" s="4">
        <v>9</v>
      </c>
      <c r="G952">
        <v>57</v>
      </c>
      <c r="H952">
        <v>55</v>
      </c>
      <c r="I952" s="13">
        <v>0.96</v>
      </c>
      <c r="J952">
        <v>2</v>
      </c>
      <c r="K952" s="2">
        <v>1.3888888888888889E-4</v>
      </c>
      <c r="L952" s="11">
        <v>11</v>
      </c>
      <c r="M952" s="3">
        <v>0.2</v>
      </c>
      <c r="N952" s="4">
        <v>12</v>
      </c>
      <c r="O952" s="2">
        <v>1.7939814814814815E-3</v>
      </c>
      <c r="P952" s="9">
        <v>142.08333333333334</v>
      </c>
      <c r="Q952" s="3">
        <v>2.5833333333333335</v>
      </c>
      <c r="R952" s="4">
        <v>155</v>
      </c>
      <c r="S952" s="3">
        <v>47</v>
      </c>
      <c r="T952" s="1">
        <v>0.85960000000000003</v>
      </c>
      <c r="U952" s="6">
        <v>47.277999999999999</v>
      </c>
    </row>
    <row r="953" spans="1:21" x14ac:dyDescent="0.35">
      <c r="A953">
        <v>952</v>
      </c>
      <c r="B953" s="5">
        <v>45148</v>
      </c>
      <c r="C953" s="4">
        <v>2023</v>
      </c>
      <c r="D953" s="4">
        <v>8</v>
      </c>
      <c r="E953" s="14">
        <v>45148</v>
      </c>
      <c r="F953" s="4">
        <v>10</v>
      </c>
      <c r="G953">
        <v>954</v>
      </c>
      <c r="H953">
        <v>644</v>
      </c>
      <c r="I953" s="13">
        <v>0.67</v>
      </c>
      <c r="J953">
        <v>310</v>
      </c>
      <c r="K953" s="2">
        <v>8.564814814814815E-4</v>
      </c>
      <c r="L953" s="11">
        <v>794.26666666666665</v>
      </c>
      <c r="M953" s="3">
        <v>1.2333333333333334</v>
      </c>
      <c r="N953" s="4">
        <v>74</v>
      </c>
      <c r="O953" s="2">
        <v>1.4467592592592592E-3</v>
      </c>
      <c r="P953" s="9">
        <v>1341.6666666666667</v>
      </c>
      <c r="Q953" s="3">
        <v>2.0833333333333335</v>
      </c>
      <c r="R953" s="4">
        <v>125.00000000000001</v>
      </c>
      <c r="S953" s="3">
        <v>169</v>
      </c>
      <c r="T953" s="1">
        <v>0.26329999999999998</v>
      </c>
      <c r="U953" s="6">
        <v>169.56519999999998</v>
      </c>
    </row>
    <row r="954" spans="1:21" x14ac:dyDescent="0.35">
      <c r="A954">
        <v>953</v>
      </c>
      <c r="B954" s="5">
        <v>45149</v>
      </c>
      <c r="C954" s="4">
        <v>2023</v>
      </c>
      <c r="D954" s="4">
        <v>8</v>
      </c>
      <c r="E954" s="14">
        <v>45149</v>
      </c>
      <c r="F954" s="4">
        <v>11</v>
      </c>
      <c r="G954">
        <v>374</v>
      </c>
      <c r="H954">
        <v>344</v>
      </c>
      <c r="I954" s="13">
        <v>0.91</v>
      </c>
      <c r="J954">
        <v>30</v>
      </c>
      <c r="K954" s="2">
        <v>3.2407407407407406E-4</v>
      </c>
      <c r="L954" s="11">
        <v>160.53333333333333</v>
      </c>
      <c r="M954" s="3">
        <v>0.46666666666666667</v>
      </c>
      <c r="N954" s="4">
        <v>28</v>
      </c>
      <c r="O954" s="2">
        <v>2.1180555555555558E-3</v>
      </c>
      <c r="P954" s="9">
        <v>1049.2</v>
      </c>
      <c r="Q954" s="3">
        <v>3.05</v>
      </c>
      <c r="R954" s="4">
        <v>183</v>
      </c>
      <c r="S954" s="3">
        <v>212</v>
      </c>
      <c r="T954" s="1">
        <v>0.61850000000000005</v>
      </c>
      <c r="U954" s="6">
        <v>212.76400000000001</v>
      </c>
    </row>
    <row r="955" spans="1:21" x14ac:dyDescent="0.35">
      <c r="A955">
        <v>954</v>
      </c>
      <c r="B955" s="5">
        <v>45150</v>
      </c>
      <c r="C955" s="4">
        <v>2023</v>
      </c>
      <c r="D955" s="4">
        <v>8</v>
      </c>
      <c r="E955" s="14">
        <v>45150</v>
      </c>
      <c r="F955" s="4">
        <v>12</v>
      </c>
      <c r="G955">
        <v>265</v>
      </c>
      <c r="H955">
        <v>245</v>
      </c>
      <c r="I955" s="13">
        <v>0.92</v>
      </c>
      <c r="J955">
        <v>20</v>
      </c>
      <c r="K955" s="2">
        <v>3.5879629629629629E-4</v>
      </c>
      <c r="L955" s="11">
        <v>126.58333333333334</v>
      </c>
      <c r="M955" s="3">
        <v>0.51666666666666672</v>
      </c>
      <c r="N955" s="4">
        <v>31.000000000000004</v>
      </c>
      <c r="O955" s="2">
        <v>2.1412037037037038E-3</v>
      </c>
      <c r="P955" s="9">
        <v>755.41666666666674</v>
      </c>
      <c r="Q955" s="3">
        <v>3.0833333333333335</v>
      </c>
      <c r="R955" s="4">
        <v>185</v>
      </c>
      <c r="S955" s="3">
        <v>138</v>
      </c>
      <c r="T955" s="1">
        <v>0.56699999999999995</v>
      </c>
      <c r="U955" s="6">
        <v>138.91499999999999</v>
      </c>
    </row>
    <row r="956" spans="1:21" x14ac:dyDescent="0.35">
      <c r="A956">
        <v>955</v>
      </c>
      <c r="B956" s="5">
        <v>45151</v>
      </c>
      <c r="C956" s="4">
        <v>2023</v>
      </c>
      <c r="D956" s="4">
        <v>8</v>
      </c>
      <c r="E956" s="14">
        <v>45151</v>
      </c>
      <c r="F956" s="4">
        <v>13</v>
      </c>
      <c r="G956">
        <v>222</v>
      </c>
      <c r="H956">
        <v>205</v>
      </c>
      <c r="I956" s="13">
        <v>0.92</v>
      </c>
      <c r="J956">
        <v>17</v>
      </c>
      <c r="K956" s="2">
        <v>2.3148148148148149E-4</v>
      </c>
      <c r="L956" s="11">
        <v>68.333333333333329</v>
      </c>
      <c r="M956" s="3">
        <v>0.33333333333333331</v>
      </c>
      <c r="N956" s="4">
        <v>20</v>
      </c>
      <c r="O956" s="2">
        <v>2.2222222222222222E-3</v>
      </c>
      <c r="P956" s="9">
        <v>656</v>
      </c>
      <c r="Q956" s="3">
        <v>3.2</v>
      </c>
      <c r="R956" s="4">
        <v>192</v>
      </c>
      <c r="S956" s="3">
        <v>149</v>
      </c>
      <c r="T956" s="1">
        <v>0.72689999999999999</v>
      </c>
      <c r="U956" s="6">
        <v>149.0145</v>
      </c>
    </row>
    <row r="957" spans="1:21" x14ac:dyDescent="0.35">
      <c r="A957">
        <v>956</v>
      </c>
      <c r="B957" s="5">
        <v>45152</v>
      </c>
      <c r="C957" s="4">
        <v>2023</v>
      </c>
      <c r="D957" s="4">
        <v>8</v>
      </c>
      <c r="E957" s="14">
        <v>45152</v>
      </c>
      <c r="F957" s="4">
        <v>14</v>
      </c>
      <c r="G957">
        <v>203</v>
      </c>
      <c r="H957">
        <v>192</v>
      </c>
      <c r="I957" s="13">
        <v>0.94</v>
      </c>
      <c r="J957">
        <v>11</v>
      </c>
      <c r="K957" s="2">
        <v>3.1250000000000001E-4</v>
      </c>
      <c r="L957" s="11">
        <v>86.4</v>
      </c>
      <c r="M957" s="3">
        <v>0.45</v>
      </c>
      <c r="N957" s="4">
        <v>27</v>
      </c>
      <c r="O957" s="2">
        <v>2.1296296296296298E-3</v>
      </c>
      <c r="P957" s="9">
        <v>588.80000000000007</v>
      </c>
      <c r="Q957" s="3">
        <v>3.0666666666666669</v>
      </c>
      <c r="R957" s="4">
        <v>184</v>
      </c>
      <c r="S957" s="3">
        <v>131</v>
      </c>
      <c r="T957" s="1">
        <v>0.68659999999999999</v>
      </c>
      <c r="U957" s="6">
        <v>131.8272</v>
      </c>
    </row>
    <row r="958" spans="1:21" x14ac:dyDescent="0.35">
      <c r="A958">
        <v>957</v>
      </c>
      <c r="B958" s="5">
        <v>45153</v>
      </c>
      <c r="C958" s="4">
        <v>2023</v>
      </c>
      <c r="D958" s="4">
        <v>8</v>
      </c>
      <c r="E958" s="14">
        <v>45153</v>
      </c>
      <c r="F958" s="4">
        <v>15</v>
      </c>
      <c r="G958">
        <v>33</v>
      </c>
      <c r="H958">
        <v>31</v>
      </c>
      <c r="I958" s="13">
        <v>0.93</v>
      </c>
      <c r="J958">
        <v>2</v>
      </c>
      <c r="K958" s="2">
        <v>3.3564814814814812E-4</v>
      </c>
      <c r="L958" s="11">
        <v>14.983333333333334</v>
      </c>
      <c r="M958" s="3">
        <v>0.48333333333333334</v>
      </c>
      <c r="N958" s="4">
        <v>29</v>
      </c>
      <c r="O958" s="2">
        <v>1.5625000000000001E-3</v>
      </c>
      <c r="P958" s="9">
        <v>69.75</v>
      </c>
      <c r="Q958" s="3">
        <v>2.25</v>
      </c>
      <c r="R958" s="4">
        <v>135</v>
      </c>
      <c r="S958" s="3">
        <v>24</v>
      </c>
      <c r="T958" s="1">
        <v>0.78129999999999999</v>
      </c>
      <c r="U958" s="6">
        <v>24.220299999999998</v>
      </c>
    </row>
    <row r="959" spans="1:21" x14ac:dyDescent="0.35">
      <c r="A959">
        <v>958</v>
      </c>
      <c r="B959" s="5">
        <v>45154</v>
      </c>
      <c r="C959" s="4">
        <v>2023</v>
      </c>
      <c r="D959" s="4">
        <v>8</v>
      </c>
      <c r="E959" s="14">
        <v>45154</v>
      </c>
      <c r="F959" s="4">
        <v>16</v>
      </c>
      <c r="G959">
        <v>220</v>
      </c>
      <c r="H959">
        <v>195</v>
      </c>
      <c r="I959" s="13">
        <v>0.88</v>
      </c>
      <c r="J959">
        <v>25</v>
      </c>
      <c r="K959" s="2">
        <v>3.2407407407407406E-4</v>
      </c>
      <c r="L959" s="11">
        <v>91</v>
      </c>
      <c r="M959" s="3">
        <v>0.46666666666666667</v>
      </c>
      <c r="N959" s="4">
        <v>28</v>
      </c>
      <c r="O959" s="2">
        <v>1.9097222222222222E-3</v>
      </c>
      <c r="P959" s="9">
        <v>536.25</v>
      </c>
      <c r="Q959" s="3">
        <v>2.75</v>
      </c>
      <c r="R959" s="4">
        <v>165</v>
      </c>
      <c r="S959" s="3">
        <v>116</v>
      </c>
      <c r="T959" s="1">
        <v>0.59619999999999995</v>
      </c>
      <c r="U959" s="6">
        <v>116.25899999999999</v>
      </c>
    </row>
    <row r="960" spans="1:21" x14ac:dyDescent="0.35">
      <c r="A960">
        <v>959</v>
      </c>
      <c r="B960" s="5">
        <v>45155</v>
      </c>
      <c r="C960" s="4">
        <v>2023</v>
      </c>
      <c r="D960" s="4">
        <v>8</v>
      </c>
      <c r="E960" s="14">
        <v>45155</v>
      </c>
      <c r="F960" s="4">
        <v>17</v>
      </c>
      <c r="G960">
        <v>185</v>
      </c>
      <c r="H960">
        <v>177</v>
      </c>
      <c r="I960" s="13">
        <v>0.95</v>
      </c>
      <c r="J960">
        <v>8</v>
      </c>
      <c r="K960" s="2">
        <v>1.8518518518518518E-4</v>
      </c>
      <c r="L960" s="11">
        <v>47.2</v>
      </c>
      <c r="M960" s="3">
        <v>0.26666666666666666</v>
      </c>
      <c r="N960" s="4">
        <v>16</v>
      </c>
      <c r="O960" s="2">
        <v>1.7708333333333332E-3</v>
      </c>
      <c r="P960" s="9">
        <v>451.34999999999997</v>
      </c>
      <c r="Q960" s="3">
        <v>2.5499999999999998</v>
      </c>
      <c r="R960" s="4">
        <v>153</v>
      </c>
      <c r="S960" s="3">
        <v>141</v>
      </c>
      <c r="T960" s="1">
        <v>0.80110000000000003</v>
      </c>
      <c r="U960" s="6">
        <v>141.79470000000001</v>
      </c>
    </row>
    <row r="961" spans="1:21" x14ac:dyDescent="0.35">
      <c r="A961">
        <v>960</v>
      </c>
      <c r="B961" s="5">
        <v>45156</v>
      </c>
      <c r="C961" s="4">
        <v>2023</v>
      </c>
      <c r="D961" s="4">
        <v>8</v>
      </c>
      <c r="E961" s="14">
        <v>45156</v>
      </c>
      <c r="F961" s="4">
        <v>18</v>
      </c>
      <c r="G961">
        <v>203</v>
      </c>
      <c r="H961">
        <v>172</v>
      </c>
      <c r="I961" s="13">
        <v>0.84</v>
      </c>
      <c r="J961">
        <v>31</v>
      </c>
      <c r="K961" s="2">
        <v>3.9351851851851852E-4</v>
      </c>
      <c r="L961" s="11">
        <v>97.466666666666669</v>
      </c>
      <c r="M961" s="3">
        <v>0.56666666666666665</v>
      </c>
      <c r="N961" s="4">
        <v>34</v>
      </c>
      <c r="O961" s="2">
        <v>2.0023148148148148E-3</v>
      </c>
      <c r="P961" s="9">
        <v>495.93333333333334</v>
      </c>
      <c r="Q961" s="3">
        <v>2.8833333333333333</v>
      </c>
      <c r="R961" s="4">
        <v>173</v>
      </c>
      <c r="S961" s="3">
        <v>90</v>
      </c>
      <c r="T961" s="1">
        <v>0.52790000000000004</v>
      </c>
      <c r="U961" s="6">
        <v>90.7988</v>
      </c>
    </row>
    <row r="962" spans="1:21" x14ac:dyDescent="0.35">
      <c r="A962">
        <v>961</v>
      </c>
      <c r="B962" s="5">
        <v>45157</v>
      </c>
      <c r="C962" s="4">
        <v>2023</v>
      </c>
      <c r="D962" s="4">
        <v>8</v>
      </c>
      <c r="E962" s="14">
        <v>45157</v>
      </c>
      <c r="F962" s="4">
        <v>19</v>
      </c>
      <c r="G962">
        <v>218</v>
      </c>
      <c r="H962">
        <v>193</v>
      </c>
      <c r="I962" s="13">
        <v>0.88</v>
      </c>
      <c r="J962">
        <v>25</v>
      </c>
      <c r="K962" s="2">
        <v>3.9351851851851852E-4</v>
      </c>
      <c r="L962" s="11">
        <v>109.36666666666666</v>
      </c>
      <c r="M962" s="3">
        <v>0.56666666666666665</v>
      </c>
      <c r="N962" s="4">
        <v>34</v>
      </c>
      <c r="O962" s="2">
        <v>2.0601851851851853E-3</v>
      </c>
      <c r="P962" s="9">
        <v>572.56666666666672</v>
      </c>
      <c r="Q962" s="3">
        <v>2.9666666666666668</v>
      </c>
      <c r="R962" s="4">
        <v>178</v>
      </c>
      <c r="S962" s="3">
        <v>119</v>
      </c>
      <c r="T962" s="1">
        <v>0.61970000000000003</v>
      </c>
      <c r="U962" s="6">
        <v>119.60210000000001</v>
      </c>
    </row>
    <row r="963" spans="1:21" x14ac:dyDescent="0.35">
      <c r="A963">
        <v>962</v>
      </c>
      <c r="B963" s="5">
        <v>45158</v>
      </c>
      <c r="C963" s="4">
        <v>2023</v>
      </c>
      <c r="D963" s="4">
        <v>8</v>
      </c>
      <c r="E963" s="14">
        <v>45158</v>
      </c>
      <c r="F963" s="4">
        <v>20</v>
      </c>
      <c r="G963">
        <v>204</v>
      </c>
      <c r="H963">
        <v>194</v>
      </c>
      <c r="I963" s="13">
        <v>0.95</v>
      </c>
      <c r="J963">
        <v>10</v>
      </c>
      <c r="K963" s="2">
        <v>1.8518518518518518E-4</v>
      </c>
      <c r="L963" s="11">
        <v>51.733333333333334</v>
      </c>
      <c r="M963" s="3">
        <v>0.26666666666666666</v>
      </c>
      <c r="N963" s="4">
        <v>16</v>
      </c>
      <c r="O963" s="2">
        <v>1.9907407407407408E-3</v>
      </c>
      <c r="P963" s="9">
        <v>556.13333333333333</v>
      </c>
      <c r="Q963" s="3">
        <v>2.8666666666666667</v>
      </c>
      <c r="R963" s="4">
        <v>172</v>
      </c>
      <c r="S963" s="3">
        <v>157</v>
      </c>
      <c r="T963" s="1">
        <v>0.81310000000000004</v>
      </c>
      <c r="U963" s="6">
        <v>157.7414</v>
      </c>
    </row>
    <row r="964" spans="1:21" x14ac:dyDescent="0.35">
      <c r="A964">
        <v>963</v>
      </c>
      <c r="B964" s="5">
        <v>45159</v>
      </c>
      <c r="C964" s="4">
        <v>2023</v>
      </c>
      <c r="D964" s="4">
        <v>8</v>
      </c>
      <c r="E964" s="14">
        <v>45159</v>
      </c>
      <c r="F964" s="4">
        <v>21</v>
      </c>
      <c r="G964">
        <v>242</v>
      </c>
      <c r="H964">
        <v>211</v>
      </c>
      <c r="I964" s="13">
        <v>0.87</v>
      </c>
      <c r="J964">
        <v>31</v>
      </c>
      <c r="K964" s="2">
        <v>5.0925925925925921E-4</v>
      </c>
      <c r="L964" s="11">
        <v>154.73333333333332</v>
      </c>
      <c r="M964" s="3">
        <v>0.73333333333333328</v>
      </c>
      <c r="N964" s="4">
        <v>44</v>
      </c>
      <c r="O964" s="2">
        <v>2.0486111111111113E-3</v>
      </c>
      <c r="P964" s="9">
        <v>622.45000000000005</v>
      </c>
      <c r="Q964" s="3">
        <v>2.95</v>
      </c>
      <c r="R964" s="4">
        <v>177</v>
      </c>
      <c r="S964" s="3">
        <v>100</v>
      </c>
      <c r="T964" s="1">
        <v>0.47699999999999998</v>
      </c>
      <c r="U964" s="6">
        <v>100.64699999999999</v>
      </c>
    </row>
    <row r="965" spans="1:21" x14ac:dyDescent="0.35">
      <c r="A965">
        <v>964</v>
      </c>
      <c r="B965" s="5">
        <v>45160</v>
      </c>
      <c r="C965" s="4">
        <v>2023</v>
      </c>
      <c r="D965" s="4">
        <v>8</v>
      </c>
      <c r="E965" s="14">
        <v>45160</v>
      </c>
      <c r="F965" s="4">
        <v>22</v>
      </c>
      <c r="G965">
        <v>29</v>
      </c>
      <c r="H965">
        <v>29</v>
      </c>
      <c r="I965" s="13">
        <v>1</v>
      </c>
      <c r="J965">
        <v>0</v>
      </c>
      <c r="K965" s="2">
        <v>9.2592592592592588E-5</v>
      </c>
      <c r="L965" s="11">
        <v>3.8666666666666667</v>
      </c>
      <c r="M965" s="3">
        <v>0.13333333333333333</v>
      </c>
      <c r="N965" s="4">
        <v>8</v>
      </c>
      <c r="O965" s="2">
        <v>1.8518518518518519E-3</v>
      </c>
      <c r="P965" s="9">
        <v>77.333333333333329</v>
      </c>
      <c r="Q965" s="3">
        <v>2.6666666666666665</v>
      </c>
      <c r="R965" s="4">
        <v>160</v>
      </c>
      <c r="S965" s="3">
        <v>26</v>
      </c>
      <c r="T965" s="1">
        <v>0.89659999999999995</v>
      </c>
      <c r="U965" s="6">
        <v>26.0014</v>
      </c>
    </row>
    <row r="966" spans="1:21" x14ac:dyDescent="0.35">
      <c r="A966">
        <v>965</v>
      </c>
      <c r="B966" s="5">
        <v>45161</v>
      </c>
      <c r="C966" s="4">
        <v>2023</v>
      </c>
      <c r="D966" s="4">
        <v>8</v>
      </c>
      <c r="E966" s="14">
        <v>45161</v>
      </c>
      <c r="F966" s="4">
        <v>23</v>
      </c>
      <c r="G966">
        <v>171</v>
      </c>
      <c r="H966">
        <v>163</v>
      </c>
      <c r="I966" s="13">
        <v>0.95</v>
      </c>
      <c r="J966">
        <v>8</v>
      </c>
      <c r="K966" s="2">
        <v>2.7777777777777778E-4</v>
      </c>
      <c r="L966" s="11">
        <v>65.2</v>
      </c>
      <c r="M966" s="3">
        <v>0.4</v>
      </c>
      <c r="N966" s="4">
        <v>24</v>
      </c>
      <c r="O966" s="2">
        <v>2.0601851851851853E-3</v>
      </c>
      <c r="P966" s="9">
        <v>483.56666666666666</v>
      </c>
      <c r="Q966" s="3">
        <v>2.9666666666666668</v>
      </c>
      <c r="R966" s="4">
        <v>178</v>
      </c>
      <c r="S966" s="3">
        <v>112</v>
      </c>
      <c r="T966" s="1">
        <v>0.69230000000000003</v>
      </c>
      <c r="U966" s="6">
        <v>112.84490000000001</v>
      </c>
    </row>
    <row r="967" spans="1:21" x14ac:dyDescent="0.35">
      <c r="A967">
        <v>966</v>
      </c>
      <c r="B967" s="5">
        <v>45162</v>
      </c>
      <c r="C967" s="4">
        <v>2023</v>
      </c>
      <c r="D967" s="4">
        <v>8</v>
      </c>
      <c r="E967" s="14">
        <v>45162</v>
      </c>
      <c r="F967" s="4">
        <v>24</v>
      </c>
      <c r="G967">
        <v>190</v>
      </c>
      <c r="H967">
        <v>166</v>
      </c>
      <c r="I967" s="13">
        <v>0.87</v>
      </c>
      <c r="J967">
        <v>24</v>
      </c>
      <c r="K967" s="2">
        <v>5.3240740740740744E-4</v>
      </c>
      <c r="L967" s="11">
        <v>127.26666666666668</v>
      </c>
      <c r="M967" s="3">
        <v>0.76666666666666672</v>
      </c>
      <c r="N967" s="4">
        <v>46</v>
      </c>
      <c r="O967" s="2">
        <v>2.0717592592592593E-3</v>
      </c>
      <c r="P967" s="9">
        <v>495.23333333333335</v>
      </c>
      <c r="Q967" s="3">
        <v>2.9833333333333334</v>
      </c>
      <c r="R967" s="4">
        <v>179</v>
      </c>
      <c r="S967" s="3">
        <v>70</v>
      </c>
      <c r="T967" s="1">
        <v>0.42249999999999999</v>
      </c>
      <c r="U967" s="6">
        <v>70.134999999999991</v>
      </c>
    </row>
    <row r="968" spans="1:21" x14ac:dyDescent="0.35">
      <c r="A968">
        <v>967</v>
      </c>
      <c r="B968" s="5">
        <v>45163</v>
      </c>
      <c r="C968" s="4">
        <v>2023</v>
      </c>
      <c r="D968" s="4">
        <v>8</v>
      </c>
      <c r="E968" s="14">
        <v>45163</v>
      </c>
      <c r="F968" s="4">
        <v>25</v>
      </c>
      <c r="G968">
        <v>221</v>
      </c>
      <c r="H968">
        <v>196</v>
      </c>
      <c r="I968" s="13">
        <v>0.88</v>
      </c>
      <c r="J968">
        <v>25</v>
      </c>
      <c r="K968" s="2">
        <v>3.8194444444444446E-4</v>
      </c>
      <c r="L968" s="11">
        <v>107.80000000000001</v>
      </c>
      <c r="M968" s="3">
        <v>0.55000000000000004</v>
      </c>
      <c r="N968" s="4">
        <v>33</v>
      </c>
      <c r="O968" s="2">
        <v>2.0486111111111113E-3</v>
      </c>
      <c r="P968" s="9">
        <v>578.20000000000005</v>
      </c>
      <c r="Q968" s="3">
        <v>2.95</v>
      </c>
      <c r="R968" s="4">
        <v>177</v>
      </c>
      <c r="S968" s="3">
        <v>105</v>
      </c>
      <c r="T968" s="1">
        <v>0.53669999999999995</v>
      </c>
      <c r="U968" s="6">
        <v>105.19319999999999</v>
      </c>
    </row>
    <row r="969" spans="1:21" x14ac:dyDescent="0.35">
      <c r="A969">
        <v>968</v>
      </c>
      <c r="B969" s="5">
        <v>45164</v>
      </c>
      <c r="C969" s="4">
        <v>2023</v>
      </c>
      <c r="D969" s="4">
        <v>8</v>
      </c>
      <c r="E969" s="14">
        <v>45164</v>
      </c>
      <c r="F969" s="4">
        <v>26</v>
      </c>
      <c r="G969">
        <v>297</v>
      </c>
      <c r="H969">
        <v>241</v>
      </c>
      <c r="I969" s="13">
        <v>0.81</v>
      </c>
      <c r="J969">
        <v>56</v>
      </c>
      <c r="K969" s="2">
        <v>5.6712962962962967E-4</v>
      </c>
      <c r="L969" s="11">
        <v>196.81666666666666</v>
      </c>
      <c r="M969" s="3">
        <v>0.81666666666666665</v>
      </c>
      <c r="N969" s="4">
        <v>49</v>
      </c>
      <c r="O969" s="2">
        <v>2.2106481481481482E-3</v>
      </c>
      <c r="P969" s="9">
        <v>767.18333333333328</v>
      </c>
      <c r="Q969" s="3">
        <v>3.1833333333333331</v>
      </c>
      <c r="R969" s="4">
        <v>191</v>
      </c>
      <c r="S969" s="3">
        <v>108</v>
      </c>
      <c r="T969" s="1">
        <v>0.44829999999999998</v>
      </c>
      <c r="U969" s="6">
        <v>108.04029999999999</v>
      </c>
    </row>
    <row r="970" spans="1:21" x14ac:dyDescent="0.35">
      <c r="A970">
        <v>969</v>
      </c>
      <c r="B970" s="5">
        <v>45165</v>
      </c>
      <c r="C970" s="4">
        <v>2023</v>
      </c>
      <c r="D970" s="4">
        <v>8</v>
      </c>
      <c r="E970" s="14">
        <v>45165</v>
      </c>
      <c r="F970" s="4">
        <v>27</v>
      </c>
      <c r="G970">
        <v>233</v>
      </c>
      <c r="H970">
        <v>214</v>
      </c>
      <c r="I970" s="13">
        <v>0.91</v>
      </c>
      <c r="J970">
        <v>19</v>
      </c>
      <c r="K970" s="2">
        <v>3.0092592592592595E-4</v>
      </c>
      <c r="L970" s="11">
        <v>92.733333333333334</v>
      </c>
      <c r="M970" s="3">
        <v>0.43333333333333335</v>
      </c>
      <c r="N970" s="4">
        <v>26</v>
      </c>
      <c r="O970" s="2">
        <v>1.9560185185185184E-3</v>
      </c>
      <c r="P970" s="9">
        <v>602.76666666666665</v>
      </c>
      <c r="Q970" s="3">
        <v>2.8166666666666664</v>
      </c>
      <c r="R970" s="4">
        <v>169</v>
      </c>
      <c r="S970" s="3">
        <v>133</v>
      </c>
      <c r="T970" s="1">
        <v>0.625</v>
      </c>
      <c r="U970" s="6">
        <v>133.75</v>
      </c>
    </row>
    <row r="971" spans="1:21" x14ac:dyDescent="0.35">
      <c r="A971">
        <v>970</v>
      </c>
      <c r="B971" s="5">
        <v>45166</v>
      </c>
      <c r="C971" s="4">
        <v>2023</v>
      </c>
      <c r="D971" s="4">
        <v>8</v>
      </c>
      <c r="E971" s="14">
        <v>45166</v>
      </c>
      <c r="F971" s="4">
        <v>28</v>
      </c>
      <c r="G971">
        <v>198</v>
      </c>
      <c r="H971">
        <v>191</v>
      </c>
      <c r="I971" s="13">
        <v>0.96</v>
      </c>
      <c r="J971">
        <v>7</v>
      </c>
      <c r="K971" s="2">
        <v>1.6203703703703703E-4</v>
      </c>
      <c r="L971" s="11">
        <v>44.56666666666667</v>
      </c>
      <c r="M971" s="3">
        <v>0.23333333333333334</v>
      </c>
      <c r="N971" s="4">
        <v>14</v>
      </c>
      <c r="O971" s="2">
        <v>2.0949074074074073E-3</v>
      </c>
      <c r="P971" s="9">
        <v>576.18333333333328</v>
      </c>
      <c r="Q971" s="3">
        <v>3.0166666666666666</v>
      </c>
      <c r="R971" s="4">
        <v>181</v>
      </c>
      <c r="S971" s="3">
        <v>158</v>
      </c>
      <c r="T971" s="1">
        <v>0.82740000000000002</v>
      </c>
      <c r="U971" s="6">
        <v>158.0334</v>
      </c>
    </row>
    <row r="972" spans="1:21" x14ac:dyDescent="0.35">
      <c r="A972">
        <v>971</v>
      </c>
      <c r="B972" s="5">
        <v>45167</v>
      </c>
      <c r="C972" s="4">
        <v>2023</v>
      </c>
      <c r="D972" s="4">
        <v>8</v>
      </c>
      <c r="E972" s="14">
        <v>45167</v>
      </c>
      <c r="F972" s="4">
        <v>29</v>
      </c>
      <c r="G972">
        <v>15</v>
      </c>
      <c r="H972">
        <v>15</v>
      </c>
      <c r="I972" s="13">
        <v>1</v>
      </c>
      <c r="J972">
        <v>0</v>
      </c>
      <c r="K972" s="2">
        <v>4.6296296296296294E-5</v>
      </c>
      <c r="L972" s="11">
        <v>1</v>
      </c>
      <c r="M972" s="3">
        <v>6.6666666666666666E-2</v>
      </c>
      <c r="N972" s="4">
        <v>4</v>
      </c>
      <c r="O972" s="2">
        <v>2.3032407407407407E-3</v>
      </c>
      <c r="P972" s="9">
        <v>49.75</v>
      </c>
      <c r="Q972" s="3">
        <v>3.3166666666666664</v>
      </c>
      <c r="R972" s="4">
        <v>199</v>
      </c>
      <c r="S972" s="3">
        <v>15</v>
      </c>
      <c r="T972" s="1">
        <v>1</v>
      </c>
      <c r="U972" s="6">
        <v>15</v>
      </c>
    </row>
    <row r="973" spans="1:21" x14ac:dyDescent="0.35">
      <c r="A973">
        <v>972</v>
      </c>
      <c r="B973" s="5">
        <v>45168</v>
      </c>
      <c r="C973" s="4">
        <v>2023</v>
      </c>
      <c r="D973" s="4">
        <v>8</v>
      </c>
      <c r="E973" s="14">
        <v>45168</v>
      </c>
      <c r="F973" s="4">
        <v>30</v>
      </c>
      <c r="G973">
        <v>27</v>
      </c>
      <c r="H973">
        <v>25</v>
      </c>
      <c r="I973" s="13">
        <v>0.92</v>
      </c>
      <c r="J973">
        <v>2</v>
      </c>
      <c r="K973" s="2">
        <v>9.2592592592592588E-5</v>
      </c>
      <c r="L973" s="11">
        <v>3.3333333333333335</v>
      </c>
      <c r="M973" s="3">
        <v>0.13333333333333333</v>
      </c>
      <c r="N973" s="4">
        <v>8</v>
      </c>
      <c r="O973" s="2">
        <v>1.7824074074074075E-3</v>
      </c>
      <c r="P973" s="9">
        <v>64.166666666666657</v>
      </c>
      <c r="Q973" s="3">
        <v>2.5666666666666664</v>
      </c>
      <c r="R973" s="4">
        <v>154</v>
      </c>
      <c r="S973" s="3">
        <v>22</v>
      </c>
      <c r="T973" s="1">
        <v>0.88890000000000002</v>
      </c>
      <c r="U973" s="6">
        <v>22.2225</v>
      </c>
    </row>
    <row r="974" spans="1:21" x14ac:dyDescent="0.35">
      <c r="A974">
        <v>973</v>
      </c>
      <c r="B974" s="5">
        <v>45169</v>
      </c>
      <c r="C974" s="4">
        <v>2023</v>
      </c>
      <c r="D974" s="4">
        <v>8</v>
      </c>
      <c r="E974" s="14">
        <v>45169</v>
      </c>
      <c r="F974" s="4">
        <v>31</v>
      </c>
      <c r="G974">
        <v>7</v>
      </c>
      <c r="H974">
        <v>6</v>
      </c>
      <c r="I974" s="13">
        <v>0.85</v>
      </c>
      <c r="J974">
        <v>1</v>
      </c>
      <c r="K974" s="2">
        <v>3.4722222222222222E-5</v>
      </c>
      <c r="L974" s="11">
        <v>0.30000000000000004</v>
      </c>
      <c r="M974" s="3">
        <v>0.05</v>
      </c>
      <c r="N974" s="4">
        <v>3</v>
      </c>
      <c r="O974" s="2">
        <v>3.3333333333333335E-3</v>
      </c>
      <c r="P974" s="9">
        <v>28.799999999999997</v>
      </c>
      <c r="Q974" s="3">
        <v>4.8</v>
      </c>
      <c r="R974" s="4">
        <v>288</v>
      </c>
      <c r="S974" s="3">
        <v>5</v>
      </c>
      <c r="T974" s="1">
        <v>0.85709999999999997</v>
      </c>
      <c r="U974" s="6">
        <v>5.1425999999999998</v>
      </c>
    </row>
    <row r="975" spans="1:21" x14ac:dyDescent="0.35">
      <c r="A975">
        <v>974</v>
      </c>
      <c r="B975" s="5">
        <v>45170</v>
      </c>
      <c r="C975" s="4">
        <v>2023</v>
      </c>
      <c r="D975" s="4">
        <v>9</v>
      </c>
      <c r="E975" s="14">
        <v>45170</v>
      </c>
      <c r="F975" s="4">
        <v>1</v>
      </c>
      <c r="G975">
        <v>169</v>
      </c>
      <c r="H975">
        <v>144</v>
      </c>
      <c r="I975" s="13">
        <v>0.85</v>
      </c>
      <c r="J975">
        <v>25</v>
      </c>
      <c r="K975" s="2">
        <v>3.8194444444444446E-4</v>
      </c>
      <c r="L975" s="11">
        <v>79.2</v>
      </c>
      <c r="M975" s="3">
        <v>0.55000000000000004</v>
      </c>
      <c r="N975" s="4">
        <v>33</v>
      </c>
      <c r="O975" s="2">
        <v>1.8055555555555555E-3</v>
      </c>
      <c r="P975" s="9">
        <v>374.40000000000003</v>
      </c>
      <c r="Q975" s="3">
        <v>2.6</v>
      </c>
      <c r="R975" s="4">
        <v>156</v>
      </c>
      <c r="S975" s="3">
        <v>81</v>
      </c>
      <c r="T975" s="1">
        <v>0.56359999999999999</v>
      </c>
      <c r="U975" s="6">
        <v>81.1584</v>
      </c>
    </row>
    <row r="976" spans="1:21" x14ac:dyDescent="0.35">
      <c r="A976">
        <v>975</v>
      </c>
      <c r="B976" s="5">
        <v>45171</v>
      </c>
      <c r="C976" s="4">
        <v>2023</v>
      </c>
      <c r="D976" s="4">
        <v>9</v>
      </c>
      <c r="E976" s="14">
        <v>45171</v>
      </c>
      <c r="F976" s="4">
        <v>2</v>
      </c>
      <c r="G976">
        <v>224</v>
      </c>
      <c r="H976">
        <v>206</v>
      </c>
      <c r="I976" s="13">
        <v>0.91</v>
      </c>
      <c r="J976">
        <v>18</v>
      </c>
      <c r="K976" s="2">
        <v>2.3148148148148149E-4</v>
      </c>
      <c r="L976" s="11">
        <v>68.666666666666657</v>
      </c>
      <c r="M976" s="3">
        <v>0.33333333333333331</v>
      </c>
      <c r="N976" s="4">
        <v>20</v>
      </c>
      <c r="O976" s="2">
        <v>1.7939814814814815E-3</v>
      </c>
      <c r="P976" s="9">
        <v>532.16666666666674</v>
      </c>
      <c r="Q976" s="3">
        <v>2.5833333333333335</v>
      </c>
      <c r="R976" s="4">
        <v>155</v>
      </c>
      <c r="S976" s="3">
        <v>145</v>
      </c>
      <c r="T976" s="1">
        <v>0.70720000000000005</v>
      </c>
      <c r="U976" s="6">
        <v>145.6832</v>
      </c>
    </row>
    <row r="977" spans="1:21" x14ac:dyDescent="0.35">
      <c r="A977">
        <v>976</v>
      </c>
      <c r="B977" s="5">
        <v>45172</v>
      </c>
      <c r="C977" s="4">
        <v>2023</v>
      </c>
      <c r="D977" s="4">
        <v>9</v>
      </c>
      <c r="E977" s="14">
        <v>45172</v>
      </c>
      <c r="F977" s="4">
        <v>3</v>
      </c>
      <c r="G977">
        <v>170</v>
      </c>
      <c r="H977">
        <v>160</v>
      </c>
      <c r="I977" s="13">
        <v>0.94</v>
      </c>
      <c r="J977">
        <v>10</v>
      </c>
      <c r="K977" s="2">
        <v>3.2407407407407406E-4</v>
      </c>
      <c r="L977" s="11">
        <v>74.666666666666671</v>
      </c>
      <c r="M977" s="3">
        <v>0.46666666666666667</v>
      </c>
      <c r="N977" s="4">
        <v>28</v>
      </c>
      <c r="O977" s="2">
        <v>2.0949074074074073E-3</v>
      </c>
      <c r="P977" s="9">
        <v>482.66666666666663</v>
      </c>
      <c r="Q977" s="3">
        <v>3.0166666666666666</v>
      </c>
      <c r="R977" s="4">
        <v>181</v>
      </c>
      <c r="S977" s="3">
        <v>99</v>
      </c>
      <c r="T977" s="1">
        <v>0.62350000000000005</v>
      </c>
      <c r="U977" s="6">
        <v>99.76</v>
      </c>
    </row>
    <row r="978" spans="1:21" x14ac:dyDescent="0.35">
      <c r="A978">
        <v>977</v>
      </c>
      <c r="B978" s="5">
        <v>45173</v>
      </c>
      <c r="C978" s="4">
        <v>2023</v>
      </c>
      <c r="D978" s="4">
        <v>9</v>
      </c>
      <c r="E978" s="14">
        <v>45173</v>
      </c>
      <c r="F978" s="4">
        <v>4</v>
      </c>
      <c r="G978">
        <v>161</v>
      </c>
      <c r="H978">
        <v>149</v>
      </c>
      <c r="I978" s="13">
        <v>0.92</v>
      </c>
      <c r="J978">
        <v>12</v>
      </c>
      <c r="K978" s="2">
        <v>2.7777777777777778E-4</v>
      </c>
      <c r="L978" s="11">
        <v>59.6</v>
      </c>
      <c r="M978" s="3">
        <v>0.4</v>
      </c>
      <c r="N978" s="4">
        <v>24</v>
      </c>
      <c r="O978" s="2">
        <v>2.1759259259259258E-3</v>
      </c>
      <c r="P978" s="9">
        <v>466.86666666666667</v>
      </c>
      <c r="Q978" s="3">
        <v>3.1333333333333333</v>
      </c>
      <c r="R978" s="4">
        <v>188</v>
      </c>
      <c r="S978" s="3">
        <v>101</v>
      </c>
      <c r="T978" s="1">
        <v>0.68130000000000002</v>
      </c>
      <c r="U978" s="6">
        <v>101.5137</v>
      </c>
    </row>
    <row r="979" spans="1:21" x14ac:dyDescent="0.35">
      <c r="A979">
        <v>978</v>
      </c>
      <c r="B979" s="5">
        <v>45174</v>
      </c>
      <c r="C979" s="4">
        <v>2023</v>
      </c>
      <c r="D979" s="4">
        <v>9</v>
      </c>
      <c r="E979" s="14">
        <v>45174</v>
      </c>
      <c r="F979" s="4">
        <v>5</v>
      </c>
      <c r="G979">
        <v>37</v>
      </c>
      <c r="H979">
        <v>35</v>
      </c>
      <c r="I979" s="13">
        <v>0.94</v>
      </c>
      <c r="J979">
        <v>2</v>
      </c>
      <c r="K979" s="2">
        <v>1.3888888888888889E-4</v>
      </c>
      <c r="L979" s="11">
        <v>7</v>
      </c>
      <c r="M979" s="3">
        <v>0.2</v>
      </c>
      <c r="N979" s="4">
        <v>12</v>
      </c>
      <c r="O979" s="2">
        <v>1.9444444444444444E-3</v>
      </c>
      <c r="P979" s="9">
        <v>98</v>
      </c>
      <c r="Q979" s="3">
        <v>2.8</v>
      </c>
      <c r="R979" s="4">
        <v>168</v>
      </c>
      <c r="S979" s="3">
        <v>28</v>
      </c>
      <c r="T979" s="1">
        <v>0.80559999999999998</v>
      </c>
      <c r="U979" s="6">
        <v>28.195999999999998</v>
      </c>
    </row>
    <row r="980" spans="1:21" x14ac:dyDescent="0.35">
      <c r="A980">
        <v>979</v>
      </c>
      <c r="B980" s="5">
        <v>45175</v>
      </c>
      <c r="C980" s="4">
        <v>2023</v>
      </c>
      <c r="D980" s="4">
        <v>9</v>
      </c>
      <c r="E980" s="14">
        <v>45175</v>
      </c>
      <c r="F980" s="4">
        <v>6</v>
      </c>
      <c r="G980">
        <v>183</v>
      </c>
      <c r="H980">
        <v>169</v>
      </c>
      <c r="I980" s="13">
        <v>0.92</v>
      </c>
      <c r="J980">
        <v>14</v>
      </c>
      <c r="K980" s="2">
        <v>3.7037037037037035E-4</v>
      </c>
      <c r="L980" s="11">
        <v>90.133333333333326</v>
      </c>
      <c r="M980" s="3">
        <v>0.53333333333333333</v>
      </c>
      <c r="N980" s="4">
        <v>32</v>
      </c>
      <c r="O980" s="2">
        <v>2.0601851851851853E-3</v>
      </c>
      <c r="P980" s="9">
        <v>501.36666666666667</v>
      </c>
      <c r="Q980" s="3">
        <v>2.9666666666666668</v>
      </c>
      <c r="R980" s="4">
        <v>178</v>
      </c>
      <c r="S980" s="3">
        <v>101</v>
      </c>
      <c r="T980" s="1">
        <v>0.59889999999999999</v>
      </c>
      <c r="U980" s="6">
        <v>101.2141</v>
      </c>
    </row>
    <row r="981" spans="1:21" x14ac:dyDescent="0.35">
      <c r="A981">
        <v>980</v>
      </c>
      <c r="B981" s="5">
        <v>45176</v>
      </c>
      <c r="C981" s="4">
        <v>2023</v>
      </c>
      <c r="D981" s="4">
        <v>9</v>
      </c>
      <c r="E981" s="14">
        <v>45176</v>
      </c>
      <c r="F981" s="4">
        <v>7</v>
      </c>
      <c r="G981">
        <v>221</v>
      </c>
      <c r="H981">
        <v>206</v>
      </c>
      <c r="I981" s="13">
        <v>0.93</v>
      </c>
      <c r="J981">
        <v>15</v>
      </c>
      <c r="K981" s="2">
        <v>3.4722222222222224E-4</v>
      </c>
      <c r="L981" s="11">
        <v>103</v>
      </c>
      <c r="M981" s="3">
        <v>0.5</v>
      </c>
      <c r="N981" s="4">
        <v>30</v>
      </c>
      <c r="O981" s="2">
        <v>2.0138888888888888E-3</v>
      </c>
      <c r="P981" s="9">
        <v>597.4</v>
      </c>
      <c r="Q981" s="3">
        <v>2.9</v>
      </c>
      <c r="R981" s="4">
        <v>174</v>
      </c>
      <c r="S981" s="3">
        <v>119</v>
      </c>
      <c r="T981" s="1">
        <v>0.58179999999999998</v>
      </c>
      <c r="U981" s="6">
        <v>119.85079999999999</v>
      </c>
    </row>
    <row r="982" spans="1:21" x14ac:dyDescent="0.35">
      <c r="A982">
        <v>981</v>
      </c>
      <c r="B982" s="5">
        <v>45177</v>
      </c>
      <c r="C982" s="4">
        <v>2023</v>
      </c>
      <c r="D982" s="4">
        <v>9</v>
      </c>
      <c r="E982" s="14">
        <v>45177</v>
      </c>
      <c r="F982" s="4">
        <v>8</v>
      </c>
      <c r="G982">
        <v>202</v>
      </c>
      <c r="H982">
        <v>193</v>
      </c>
      <c r="I982" s="13">
        <v>0.95</v>
      </c>
      <c r="J982">
        <v>9</v>
      </c>
      <c r="K982" s="2">
        <v>2.0833333333333335E-4</v>
      </c>
      <c r="L982" s="11">
        <v>57.9</v>
      </c>
      <c r="M982" s="3">
        <v>0.3</v>
      </c>
      <c r="N982" s="4">
        <v>18</v>
      </c>
      <c r="O982" s="2">
        <v>2.0023148148148148E-3</v>
      </c>
      <c r="P982" s="9">
        <v>556.48333333333335</v>
      </c>
      <c r="Q982" s="3">
        <v>2.8833333333333333</v>
      </c>
      <c r="R982" s="4">
        <v>173</v>
      </c>
      <c r="S982" s="3">
        <v>145</v>
      </c>
      <c r="T982" s="1">
        <v>0.75380000000000003</v>
      </c>
      <c r="U982" s="6">
        <v>145.48340000000002</v>
      </c>
    </row>
    <row r="983" spans="1:21" x14ac:dyDescent="0.35">
      <c r="A983">
        <v>982</v>
      </c>
      <c r="B983" s="5">
        <v>45178</v>
      </c>
      <c r="C983" s="4">
        <v>2023</v>
      </c>
      <c r="D983" s="4">
        <v>9</v>
      </c>
      <c r="E983" s="14">
        <v>45178</v>
      </c>
      <c r="F983" s="4">
        <v>9</v>
      </c>
      <c r="G983">
        <v>193</v>
      </c>
      <c r="H983">
        <v>163</v>
      </c>
      <c r="I983" s="13">
        <v>0.84</v>
      </c>
      <c r="J983">
        <v>30</v>
      </c>
      <c r="K983" s="2">
        <v>4.1666666666666669E-4</v>
      </c>
      <c r="L983" s="11">
        <v>97.8</v>
      </c>
      <c r="M983" s="3">
        <v>0.6</v>
      </c>
      <c r="N983" s="4">
        <v>36</v>
      </c>
      <c r="O983" s="2">
        <v>2.2222222222222222E-3</v>
      </c>
      <c r="P983" s="9">
        <v>521.6</v>
      </c>
      <c r="Q983" s="3">
        <v>3.2</v>
      </c>
      <c r="R983" s="4">
        <v>192</v>
      </c>
      <c r="S983" s="3">
        <v>87</v>
      </c>
      <c r="T983" s="1">
        <v>0.53400000000000003</v>
      </c>
      <c r="U983" s="6">
        <v>87.042000000000002</v>
      </c>
    </row>
    <row r="984" spans="1:21" x14ac:dyDescent="0.35">
      <c r="A984">
        <v>983</v>
      </c>
      <c r="B984" s="5">
        <v>45179</v>
      </c>
      <c r="C984" s="4">
        <v>2023</v>
      </c>
      <c r="D984" s="4">
        <v>9</v>
      </c>
      <c r="E984" s="14">
        <v>45179</v>
      </c>
      <c r="F984" s="4">
        <v>10</v>
      </c>
      <c r="G984">
        <v>201</v>
      </c>
      <c r="H984">
        <v>196</v>
      </c>
      <c r="I984" s="13">
        <v>0.97</v>
      </c>
      <c r="J984">
        <v>5</v>
      </c>
      <c r="K984" s="2">
        <v>1.1574074074074075E-4</v>
      </c>
      <c r="L984" s="11">
        <v>32.666666666666664</v>
      </c>
      <c r="M984" s="3">
        <v>0.16666666666666666</v>
      </c>
      <c r="N984" s="4">
        <v>10</v>
      </c>
      <c r="O984" s="2">
        <v>1.8865740740740742E-3</v>
      </c>
      <c r="P984" s="9">
        <v>532.4666666666667</v>
      </c>
      <c r="Q984" s="3">
        <v>2.7166666666666668</v>
      </c>
      <c r="R984" s="4">
        <v>163</v>
      </c>
      <c r="S984" s="3">
        <v>174</v>
      </c>
      <c r="T984" s="1">
        <v>0.89</v>
      </c>
      <c r="U984" s="6">
        <v>174.44</v>
      </c>
    </row>
    <row r="985" spans="1:21" x14ac:dyDescent="0.35">
      <c r="A985">
        <v>984</v>
      </c>
      <c r="B985" s="5">
        <v>45180</v>
      </c>
      <c r="C985" s="4">
        <v>2023</v>
      </c>
      <c r="D985" s="4">
        <v>9</v>
      </c>
      <c r="E985" s="14">
        <v>45180</v>
      </c>
      <c r="F985" s="4">
        <v>11</v>
      </c>
      <c r="G985">
        <v>193</v>
      </c>
      <c r="H985">
        <v>180</v>
      </c>
      <c r="I985" s="13">
        <v>0.93</v>
      </c>
      <c r="J985">
        <v>13</v>
      </c>
      <c r="K985" s="2">
        <v>2.4305555555555555E-4</v>
      </c>
      <c r="L985" s="11">
        <v>62.999999999999993</v>
      </c>
      <c r="M985" s="3">
        <v>0.35</v>
      </c>
      <c r="N985" s="4">
        <v>21</v>
      </c>
      <c r="O985" s="2">
        <v>1.8749999999999999E-3</v>
      </c>
      <c r="P985" s="9">
        <v>486.00000000000006</v>
      </c>
      <c r="Q985" s="3">
        <v>2.7</v>
      </c>
      <c r="R985" s="4">
        <v>162</v>
      </c>
      <c r="S985" s="3">
        <v>131</v>
      </c>
      <c r="T985" s="1">
        <v>0.73160000000000003</v>
      </c>
      <c r="U985" s="6">
        <v>131.68800000000002</v>
      </c>
    </row>
    <row r="986" spans="1:21" x14ac:dyDescent="0.35">
      <c r="A986">
        <v>985</v>
      </c>
      <c r="B986" s="5">
        <v>45181</v>
      </c>
      <c r="C986" s="4">
        <v>2023</v>
      </c>
      <c r="D986" s="4">
        <v>9</v>
      </c>
      <c r="E986" s="14">
        <v>45181</v>
      </c>
      <c r="F986" s="4">
        <v>12</v>
      </c>
      <c r="G986">
        <v>27</v>
      </c>
      <c r="H986">
        <v>25</v>
      </c>
      <c r="I986" s="13">
        <v>0.92</v>
      </c>
      <c r="J986">
        <v>2</v>
      </c>
      <c r="K986" s="2">
        <v>2.8935185185185184E-4</v>
      </c>
      <c r="L986" s="11">
        <v>10.416666666666668</v>
      </c>
      <c r="M986" s="3">
        <v>0.41666666666666669</v>
      </c>
      <c r="N986" s="4">
        <v>25</v>
      </c>
      <c r="O986" s="2">
        <v>1.4236111111111112E-3</v>
      </c>
      <c r="P986" s="9">
        <v>51.249999999999993</v>
      </c>
      <c r="Q986" s="3">
        <v>2.0499999999999998</v>
      </c>
      <c r="R986" s="4">
        <v>122.99999999999999</v>
      </c>
      <c r="S986" s="3">
        <v>16</v>
      </c>
      <c r="T986" s="1">
        <v>0.66669999999999996</v>
      </c>
      <c r="U986" s="6">
        <v>16.6675</v>
      </c>
    </row>
    <row r="987" spans="1:21" x14ac:dyDescent="0.35">
      <c r="A987">
        <v>986</v>
      </c>
      <c r="B987" s="5">
        <v>45182</v>
      </c>
      <c r="C987" s="4">
        <v>2023</v>
      </c>
      <c r="D987" s="4">
        <v>9</v>
      </c>
      <c r="E987" s="14">
        <v>45182</v>
      </c>
      <c r="F987" s="4">
        <v>13</v>
      </c>
      <c r="G987">
        <v>227</v>
      </c>
      <c r="H987">
        <v>206</v>
      </c>
      <c r="I987" s="13">
        <v>0.9</v>
      </c>
      <c r="J987">
        <v>21</v>
      </c>
      <c r="K987" s="2">
        <v>3.3564814814814812E-4</v>
      </c>
      <c r="L987" s="11">
        <v>99.566666666666663</v>
      </c>
      <c r="M987" s="3">
        <v>0.48333333333333334</v>
      </c>
      <c r="N987" s="4">
        <v>29</v>
      </c>
      <c r="O987" s="2">
        <v>2.0949074074074073E-3</v>
      </c>
      <c r="P987" s="9">
        <v>621.43333333333328</v>
      </c>
      <c r="Q987" s="3">
        <v>3.0166666666666666</v>
      </c>
      <c r="R987" s="4">
        <v>181</v>
      </c>
      <c r="S987" s="3">
        <v>137</v>
      </c>
      <c r="T987" s="1">
        <v>0.66669999999999996</v>
      </c>
      <c r="U987" s="6">
        <v>137.34019999999998</v>
      </c>
    </row>
    <row r="988" spans="1:21" x14ac:dyDescent="0.35">
      <c r="A988">
        <v>987</v>
      </c>
      <c r="B988" s="5">
        <v>45183</v>
      </c>
      <c r="C988" s="4">
        <v>2023</v>
      </c>
      <c r="D988" s="4">
        <v>9</v>
      </c>
      <c r="E988" s="14">
        <v>45183</v>
      </c>
      <c r="F988" s="4">
        <v>14</v>
      </c>
      <c r="G988">
        <v>225</v>
      </c>
      <c r="H988">
        <v>199</v>
      </c>
      <c r="I988" s="13">
        <v>0.88</v>
      </c>
      <c r="J988">
        <v>26</v>
      </c>
      <c r="K988" s="2">
        <v>4.0509259259259258E-4</v>
      </c>
      <c r="L988" s="11">
        <v>116.08333333333334</v>
      </c>
      <c r="M988" s="3">
        <v>0.58333333333333337</v>
      </c>
      <c r="N988" s="4">
        <v>35</v>
      </c>
      <c r="O988" s="2">
        <v>2.0601851851851853E-3</v>
      </c>
      <c r="P988" s="9">
        <v>590.36666666666667</v>
      </c>
      <c r="Q988" s="3">
        <v>2.9666666666666668</v>
      </c>
      <c r="R988" s="4">
        <v>178</v>
      </c>
      <c r="S988" s="3">
        <v>104</v>
      </c>
      <c r="T988" s="1">
        <v>0.52680000000000005</v>
      </c>
      <c r="U988" s="6">
        <v>104.83320000000001</v>
      </c>
    </row>
    <row r="989" spans="1:21" x14ac:dyDescent="0.35">
      <c r="A989">
        <v>988</v>
      </c>
      <c r="B989" s="5">
        <v>45184</v>
      </c>
      <c r="C989" s="4">
        <v>2023</v>
      </c>
      <c r="D989" s="4">
        <v>9</v>
      </c>
      <c r="E989" s="14">
        <v>45184</v>
      </c>
      <c r="F989" s="4">
        <v>15</v>
      </c>
      <c r="G989">
        <v>204</v>
      </c>
      <c r="H989">
        <v>193</v>
      </c>
      <c r="I989" s="13">
        <v>0.94</v>
      </c>
      <c r="J989">
        <v>11</v>
      </c>
      <c r="K989" s="2">
        <v>3.8194444444444446E-4</v>
      </c>
      <c r="L989" s="11">
        <v>106.15</v>
      </c>
      <c r="M989" s="3">
        <v>0.55000000000000004</v>
      </c>
      <c r="N989" s="4">
        <v>33</v>
      </c>
      <c r="O989" s="2">
        <v>1.8402777777777777E-3</v>
      </c>
      <c r="P989" s="9">
        <v>511.45</v>
      </c>
      <c r="Q989" s="3">
        <v>2.65</v>
      </c>
      <c r="R989" s="4">
        <v>159</v>
      </c>
      <c r="S989" s="3">
        <v>113</v>
      </c>
      <c r="T989" s="1">
        <v>0.58819999999999995</v>
      </c>
      <c r="U989" s="6">
        <v>113.52259999999998</v>
      </c>
    </row>
    <row r="990" spans="1:21" x14ac:dyDescent="0.35">
      <c r="A990">
        <v>989</v>
      </c>
      <c r="B990" s="5">
        <v>45185</v>
      </c>
      <c r="C990" s="4">
        <v>2023</v>
      </c>
      <c r="D990" s="4">
        <v>9</v>
      </c>
      <c r="E990" s="14">
        <v>45185</v>
      </c>
      <c r="F990" s="4">
        <v>16</v>
      </c>
      <c r="G990">
        <v>221</v>
      </c>
      <c r="H990">
        <v>194</v>
      </c>
      <c r="I990" s="13">
        <v>0.87</v>
      </c>
      <c r="J990">
        <v>27</v>
      </c>
      <c r="K990" s="2">
        <v>3.3564814814814812E-4</v>
      </c>
      <c r="L990" s="11">
        <v>93.766666666666666</v>
      </c>
      <c r="M990" s="3">
        <v>0.48333333333333334</v>
      </c>
      <c r="N990" s="4">
        <v>29</v>
      </c>
      <c r="O990" s="2">
        <v>1.9444444444444444E-3</v>
      </c>
      <c r="P990" s="9">
        <v>543.19999999999993</v>
      </c>
      <c r="Q990" s="3">
        <v>2.8</v>
      </c>
      <c r="R990" s="4">
        <v>168</v>
      </c>
      <c r="S990" s="3">
        <v>117</v>
      </c>
      <c r="T990" s="1">
        <v>0.60729999999999995</v>
      </c>
      <c r="U990" s="6">
        <v>117.81619999999999</v>
      </c>
    </row>
    <row r="991" spans="1:21" x14ac:dyDescent="0.35">
      <c r="A991">
        <v>990</v>
      </c>
      <c r="B991" s="5">
        <v>45186</v>
      </c>
      <c r="C991" s="4">
        <v>2023</v>
      </c>
      <c r="D991" s="4">
        <v>9</v>
      </c>
      <c r="E991" s="14">
        <v>45186</v>
      </c>
      <c r="F991" s="4">
        <v>17</v>
      </c>
      <c r="G991">
        <v>172</v>
      </c>
      <c r="H991">
        <v>154</v>
      </c>
      <c r="I991" s="13">
        <v>0.89</v>
      </c>
      <c r="J991">
        <v>18</v>
      </c>
      <c r="K991" s="2">
        <v>3.9351851851851852E-4</v>
      </c>
      <c r="L991" s="11">
        <v>87.266666666666666</v>
      </c>
      <c r="M991" s="3">
        <v>0.56666666666666665</v>
      </c>
      <c r="N991" s="4">
        <v>34</v>
      </c>
      <c r="O991" s="2">
        <v>2.1875000000000002E-3</v>
      </c>
      <c r="P991" s="9">
        <v>485.09999999999997</v>
      </c>
      <c r="Q991" s="3">
        <v>3.15</v>
      </c>
      <c r="R991" s="4">
        <v>189</v>
      </c>
      <c r="S991" s="3">
        <v>83</v>
      </c>
      <c r="T991" s="1">
        <v>0.54169999999999996</v>
      </c>
      <c r="U991" s="6">
        <v>83.42179999999999</v>
      </c>
    </row>
    <row r="992" spans="1:21" x14ac:dyDescent="0.35">
      <c r="A992">
        <v>991</v>
      </c>
      <c r="B992" s="5">
        <v>45187</v>
      </c>
      <c r="C992" s="4">
        <v>2023</v>
      </c>
      <c r="D992" s="4">
        <v>9</v>
      </c>
      <c r="E992" s="14">
        <v>45187</v>
      </c>
      <c r="F992" s="4">
        <v>18</v>
      </c>
      <c r="G992">
        <v>161</v>
      </c>
      <c r="H992">
        <v>150</v>
      </c>
      <c r="I992" s="13">
        <v>0.93</v>
      </c>
      <c r="J992">
        <v>11</v>
      </c>
      <c r="K992" s="2">
        <v>4.1666666666666669E-4</v>
      </c>
      <c r="L992" s="11">
        <v>90</v>
      </c>
      <c r="M992" s="3">
        <v>0.6</v>
      </c>
      <c r="N992" s="4">
        <v>36</v>
      </c>
      <c r="O992" s="2">
        <v>1.9791666666666668E-3</v>
      </c>
      <c r="P992" s="9">
        <v>427.5</v>
      </c>
      <c r="Q992" s="3">
        <v>2.85</v>
      </c>
      <c r="R992" s="4">
        <v>171</v>
      </c>
      <c r="S992" s="3">
        <v>79</v>
      </c>
      <c r="T992" s="1">
        <v>0.52800000000000002</v>
      </c>
      <c r="U992" s="6">
        <v>79.2</v>
      </c>
    </row>
    <row r="993" spans="1:21" x14ac:dyDescent="0.35">
      <c r="A993">
        <v>992</v>
      </c>
      <c r="B993" s="5">
        <v>45188</v>
      </c>
      <c r="C993" s="4">
        <v>2023</v>
      </c>
      <c r="D993" s="4">
        <v>9</v>
      </c>
      <c r="E993" s="14">
        <v>45188</v>
      </c>
      <c r="F993" s="4">
        <v>19</v>
      </c>
      <c r="G993">
        <v>17</v>
      </c>
      <c r="H993">
        <v>14</v>
      </c>
      <c r="I993" s="13">
        <v>0.82</v>
      </c>
      <c r="J993">
        <v>3</v>
      </c>
      <c r="K993" s="2">
        <v>5.4398148148148144E-4</v>
      </c>
      <c r="L993" s="11">
        <v>10.966666666666667</v>
      </c>
      <c r="M993" s="3">
        <v>0.78333333333333333</v>
      </c>
      <c r="N993" s="4">
        <v>47</v>
      </c>
      <c r="O993" s="2">
        <v>2.1759259259259258E-3</v>
      </c>
      <c r="P993" s="9">
        <v>43.866666666666667</v>
      </c>
      <c r="Q993" s="3">
        <v>3.1333333333333333</v>
      </c>
      <c r="R993" s="4">
        <v>188</v>
      </c>
      <c r="S993" s="3">
        <v>5</v>
      </c>
      <c r="T993" s="1">
        <v>0.4118</v>
      </c>
      <c r="U993" s="6">
        <v>5.7652000000000001</v>
      </c>
    </row>
    <row r="994" spans="1:21" x14ac:dyDescent="0.35">
      <c r="A994">
        <v>993</v>
      </c>
      <c r="B994" s="5">
        <v>45189</v>
      </c>
      <c r="C994" s="4">
        <v>2023</v>
      </c>
      <c r="D994" s="4">
        <v>9</v>
      </c>
      <c r="E994" s="14">
        <v>45189</v>
      </c>
      <c r="F994" s="4">
        <v>20</v>
      </c>
      <c r="G994">
        <v>168</v>
      </c>
      <c r="H994">
        <v>145</v>
      </c>
      <c r="I994" s="13">
        <v>0.86</v>
      </c>
      <c r="J994">
        <v>23</v>
      </c>
      <c r="K994" s="2">
        <v>4.3981481481481481E-4</v>
      </c>
      <c r="L994" s="11">
        <v>91.833333333333329</v>
      </c>
      <c r="M994" s="3">
        <v>0.6333333333333333</v>
      </c>
      <c r="N994" s="4">
        <v>38</v>
      </c>
      <c r="O994" s="2">
        <v>2.0486111111111113E-3</v>
      </c>
      <c r="P994" s="9">
        <v>427.75</v>
      </c>
      <c r="Q994" s="3">
        <v>2.95</v>
      </c>
      <c r="R994" s="4">
        <v>177</v>
      </c>
      <c r="S994" s="3">
        <v>73</v>
      </c>
      <c r="T994" s="1">
        <v>0.50609999999999999</v>
      </c>
      <c r="U994" s="6">
        <v>73.384500000000003</v>
      </c>
    </row>
    <row r="995" spans="1:21" x14ac:dyDescent="0.35">
      <c r="A995">
        <v>994</v>
      </c>
      <c r="B995" s="5">
        <v>45190</v>
      </c>
      <c r="C995" s="4">
        <v>2023</v>
      </c>
      <c r="D995" s="4">
        <v>9</v>
      </c>
      <c r="E995" s="14">
        <v>45190</v>
      </c>
      <c r="F995" s="4">
        <v>21</v>
      </c>
      <c r="G995">
        <v>160</v>
      </c>
      <c r="H995">
        <v>142</v>
      </c>
      <c r="I995" s="13">
        <v>0.88</v>
      </c>
      <c r="J995">
        <v>18</v>
      </c>
      <c r="K995" s="2">
        <v>3.8194444444444446E-4</v>
      </c>
      <c r="L995" s="11">
        <v>78.100000000000009</v>
      </c>
      <c r="M995" s="3">
        <v>0.55000000000000004</v>
      </c>
      <c r="N995" s="4">
        <v>33</v>
      </c>
      <c r="O995" s="2">
        <v>1.8981481481481482E-3</v>
      </c>
      <c r="P995" s="9">
        <v>388.13333333333333</v>
      </c>
      <c r="Q995" s="3">
        <v>2.7333333333333334</v>
      </c>
      <c r="R995" s="4">
        <v>164</v>
      </c>
      <c r="S995" s="3">
        <v>76</v>
      </c>
      <c r="T995" s="1">
        <v>0.54139999999999999</v>
      </c>
      <c r="U995" s="6">
        <v>76.878799999999998</v>
      </c>
    </row>
    <row r="996" spans="1:21" x14ac:dyDescent="0.35">
      <c r="A996">
        <v>995</v>
      </c>
      <c r="B996" s="5">
        <v>45191</v>
      </c>
      <c r="C996" s="4">
        <v>2023</v>
      </c>
      <c r="D996" s="4">
        <v>9</v>
      </c>
      <c r="E996" s="14">
        <v>45191</v>
      </c>
      <c r="F996" s="4">
        <v>22</v>
      </c>
      <c r="G996">
        <v>185</v>
      </c>
      <c r="H996">
        <v>159</v>
      </c>
      <c r="I996" s="13">
        <v>0.85</v>
      </c>
      <c r="J996">
        <v>26</v>
      </c>
      <c r="K996" s="2">
        <v>4.7453703703703704E-4</v>
      </c>
      <c r="L996" s="11">
        <v>108.65</v>
      </c>
      <c r="M996" s="3">
        <v>0.68333333333333335</v>
      </c>
      <c r="N996" s="4">
        <v>41</v>
      </c>
      <c r="O996" s="2">
        <v>2.0370370370370369E-3</v>
      </c>
      <c r="P996" s="9">
        <v>466.40000000000003</v>
      </c>
      <c r="Q996" s="3">
        <v>2.9333333333333336</v>
      </c>
      <c r="R996" s="4">
        <v>176</v>
      </c>
      <c r="S996" s="3">
        <v>67</v>
      </c>
      <c r="T996" s="1">
        <v>0.42699999999999999</v>
      </c>
      <c r="U996" s="6">
        <v>67.893000000000001</v>
      </c>
    </row>
    <row r="997" spans="1:21" x14ac:dyDescent="0.35">
      <c r="A997">
        <v>996</v>
      </c>
      <c r="B997" s="5">
        <v>45192</v>
      </c>
      <c r="C997" s="4">
        <v>2023</v>
      </c>
      <c r="D997" s="4">
        <v>9</v>
      </c>
      <c r="E997" s="14">
        <v>45192</v>
      </c>
      <c r="F997" s="4">
        <v>23</v>
      </c>
      <c r="G997">
        <v>155</v>
      </c>
      <c r="H997">
        <v>146</v>
      </c>
      <c r="I997" s="13">
        <v>0.94</v>
      </c>
      <c r="J997">
        <v>9</v>
      </c>
      <c r="K997" s="2">
        <v>3.2407407407407406E-4</v>
      </c>
      <c r="L997" s="11">
        <v>68.13333333333334</v>
      </c>
      <c r="M997" s="3">
        <v>0.46666666666666667</v>
      </c>
      <c r="N997" s="4">
        <v>28</v>
      </c>
      <c r="O997" s="2">
        <v>1.9560185185185184E-3</v>
      </c>
      <c r="P997" s="9">
        <v>411.23333333333329</v>
      </c>
      <c r="Q997" s="3">
        <v>2.8166666666666664</v>
      </c>
      <c r="R997" s="4">
        <v>169</v>
      </c>
      <c r="S997" s="3">
        <v>95</v>
      </c>
      <c r="T997" s="1">
        <v>0.65159999999999996</v>
      </c>
      <c r="U997" s="6">
        <v>95.133599999999987</v>
      </c>
    </row>
    <row r="998" spans="1:21" x14ac:dyDescent="0.35">
      <c r="A998">
        <v>997</v>
      </c>
      <c r="B998" s="5">
        <v>45193</v>
      </c>
      <c r="C998" s="4">
        <v>2023</v>
      </c>
      <c r="D998" s="4">
        <v>9</v>
      </c>
      <c r="E998" s="14">
        <v>45193</v>
      </c>
      <c r="F998" s="4">
        <v>24</v>
      </c>
      <c r="G998">
        <v>188</v>
      </c>
      <c r="H998">
        <v>172</v>
      </c>
      <c r="I998" s="13">
        <v>0.91</v>
      </c>
      <c r="J998">
        <v>16</v>
      </c>
      <c r="K998" s="2">
        <v>3.2407407407407406E-4</v>
      </c>
      <c r="L998" s="11">
        <v>80.266666666666666</v>
      </c>
      <c r="M998" s="3">
        <v>0.46666666666666667</v>
      </c>
      <c r="N998" s="4">
        <v>28</v>
      </c>
      <c r="O998" s="2">
        <v>1.8402777777777777E-3</v>
      </c>
      <c r="P998" s="9">
        <v>455.8</v>
      </c>
      <c r="Q998" s="3">
        <v>2.65</v>
      </c>
      <c r="R998" s="4">
        <v>159</v>
      </c>
      <c r="S998" s="3">
        <v>102</v>
      </c>
      <c r="T998" s="1">
        <v>0.5978</v>
      </c>
      <c r="U998" s="6">
        <v>102.8216</v>
      </c>
    </row>
    <row r="999" spans="1:21" x14ac:dyDescent="0.35">
      <c r="A999">
        <v>998</v>
      </c>
      <c r="B999" s="5">
        <v>45194</v>
      </c>
      <c r="C999" s="4">
        <v>2023</v>
      </c>
      <c r="D999" s="4">
        <v>9</v>
      </c>
      <c r="E999" s="14">
        <v>45194</v>
      </c>
      <c r="F999" s="4">
        <v>25</v>
      </c>
      <c r="G999">
        <v>152</v>
      </c>
      <c r="H999">
        <v>120</v>
      </c>
      <c r="I999" s="13">
        <v>0.78</v>
      </c>
      <c r="J999">
        <v>32</v>
      </c>
      <c r="K999" s="2">
        <v>3.3564814814814812E-4</v>
      </c>
      <c r="L999" s="11">
        <v>58</v>
      </c>
      <c r="M999" s="3">
        <v>0.48333333333333334</v>
      </c>
      <c r="N999" s="4">
        <v>29</v>
      </c>
      <c r="O999" s="2">
        <v>2.0138888888888888E-3</v>
      </c>
      <c r="P999" s="9">
        <v>348</v>
      </c>
      <c r="Q999" s="3">
        <v>2.9</v>
      </c>
      <c r="R999" s="4">
        <v>174</v>
      </c>
      <c r="S999" s="3">
        <v>63</v>
      </c>
      <c r="T999" s="1">
        <v>0.53059999999999996</v>
      </c>
      <c r="U999" s="6">
        <v>63.671999999999997</v>
      </c>
    </row>
    <row r="1000" spans="1:21" x14ac:dyDescent="0.35">
      <c r="A1000">
        <v>999</v>
      </c>
      <c r="B1000" s="5">
        <v>45195</v>
      </c>
      <c r="C1000" s="4">
        <v>2023</v>
      </c>
      <c r="D1000" s="4">
        <v>9</v>
      </c>
      <c r="E1000" s="14">
        <v>45195</v>
      </c>
      <c r="F1000" s="4">
        <v>26</v>
      </c>
      <c r="G1000">
        <v>26</v>
      </c>
      <c r="H1000">
        <v>26</v>
      </c>
      <c r="I1000" s="13">
        <v>1</v>
      </c>
      <c r="J1000">
        <v>0</v>
      </c>
      <c r="K1000" s="2">
        <v>1.9675925925925926E-4</v>
      </c>
      <c r="L1000" s="11">
        <v>7.3666666666666663</v>
      </c>
      <c r="M1000" s="3">
        <v>0.28333333333333333</v>
      </c>
      <c r="N1000" s="4">
        <v>17</v>
      </c>
      <c r="O1000" s="2">
        <v>2.0949074074074073E-3</v>
      </c>
      <c r="P1000" s="9">
        <v>78.433333333333337</v>
      </c>
      <c r="Q1000" s="3">
        <v>3.0166666666666666</v>
      </c>
      <c r="R1000" s="4">
        <v>181</v>
      </c>
      <c r="S1000" s="3">
        <v>21</v>
      </c>
      <c r="T1000" s="1">
        <v>0.80769999999999997</v>
      </c>
      <c r="U1000" s="6">
        <v>21.0002</v>
      </c>
    </row>
    <row r="1001" spans="1:21" x14ac:dyDescent="0.35">
      <c r="A1001">
        <v>1000</v>
      </c>
      <c r="B1001" s="5">
        <v>45196</v>
      </c>
      <c r="C1001" s="4">
        <v>2023</v>
      </c>
      <c r="D1001" s="4">
        <v>9</v>
      </c>
      <c r="E1001" s="14">
        <v>45196</v>
      </c>
      <c r="F1001" s="4">
        <v>27</v>
      </c>
      <c r="G1001">
        <v>152</v>
      </c>
      <c r="H1001">
        <v>140</v>
      </c>
      <c r="I1001" s="13">
        <v>0.92</v>
      </c>
      <c r="J1001">
        <v>12</v>
      </c>
      <c r="K1001" s="2">
        <v>2.4305555555555555E-4</v>
      </c>
      <c r="L1001" s="11">
        <v>49</v>
      </c>
      <c r="M1001" s="3">
        <v>0.35</v>
      </c>
      <c r="N1001" s="4">
        <v>21</v>
      </c>
      <c r="O1001" s="2">
        <v>2.0601851851851853E-3</v>
      </c>
      <c r="P1001" s="9">
        <v>415.33333333333337</v>
      </c>
      <c r="Q1001" s="3">
        <v>2.9666666666666668</v>
      </c>
      <c r="R1001" s="4">
        <v>178</v>
      </c>
      <c r="S1001" s="3">
        <v>98</v>
      </c>
      <c r="T1001" s="1">
        <v>0.70669999999999999</v>
      </c>
      <c r="U1001" s="6">
        <v>98.938000000000002</v>
      </c>
    </row>
    <row r="1002" spans="1:21" x14ac:dyDescent="0.35">
      <c r="A1002">
        <v>1001</v>
      </c>
      <c r="B1002" s="5">
        <v>45197</v>
      </c>
      <c r="C1002" s="4">
        <v>2023</v>
      </c>
      <c r="D1002" s="4">
        <v>9</v>
      </c>
      <c r="E1002" s="14">
        <v>45197</v>
      </c>
      <c r="F1002" s="4">
        <v>28</v>
      </c>
      <c r="G1002">
        <v>130</v>
      </c>
      <c r="H1002">
        <v>125</v>
      </c>
      <c r="I1002" s="13">
        <v>0.96</v>
      </c>
      <c r="J1002">
        <v>5</v>
      </c>
      <c r="K1002" s="2">
        <v>9.2592592592592588E-5</v>
      </c>
      <c r="L1002" s="11">
        <v>16.666666666666668</v>
      </c>
      <c r="M1002" s="3">
        <v>0.13333333333333333</v>
      </c>
      <c r="N1002" s="4">
        <v>8</v>
      </c>
      <c r="O1002" s="2">
        <v>1.8402777777777777E-3</v>
      </c>
      <c r="P1002" s="9">
        <v>331.25</v>
      </c>
      <c r="Q1002" s="3">
        <v>2.65</v>
      </c>
      <c r="R1002" s="4">
        <v>159</v>
      </c>
      <c r="S1002" s="3">
        <v>115</v>
      </c>
      <c r="T1002" s="1">
        <v>0.92</v>
      </c>
      <c r="U1002" s="6">
        <v>115</v>
      </c>
    </row>
    <row r="1003" spans="1:21" x14ac:dyDescent="0.35">
      <c r="A1003">
        <v>1002</v>
      </c>
      <c r="B1003" s="5">
        <v>45198</v>
      </c>
      <c r="C1003" s="4">
        <v>2023</v>
      </c>
      <c r="D1003" s="4">
        <v>9</v>
      </c>
      <c r="E1003" s="14">
        <v>45198</v>
      </c>
      <c r="F1003" s="4">
        <v>29</v>
      </c>
      <c r="G1003">
        <v>191</v>
      </c>
      <c r="H1003">
        <v>187</v>
      </c>
      <c r="I1003" s="13">
        <v>0.97</v>
      </c>
      <c r="J1003">
        <v>4</v>
      </c>
      <c r="K1003" s="2">
        <v>2.0833333333333335E-4</v>
      </c>
      <c r="L1003" s="11">
        <v>56.1</v>
      </c>
      <c r="M1003" s="3">
        <v>0.3</v>
      </c>
      <c r="N1003" s="4">
        <v>18</v>
      </c>
      <c r="O1003" s="2">
        <v>1.7708333333333332E-3</v>
      </c>
      <c r="P1003" s="9">
        <v>476.84999999999997</v>
      </c>
      <c r="Q1003" s="3">
        <v>2.5499999999999998</v>
      </c>
      <c r="R1003" s="4">
        <v>153</v>
      </c>
      <c r="S1003" s="3">
        <v>155</v>
      </c>
      <c r="T1003" s="1">
        <v>0.83069999999999999</v>
      </c>
      <c r="U1003" s="6">
        <v>155.3409</v>
      </c>
    </row>
    <row r="1004" spans="1:21" x14ac:dyDescent="0.35">
      <c r="A1004">
        <v>1003</v>
      </c>
      <c r="B1004" s="5">
        <v>45199</v>
      </c>
      <c r="C1004" s="4">
        <v>2023</v>
      </c>
      <c r="D1004" s="4">
        <v>9</v>
      </c>
      <c r="E1004" s="14">
        <v>45199</v>
      </c>
      <c r="F1004" s="4">
        <v>30</v>
      </c>
      <c r="G1004">
        <v>254</v>
      </c>
      <c r="H1004">
        <v>227</v>
      </c>
      <c r="I1004" s="13">
        <v>0.89</v>
      </c>
      <c r="J1004">
        <v>27</v>
      </c>
      <c r="K1004" s="2">
        <v>3.8194444444444446E-4</v>
      </c>
      <c r="L1004" s="11">
        <v>124.85000000000001</v>
      </c>
      <c r="M1004" s="3">
        <v>0.55000000000000004</v>
      </c>
      <c r="N1004" s="4">
        <v>33</v>
      </c>
      <c r="O1004" s="2">
        <v>2.0486111111111113E-3</v>
      </c>
      <c r="P1004" s="9">
        <v>669.65000000000009</v>
      </c>
      <c r="Q1004" s="3">
        <v>2.95</v>
      </c>
      <c r="R1004" s="4">
        <v>177</v>
      </c>
      <c r="S1004" s="3">
        <v>128</v>
      </c>
      <c r="T1004" s="1">
        <v>0.56569999999999998</v>
      </c>
      <c r="U1004" s="6">
        <v>128.41389999999998</v>
      </c>
    </row>
    <row r="1005" spans="1:21" x14ac:dyDescent="0.35">
      <c r="A1005">
        <v>1004</v>
      </c>
      <c r="B1005" s="5">
        <v>45200</v>
      </c>
      <c r="C1005" s="4">
        <v>2023</v>
      </c>
      <c r="D1005" s="4">
        <v>10</v>
      </c>
      <c r="E1005" s="14">
        <v>45200</v>
      </c>
      <c r="F1005" s="4">
        <v>1</v>
      </c>
      <c r="G1005">
        <v>213</v>
      </c>
      <c r="H1005">
        <v>188</v>
      </c>
      <c r="I1005" s="13">
        <v>0.88</v>
      </c>
      <c r="J1005">
        <v>25</v>
      </c>
      <c r="K1005" s="2">
        <v>3.4722222222222224E-4</v>
      </c>
      <c r="L1005" s="11">
        <v>94</v>
      </c>
      <c r="M1005" s="3">
        <v>0.5</v>
      </c>
      <c r="N1005" s="4">
        <v>30</v>
      </c>
      <c r="O1005" s="2">
        <v>1.9907407407407408E-3</v>
      </c>
      <c r="P1005" s="9">
        <v>538.93333333333339</v>
      </c>
      <c r="Q1005" s="3">
        <v>2.8666666666666667</v>
      </c>
      <c r="R1005" s="4">
        <v>172</v>
      </c>
      <c r="S1005" s="3">
        <v>103</v>
      </c>
      <c r="T1005" s="1">
        <v>0.54810000000000003</v>
      </c>
      <c r="U1005" s="6">
        <v>103.0428</v>
      </c>
    </row>
    <row r="1006" spans="1:21" x14ac:dyDescent="0.35">
      <c r="A1006">
        <v>1005</v>
      </c>
      <c r="B1006" s="5">
        <v>45201</v>
      </c>
      <c r="C1006" s="4">
        <v>2023</v>
      </c>
      <c r="D1006" s="4">
        <v>10</v>
      </c>
      <c r="E1006" s="14">
        <v>45201</v>
      </c>
      <c r="F1006" s="4">
        <v>2</v>
      </c>
      <c r="G1006">
        <v>176</v>
      </c>
      <c r="H1006">
        <v>151</v>
      </c>
      <c r="I1006" s="13">
        <v>0.85</v>
      </c>
      <c r="J1006">
        <v>25</v>
      </c>
      <c r="K1006" s="2">
        <v>3.7037037037037035E-4</v>
      </c>
      <c r="L1006" s="11">
        <v>80.533333333333331</v>
      </c>
      <c r="M1006" s="3">
        <v>0.53333333333333333</v>
      </c>
      <c r="N1006" s="4">
        <v>32</v>
      </c>
      <c r="O1006" s="2">
        <v>1.9097222222222222E-3</v>
      </c>
      <c r="P1006" s="9">
        <v>415.25</v>
      </c>
      <c r="Q1006" s="3">
        <v>2.75</v>
      </c>
      <c r="R1006" s="4">
        <v>165</v>
      </c>
      <c r="S1006" s="3">
        <v>84</v>
      </c>
      <c r="T1006" s="1">
        <v>0.5575</v>
      </c>
      <c r="U1006" s="6">
        <v>84.182500000000005</v>
      </c>
    </row>
    <row r="1007" spans="1:21" x14ac:dyDescent="0.35">
      <c r="A1007">
        <v>1006</v>
      </c>
      <c r="B1007" s="5">
        <v>45202</v>
      </c>
      <c r="C1007" s="4">
        <v>2023</v>
      </c>
      <c r="D1007" s="4">
        <v>10</v>
      </c>
      <c r="E1007" s="14">
        <v>45202</v>
      </c>
      <c r="F1007" s="4">
        <v>3</v>
      </c>
      <c r="G1007">
        <v>61</v>
      </c>
      <c r="H1007">
        <v>59</v>
      </c>
      <c r="I1007" s="13">
        <v>0.96</v>
      </c>
      <c r="J1007">
        <v>2</v>
      </c>
      <c r="K1007" s="2">
        <v>1.8518518518518518E-4</v>
      </c>
      <c r="L1007" s="11">
        <v>15.733333333333333</v>
      </c>
      <c r="M1007" s="3">
        <v>0.26666666666666666</v>
      </c>
      <c r="N1007" s="4">
        <v>16</v>
      </c>
      <c r="O1007" s="2">
        <v>1.0532407407407407E-3</v>
      </c>
      <c r="P1007" s="9">
        <v>89.483333333333334</v>
      </c>
      <c r="Q1007" s="3">
        <v>1.5166666666666666</v>
      </c>
      <c r="R1007" s="4">
        <v>91</v>
      </c>
      <c r="S1007" s="3">
        <v>47</v>
      </c>
      <c r="T1007" s="1">
        <v>0.80330000000000001</v>
      </c>
      <c r="U1007" s="6">
        <v>47.3947</v>
      </c>
    </row>
    <row r="1008" spans="1:21" x14ac:dyDescent="0.35">
      <c r="A1008">
        <v>1007</v>
      </c>
      <c r="B1008" s="5">
        <v>45203</v>
      </c>
      <c r="C1008" s="4">
        <v>2023</v>
      </c>
      <c r="D1008" s="4">
        <v>10</v>
      </c>
      <c r="E1008" s="14">
        <v>45203</v>
      </c>
      <c r="F1008" s="4">
        <v>4</v>
      </c>
      <c r="G1008">
        <v>166</v>
      </c>
      <c r="H1008">
        <v>154</v>
      </c>
      <c r="I1008" s="13">
        <v>0.92</v>
      </c>
      <c r="J1008">
        <v>12</v>
      </c>
      <c r="K1008" s="2">
        <v>3.2407407407407406E-4</v>
      </c>
      <c r="L1008" s="11">
        <v>71.866666666666674</v>
      </c>
      <c r="M1008" s="3">
        <v>0.46666666666666667</v>
      </c>
      <c r="N1008" s="4">
        <v>28</v>
      </c>
      <c r="O1008" s="2">
        <v>2.0370370370370369E-3</v>
      </c>
      <c r="P1008" s="9">
        <v>451.73333333333335</v>
      </c>
      <c r="Q1008" s="3">
        <v>2.9333333333333336</v>
      </c>
      <c r="R1008" s="4">
        <v>176</v>
      </c>
      <c r="S1008" s="3">
        <v>95</v>
      </c>
      <c r="T1008" s="1">
        <v>0.61819999999999997</v>
      </c>
      <c r="U1008" s="6">
        <v>95.202799999999996</v>
      </c>
    </row>
    <row r="1009" spans="1:21" x14ac:dyDescent="0.35">
      <c r="A1009">
        <v>1008</v>
      </c>
      <c r="B1009" s="5">
        <v>45204</v>
      </c>
      <c r="C1009" s="4">
        <v>2023</v>
      </c>
      <c r="D1009" s="4">
        <v>10</v>
      </c>
      <c r="E1009" s="14">
        <v>45204</v>
      </c>
      <c r="F1009" s="4">
        <v>5</v>
      </c>
      <c r="G1009">
        <v>191</v>
      </c>
      <c r="H1009">
        <v>172</v>
      </c>
      <c r="I1009" s="13">
        <v>0.9</v>
      </c>
      <c r="J1009">
        <v>19</v>
      </c>
      <c r="K1009" s="2">
        <v>2.4305555555555555E-4</v>
      </c>
      <c r="L1009" s="11">
        <v>60.199999999999996</v>
      </c>
      <c r="M1009" s="3">
        <v>0.35</v>
      </c>
      <c r="N1009" s="4">
        <v>21</v>
      </c>
      <c r="O1009" s="2">
        <v>1.8518518518518519E-3</v>
      </c>
      <c r="P1009" s="9">
        <v>458.66666666666663</v>
      </c>
      <c r="Q1009" s="3">
        <v>2.6666666666666665</v>
      </c>
      <c r="R1009" s="4">
        <v>160</v>
      </c>
      <c r="S1009" s="3">
        <v>126</v>
      </c>
      <c r="T1009" s="1">
        <v>0.73770000000000002</v>
      </c>
      <c r="U1009" s="6">
        <v>126.8844</v>
      </c>
    </row>
    <row r="1010" spans="1:21" x14ac:dyDescent="0.35">
      <c r="A1010">
        <v>1009</v>
      </c>
      <c r="B1010" s="5">
        <v>45205</v>
      </c>
      <c r="C1010" s="4">
        <v>2023</v>
      </c>
      <c r="D1010" s="4">
        <v>10</v>
      </c>
      <c r="E1010" s="14">
        <v>45205</v>
      </c>
      <c r="F1010" s="4">
        <v>6</v>
      </c>
      <c r="G1010">
        <v>171</v>
      </c>
      <c r="H1010">
        <v>157</v>
      </c>
      <c r="I1010" s="13">
        <v>0.91</v>
      </c>
      <c r="J1010">
        <v>14</v>
      </c>
      <c r="K1010" s="2">
        <v>2.199074074074074E-4</v>
      </c>
      <c r="L1010" s="11">
        <v>49.716666666666661</v>
      </c>
      <c r="M1010" s="3">
        <v>0.31666666666666665</v>
      </c>
      <c r="N1010" s="4">
        <v>19</v>
      </c>
      <c r="O1010" s="2">
        <v>1.7824074074074075E-3</v>
      </c>
      <c r="P1010" s="9">
        <v>402.96666666666664</v>
      </c>
      <c r="Q1010" s="3">
        <v>2.5666666666666664</v>
      </c>
      <c r="R1010" s="4">
        <v>154</v>
      </c>
      <c r="S1010" s="3">
        <v>114</v>
      </c>
      <c r="T1010" s="1">
        <v>0.72619999999999996</v>
      </c>
      <c r="U1010" s="6">
        <v>114.01339999999999</v>
      </c>
    </row>
    <row r="1011" spans="1:21" x14ac:dyDescent="0.35">
      <c r="A1011">
        <v>1010</v>
      </c>
      <c r="B1011" s="5">
        <v>45206</v>
      </c>
      <c r="C1011" s="4">
        <v>2023</v>
      </c>
      <c r="D1011" s="4">
        <v>10</v>
      </c>
      <c r="E1011" s="14">
        <v>45206</v>
      </c>
      <c r="F1011" s="4">
        <v>7</v>
      </c>
      <c r="G1011">
        <v>153</v>
      </c>
      <c r="H1011">
        <v>124</v>
      </c>
      <c r="I1011" s="13">
        <v>0.81</v>
      </c>
      <c r="J1011">
        <v>29</v>
      </c>
      <c r="K1011" s="2">
        <v>5.7870370370370367E-4</v>
      </c>
      <c r="L1011" s="11">
        <v>103.33333333333334</v>
      </c>
      <c r="M1011" s="3">
        <v>0.83333333333333337</v>
      </c>
      <c r="N1011" s="4">
        <v>50</v>
      </c>
      <c r="O1011" s="2">
        <v>2.1296296296296298E-3</v>
      </c>
      <c r="P1011" s="9">
        <v>380.26666666666671</v>
      </c>
      <c r="Q1011" s="3">
        <v>3.0666666666666669</v>
      </c>
      <c r="R1011" s="4">
        <v>184</v>
      </c>
      <c r="S1011" s="3">
        <v>56</v>
      </c>
      <c r="T1011" s="1">
        <v>0.45329999999999998</v>
      </c>
      <c r="U1011" s="6">
        <v>56.209199999999996</v>
      </c>
    </row>
    <row r="1012" spans="1:21" x14ac:dyDescent="0.35">
      <c r="A1012">
        <v>1011</v>
      </c>
      <c r="B1012" s="5">
        <v>45207</v>
      </c>
      <c r="C1012" s="4">
        <v>2023</v>
      </c>
      <c r="D1012" s="4">
        <v>10</v>
      </c>
      <c r="E1012" s="14">
        <v>45207</v>
      </c>
      <c r="F1012" s="4">
        <v>8</v>
      </c>
      <c r="G1012">
        <v>183</v>
      </c>
      <c r="H1012">
        <v>158</v>
      </c>
      <c r="I1012" s="13">
        <v>0.86</v>
      </c>
      <c r="J1012">
        <v>25</v>
      </c>
      <c r="K1012" s="2">
        <v>3.8194444444444446E-4</v>
      </c>
      <c r="L1012" s="11">
        <v>86.9</v>
      </c>
      <c r="M1012" s="3">
        <v>0.55000000000000004</v>
      </c>
      <c r="N1012" s="4">
        <v>33</v>
      </c>
      <c r="O1012" s="2">
        <v>1.9907407407407408E-3</v>
      </c>
      <c r="P1012" s="9">
        <v>452.93333333333334</v>
      </c>
      <c r="Q1012" s="3">
        <v>2.8666666666666667</v>
      </c>
      <c r="R1012" s="4">
        <v>172</v>
      </c>
      <c r="S1012" s="3">
        <v>82</v>
      </c>
      <c r="T1012" s="1">
        <v>0.51910000000000001</v>
      </c>
      <c r="U1012" s="6">
        <v>82.017799999999994</v>
      </c>
    </row>
    <row r="1013" spans="1:21" x14ac:dyDescent="0.35">
      <c r="A1013">
        <v>1012</v>
      </c>
      <c r="B1013" s="5">
        <v>45208</v>
      </c>
      <c r="C1013" s="4">
        <v>2023</v>
      </c>
      <c r="D1013" s="4">
        <v>10</v>
      </c>
      <c r="E1013" s="14">
        <v>45208</v>
      </c>
      <c r="F1013" s="4">
        <v>9</v>
      </c>
      <c r="G1013">
        <v>14</v>
      </c>
      <c r="H1013">
        <v>14</v>
      </c>
      <c r="I1013" s="13">
        <v>1</v>
      </c>
      <c r="J1013">
        <v>0</v>
      </c>
      <c r="K1013" s="2">
        <v>1.7361111111111112E-4</v>
      </c>
      <c r="L1013" s="11">
        <v>3.5</v>
      </c>
      <c r="M1013" s="3">
        <v>0.25</v>
      </c>
      <c r="N1013" s="4">
        <v>15</v>
      </c>
      <c r="O1013" s="2">
        <v>2.5810185185185185E-3</v>
      </c>
      <c r="P1013" s="9">
        <v>52.033333333333331</v>
      </c>
      <c r="Q1013" s="3">
        <v>3.7166666666666668</v>
      </c>
      <c r="R1013" s="4">
        <v>223</v>
      </c>
      <c r="S1013" s="3">
        <v>11</v>
      </c>
      <c r="T1013" s="1">
        <v>0.85709999999999997</v>
      </c>
      <c r="U1013" s="6">
        <v>11.9994</v>
      </c>
    </row>
    <row r="1014" spans="1:21" x14ac:dyDescent="0.35">
      <c r="A1014">
        <v>1013</v>
      </c>
      <c r="B1014" s="5">
        <v>45209</v>
      </c>
      <c r="C1014" s="4">
        <v>2023</v>
      </c>
      <c r="D1014" s="4">
        <v>10</v>
      </c>
      <c r="E1014" s="14">
        <v>45209</v>
      </c>
      <c r="F1014" s="4">
        <v>10</v>
      </c>
      <c r="G1014">
        <v>18</v>
      </c>
      <c r="H1014">
        <v>18</v>
      </c>
      <c r="I1014" s="13">
        <v>1</v>
      </c>
      <c r="J1014">
        <v>0</v>
      </c>
      <c r="K1014" s="2">
        <v>3.4722222222222222E-5</v>
      </c>
      <c r="L1014" s="11">
        <v>0.9</v>
      </c>
      <c r="M1014" s="3">
        <v>0.05</v>
      </c>
      <c r="N1014" s="4">
        <v>3</v>
      </c>
      <c r="O1014" s="2">
        <v>2.0370370370370369E-3</v>
      </c>
      <c r="P1014" s="9">
        <v>52.800000000000004</v>
      </c>
      <c r="Q1014" s="3">
        <v>2.9333333333333336</v>
      </c>
      <c r="R1014" s="4">
        <v>176</v>
      </c>
      <c r="S1014" s="3">
        <v>18</v>
      </c>
      <c r="T1014" s="1">
        <v>1</v>
      </c>
      <c r="U1014" s="6">
        <v>18</v>
      </c>
    </row>
    <row r="1015" spans="1:21" x14ac:dyDescent="0.35">
      <c r="A1015">
        <v>1014</v>
      </c>
      <c r="B1015" s="5">
        <v>45210</v>
      </c>
      <c r="C1015" s="4">
        <v>2023</v>
      </c>
      <c r="D1015" s="4">
        <v>10</v>
      </c>
      <c r="E1015" s="14">
        <v>45210</v>
      </c>
      <c r="F1015" s="4">
        <v>11</v>
      </c>
      <c r="G1015">
        <v>159</v>
      </c>
      <c r="H1015">
        <v>148</v>
      </c>
      <c r="I1015" s="13">
        <v>0.93</v>
      </c>
      <c r="J1015">
        <v>11</v>
      </c>
      <c r="K1015" s="2">
        <v>2.5462962962962961E-4</v>
      </c>
      <c r="L1015" s="11">
        <v>54.266666666666666</v>
      </c>
      <c r="M1015" s="3">
        <v>0.36666666666666664</v>
      </c>
      <c r="N1015" s="4">
        <v>22</v>
      </c>
      <c r="O1015" s="2">
        <v>1.8055555555555555E-3</v>
      </c>
      <c r="P1015" s="9">
        <v>384.8</v>
      </c>
      <c r="Q1015" s="3">
        <v>2.6</v>
      </c>
      <c r="R1015" s="4">
        <v>156</v>
      </c>
      <c r="S1015" s="3">
        <v>102</v>
      </c>
      <c r="T1015" s="1">
        <v>0.69430000000000003</v>
      </c>
      <c r="U1015" s="6">
        <v>102.7564</v>
      </c>
    </row>
    <row r="1016" spans="1:21" x14ac:dyDescent="0.35">
      <c r="A1016">
        <v>1015</v>
      </c>
      <c r="B1016" s="5">
        <v>45211</v>
      </c>
      <c r="C1016" s="4">
        <v>2023</v>
      </c>
      <c r="D1016" s="4">
        <v>10</v>
      </c>
      <c r="E1016" s="14">
        <v>45211</v>
      </c>
      <c r="F1016" s="4">
        <v>12</v>
      </c>
      <c r="G1016">
        <v>143</v>
      </c>
      <c r="H1016">
        <v>134</v>
      </c>
      <c r="I1016" s="13">
        <v>0.93</v>
      </c>
      <c r="J1016">
        <v>9</v>
      </c>
      <c r="K1016" s="2">
        <v>2.5462962962962961E-4</v>
      </c>
      <c r="L1016" s="11">
        <v>49.133333333333333</v>
      </c>
      <c r="M1016" s="3">
        <v>0.36666666666666664</v>
      </c>
      <c r="N1016" s="4">
        <v>22</v>
      </c>
      <c r="O1016" s="2">
        <v>1.9791666666666668E-3</v>
      </c>
      <c r="P1016" s="9">
        <v>381.90000000000003</v>
      </c>
      <c r="Q1016" s="3">
        <v>2.85</v>
      </c>
      <c r="R1016" s="4">
        <v>171</v>
      </c>
      <c r="S1016" s="3">
        <v>99</v>
      </c>
      <c r="T1016" s="1">
        <v>0.74099999999999999</v>
      </c>
      <c r="U1016" s="6">
        <v>99.293999999999997</v>
      </c>
    </row>
    <row r="1017" spans="1:21" x14ac:dyDescent="0.35">
      <c r="A1017">
        <v>1016</v>
      </c>
      <c r="B1017" s="5">
        <v>45212</v>
      </c>
      <c r="C1017" s="4">
        <v>2023</v>
      </c>
      <c r="D1017" s="4">
        <v>10</v>
      </c>
      <c r="E1017" s="14">
        <v>45212</v>
      </c>
      <c r="F1017" s="4">
        <v>13</v>
      </c>
      <c r="G1017">
        <v>195</v>
      </c>
      <c r="H1017">
        <v>175</v>
      </c>
      <c r="I1017" s="13">
        <v>0.89</v>
      </c>
      <c r="J1017">
        <v>20</v>
      </c>
      <c r="K1017" s="2">
        <v>3.3564814814814812E-4</v>
      </c>
      <c r="L1017" s="11">
        <v>84.583333333333329</v>
      </c>
      <c r="M1017" s="3">
        <v>0.48333333333333334</v>
      </c>
      <c r="N1017" s="4">
        <v>29</v>
      </c>
      <c r="O1017" s="2">
        <v>1.9328703703703704E-3</v>
      </c>
      <c r="P1017" s="9">
        <v>487.08333333333331</v>
      </c>
      <c r="Q1017" s="3">
        <v>2.7833333333333332</v>
      </c>
      <c r="R1017" s="4">
        <v>167</v>
      </c>
      <c r="S1017" s="3">
        <v>107</v>
      </c>
      <c r="T1017" s="1">
        <v>0.61580000000000001</v>
      </c>
      <c r="U1017" s="6">
        <v>107.765</v>
      </c>
    </row>
    <row r="1018" spans="1:21" x14ac:dyDescent="0.35">
      <c r="A1018">
        <v>1017</v>
      </c>
      <c r="B1018" s="5">
        <v>45213</v>
      </c>
      <c r="C1018" s="4">
        <v>2023</v>
      </c>
      <c r="D1018" s="4">
        <v>10</v>
      </c>
      <c r="E1018" s="14">
        <v>45213</v>
      </c>
      <c r="F1018" s="4">
        <v>14</v>
      </c>
      <c r="G1018">
        <v>194</v>
      </c>
      <c r="H1018">
        <v>150</v>
      </c>
      <c r="I1018" s="13">
        <v>0.77</v>
      </c>
      <c r="J1018">
        <v>44</v>
      </c>
      <c r="K1018" s="2">
        <v>4.2824074074074075E-4</v>
      </c>
      <c r="L1018" s="11">
        <v>92.5</v>
      </c>
      <c r="M1018" s="3">
        <v>0.6166666666666667</v>
      </c>
      <c r="N1018" s="4">
        <v>37</v>
      </c>
      <c r="O1018" s="2">
        <v>1.9328703703703704E-3</v>
      </c>
      <c r="P1018" s="9">
        <v>417.5</v>
      </c>
      <c r="Q1018" s="3">
        <v>2.7833333333333332</v>
      </c>
      <c r="R1018" s="4">
        <v>167</v>
      </c>
      <c r="S1018" s="3">
        <v>71</v>
      </c>
      <c r="T1018" s="1">
        <v>0.47339999999999999</v>
      </c>
      <c r="U1018" s="6">
        <v>71.010000000000005</v>
      </c>
    </row>
    <row r="1019" spans="1:21" x14ac:dyDescent="0.35">
      <c r="A1019">
        <v>1018</v>
      </c>
      <c r="B1019" s="5">
        <v>45214</v>
      </c>
      <c r="C1019" s="4">
        <v>2023</v>
      </c>
      <c r="D1019" s="4">
        <v>10</v>
      </c>
      <c r="E1019" s="14">
        <v>45214</v>
      </c>
      <c r="F1019" s="4">
        <v>15</v>
      </c>
      <c r="G1019">
        <v>390</v>
      </c>
      <c r="H1019">
        <v>362</v>
      </c>
      <c r="I1019" s="13">
        <v>0.92</v>
      </c>
      <c r="J1019">
        <v>28</v>
      </c>
      <c r="K1019" s="2">
        <v>3.5879629629629629E-4</v>
      </c>
      <c r="L1019" s="11">
        <v>187.03333333333336</v>
      </c>
      <c r="M1019" s="3">
        <v>0.51666666666666672</v>
      </c>
      <c r="N1019" s="4">
        <v>31.000000000000004</v>
      </c>
      <c r="O1019" s="2">
        <v>1.9675925925925924E-3</v>
      </c>
      <c r="P1019" s="9">
        <v>1025.6666666666667</v>
      </c>
      <c r="Q1019" s="3">
        <v>2.8333333333333335</v>
      </c>
      <c r="R1019" s="4">
        <v>170</v>
      </c>
      <c r="S1019" s="3">
        <v>215</v>
      </c>
      <c r="T1019" s="1">
        <v>0.5948</v>
      </c>
      <c r="U1019" s="6">
        <v>215.3176</v>
      </c>
    </row>
    <row r="1020" spans="1:21" x14ac:dyDescent="0.35">
      <c r="A1020">
        <v>1019</v>
      </c>
      <c r="B1020" s="5">
        <v>45215</v>
      </c>
      <c r="C1020" s="4">
        <v>2023</v>
      </c>
      <c r="D1020" s="4">
        <v>10</v>
      </c>
      <c r="E1020" s="14">
        <v>45215</v>
      </c>
      <c r="F1020" s="4">
        <v>16</v>
      </c>
      <c r="G1020">
        <v>238</v>
      </c>
      <c r="H1020">
        <v>205</v>
      </c>
      <c r="I1020" s="13">
        <v>0.86</v>
      </c>
      <c r="J1020">
        <v>33</v>
      </c>
      <c r="K1020" s="2">
        <v>3.3564814814814812E-4</v>
      </c>
      <c r="L1020" s="11">
        <v>99.083333333333329</v>
      </c>
      <c r="M1020" s="3">
        <v>0.48333333333333334</v>
      </c>
      <c r="N1020" s="4">
        <v>29</v>
      </c>
      <c r="O1020" s="2">
        <v>1.5972222222222223E-3</v>
      </c>
      <c r="P1020" s="9">
        <v>471.49999999999994</v>
      </c>
      <c r="Q1020" s="3">
        <v>2.2999999999999998</v>
      </c>
      <c r="R1020" s="4">
        <v>138</v>
      </c>
      <c r="S1020" s="3">
        <v>124</v>
      </c>
      <c r="T1020" s="1">
        <v>0.60870000000000002</v>
      </c>
      <c r="U1020" s="6">
        <v>124.7835</v>
      </c>
    </row>
    <row r="1021" spans="1:21" x14ac:dyDescent="0.35">
      <c r="A1021">
        <v>1020</v>
      </c>
      <c r="B1021" s="5">
        <v>45216</v>
      </c>
      <c r="C1021" s="4">
        <v>2023</v>
      </c>
      <c r="D1021" s="4">
        <v>10</v>
      </c>
      <c r="E1021" s="14">
        <v>45216</v>
      </c>
      <c r="F1021" s="4">
        <v>17</v>
      </c>
      <c r="G1021">
        <v>29</v>
      </c>
      <c r="H1021">
        <v>28</v>
      </c>
      <c r="I1021" s="13">
        <v>0.96</v>
      </c>
      <c r="J1021">
        <v>1</v>
      </c>
      <c r="K1021" s="2">
        <v>1.0416666666666667E-4</v>
      </c>
      <c r="L1021" s="11">
        <v>4.2</v>
      </c>
      <c r="M1021" s="3">
        <v>0.15</v>
      </c>
      <c r="N1021" s="4">
        <v>9</v>
      </c>
      <c r="O1021" s="2">
        <v>1.712962962962963E-3</v>
      </c>
      <c r="P1021" s="9">
        <v>69.066666666666663</v>
      </c>
      <c r="Q1021" s="3">
        <v>2.4666666666666668</v>
      </c>
      <c r="R1021" s="4">
        <v>148</v>
      </c>
      <c r="S1021" s="3">
        <v>25</v>
      </c>
      <c r="T1021" s="1">
        <v>0.89290000000000003</v>
      </c>
      <c r="U1021" s="6">
        <v>25.001200000000001</v>
      </c>
    </row>
    <row r="1022" spans="1:21" x14ac:dyDescent="0.35">
      <c r="A1022">
        <v>1021</v>
      </c>
      <c r="B1022" s="5">
        <v>45217</v>
      </c>
      <c r="C1022" s="4">
        <v>2023</v>
      </c>
      <c r="D1022" s="4">
        <v>10</v>
      </c>
      <c r="E1022" s="14">
        <v>45217</v>
      </c>
      <c r="F1022" s="4">
        <v>18</v>
      </c>
      <c r="G1022">
        <v>30</v>
      </c>
      <c r="H1022">
        <v>29</v>
      </c>
      <c r="I1022" s="13">
        <v>0.96</v>
      </c>
      <c r="J1022">
        <v>1</v>
      </c>
      <c r="K1022" s="2">
        <v>2.199074074074074E-4</v>
      </c>
      <c r="L1022" s="11">
        <v>9.1833333333333336</v>
      </c>
      <c r="M1022" s="3">
        <v>0.31666666666666665</v>
      </c>
      <c r="N1022" s="4">
        <v>19</v>
      </c>
      <c r="O1022" s="2">
        <v>1.736111111111111E-3</v>
      </c>
      <c r="P1022" s="9">
        <v>72.5</v>
      </c>
      <c r="Q1022" s="3">
        <v>2.5</v>
      </c>
      <c r="R1022" s="4">
        <v>150</v>
      </c>
      <c r="S1022" s="3">
        <v>24</v>
      </c>
      <c r="T1022" s="1">
        <v>0.83330000000000004</v>
      </c>
      <c r="U1022" s="6">
        <v>24.165700000000001</v>
      </c>
    </row>
    <row r="1023" spans="1:21" x14ac:dyDescent="0.35">
      <c r="A1023">
        <v>1022</v>
      </c>
      <c r="B1023" s="5">
        <v>45218</v>
      </c>
      <c r="C1023" s="4">
        <v>2023</v>
      </c>
      <c r="D1023" s="4">
        <v>10</v>
      </c>
      <c r="E1023" s="14">
        <v>45218</v>
      </c>
      <c r="F1023" s="4">
        <v>19</v>
      </c>
      <c r="G1023">
        <v>287</v>
      </c>
      <c r="H1023">
        <v>273</v>
      </c>
      <c r="I1023" s="13">
        <v>0.95</v>
      </c>
      <c r="J1023">
        <v>14</v>
      </c>
      <c r="K1023" s="2">
        <v>1.8518518518518518E-4</v>
      </c>
      <c r="L1023" s="11">
        <v>72.8</v>
      </c>
      <c r="M1023" s="3">
        <v>0.26666666666666666</v>
      </c>
      <c r="N1023" s="4">
        <v>16</v>
      </c>
      <c r="O1023" s="2">
        <v>1.6203703703703703E-3</v>
      </c>
      <c r="P1023" s="9">
        <v>637</v>
      </c>
      <c r="Q1023" s="3">
        <v>2.3333333333333335</v>
      </c>
      <c r="R1023" s="4">
        <v>140</v>
      </c>
      <c r="S1023" s="3">
        <v>215</v>
      </c>
      <c r="T1023" s="1">
        <v>0.79</v>
      </c>
      <c r="U1023" s="6">
        <v>215.67000000000002</v>
      </c>
    </row>
    <row r="1024" spans="1:21" x14ac:dyDescent="0.35">
      <c r="A1024">
        <v>1023</v>
      </c>
      <c r="B1024" s="5">
        <v>45219</v>
      </c>
      <c r="C1024" s="4">
        <v>2023</v>
      </c>
      <c r="D1024" s="4">
        <v>10</v>
      </c>
      <c r="E1024" s="14">
        <v>45219</v>
      </c>
      <c r="F1024" s="4">
        <v>20</v>
      </c>
      <c r="G1024">
        <v>474</v>
      </c>
      <c r="H1024">
        <v>380</v>
      </c>
      <c r="I1024" s="13">
        <v>0.8</v>
      </c>
      <c r="J1024">
        <v>94</v>
      </c>
      <c r="K1024" s="2">
        <v>4.5138888888888887E-4</v>
      </c>
      <c r="L1024" s="11">
        <v>247</v>
      </c>
      <c r="M1024" s="3">
        <v>0.65</v>
      </c>
      <c r="N1024" s="4">
        <v>39</v>
      </c>
      <c r="O1024" s="2">
        <v>1.4814814814814814E-3</v>
      </c>
      <c r="P1024" s="9">
        <v>810.66666666666663</v>
      </c>
      <c r="Q1024" s="3">
        <v>2.1333333333333333</v>
      </c>
      <c r="R1024" s="4">
        <v>128</v>
      </c>
      <c r="S1024" s="3">
        <v>180</v>
      </c>
      <c r="T1024" s="1">
        <v>0.47420000000000001</v>
      </c>
      <c r="U1024" s="6">
        <v>180.196</v>
      </c>
    </row>
    <row r="1025" spans="1:21" x14ac:dyDescent="0.35">
      <c r="A1025">
        <v>1024</v>
      </c>
      <c r="B1025" s="5">
        <v>45220</v>
      </c>
      <c r="C1025" s="4">
        <v>2023</v>
      </c>
      <c r="D1025" s="4">
        <v>10</v>
      </c>
      <c r="E1025" s="14">
        <v>45220</v>
      </c>
      <c r="F1025" s="4">
        <v>21</v>
      </c>
      <c r="G1025">
        <v>277</v>
      </c>
      <c r="H1025">
        <v>230</v>
      </c>
      <c r="I1025" s="13">
        <v>0.83</v>
      </c>
      <c r="J1025">
        <v>47</v>
      </c>
      <c r="K1025" s="2">
        <v>4.6296296296296298E-4</v>
      </c>
      <c r="L1025" s="11">
        <v>153.33333333333331</v>
      </c>
      <c r="M1025" s="3">
        <v>0.66666666666666663</v>
      </c>
      <c r="N1025" s="4">
        <v>40</v>
      </c>
      <c r="O1025" s="2">
        <v>1.9907407407407408E-3</v>
      </c>
      <c r="P1025" s="9">
        <v>659.33333333333337</v>
      </c>
      <c r="Q1025" s="3">
        <v>2.8666666666666667</v>
      </c>
      <c r="R1025" s="4">
        <v>172</v>
      </c>
      <c r="S1025" s="3">
        <v>106</v>
      </c>
      <c r="T1025" s="1">
        <v>0.46179999999999999</v>
      </c>
      <c r="U1025" s="6">
        <v>106.214</v>
      </c>
    </row>
    <row r="1026" spans="1:21" x14ac:dyDescent="0.35">
      <c r="A1026">
        <v>1025</v>
      </c>
      <c r="B1026" s="5">
        <v>45221</v>
      </c>
      <c r="C1026" s="4">
        <v>2023</v>
      </c>
      <c r="D1026" s="4">
        <v>10</v>
      </c>
      <c r="E1026" s="14">
        <v>45221</v>
      </c>
      <c r="F1026" s="4">
        <v>22</v>
      </c>
      <c r="G1026">
        <v>173</v>
      </c>
      <c r="H1026">
        <v>163</v>
      </c>
      <c r="I1026" s="13">
        <v>0.94</v>
      </c>
      <c r="J1026">
        <v>10</v>
      </c>
      <c r="K1026" s="2">
        <v>1.9675925925925926E-4</v>
      </c>
      <c r="L1026" s="11">
        <v>46.18333333333333</v>
      </c>
      <c r="M1026" s="3">
        <v>0.28333333333333333</v>
      </c>
      <c r="N1026" s="4">
        <v>17</v>
      </c>
      <c r="O1026" s="2">
        <v>1.9212962962962964E-3</v>
      </c>
      <c r="P1026" s="9">
        <v>450.96666666666664</v>
      </c>
      <c r="Q1026" s="3">
        <v>2.7666666666666666</v>
      </c>
      <c r="R1026" s="4">
        <v>166</v>
      </c>
      <c r="S1026" s="3">
        <v>125</v>
      </c>
      <c r="T1026" s="1">
        <v>0.77190000000000003</v>
      </c>
      <c r="U1026" s="6">
        <v>125.81970000000001</v>
      </c>
    </row>
    <row r="1027" spans="1:21" x14ac:dyDescent="0.35">
      <c r="A1027">
        <v>1026</v>
      </c>
      <c r="B1027" s="5">
        <v>45222</v>
      </c>
      <c r="C1027" s="4">
        <v>2023</v>
      </c>
      <c r="D1027" s="4">
        <v>10</v>
      </c>
      <c r="E1027" s="14">
        <v>45222</v>
      </c>
      <c r="F1027" s="4">
        <v>23</v>
      </c>
      <c r="G1027">
        <v>167</v>
      </c>
      <c r="H1027">
        <v>152</v>
      </c>
      <c r="I1027" s="13">
        <v>0.91</v>
      </c>
      <c r="J1027">
        <v>15</v>
      </c>
      <c r="K1027" s="2">
        <v>1.5046296296296297E-4</v>
      </c>
      <c r="L1027" s="11">
        <v>32.933333333333337</v>
      </c>
      <c r="M1027" s="3">
        <v>0.21666666666666667</v>
      </c>
      <c r="N1027" s="4">
        <v>13</v>
      </c>
      <c r="O1027" s="2">
        <v>1.8171296296296297E-3</v>
      </c>
      <c r="P1027" s="9">
        <v>397.73333333333335</v>
      </c>
      <c r="Q1027" s="3">
        <v>2.6166666666666667</v>
      </c>
      <c r="R1027" s="4">
        <v>157</v>
      </c>
      <c r="S1027" s="3">
        <v>127</v>
      </c>
      <c r="T1027" s="1">
        <v>0.84150000000000003</v>
      </c>
      <c r="U1027" s="6">
        <v>127.908</v>
      </c>
    </row>
    <row r="1028" spans="1:21" x14ac:dyDescent="0.35">
      <c r="A1028">
        <v>1027</v>
      </c>
      <c r="B1028" s="5">
        <v>45223</v>
      </c>
      <c r="C1028" s="4">
        <v>2023</v>
      </c>
      <c r="D1028" s="4">
        <v>10</v>
      </c>
      <c r="E1028" s="14">
        <v>45223</v>
      </c>
      <c r="F1028" s="4">
        <v>24</v>
      </c>
      <c r="G1028">
        <v>27</v>
      </c>
      <c r="H1028">
        <v>24</v>
      </c>
      <c r="I1028" s="13">
        <v>0.88</v>
      </c>
      <c r="J1028">
        <v>3</v>
      </c>
      <c r="K1028" s="2">
        <v>2.3148148148148149E-4</v>
      </c>
      <c r="L1028" s="11">
        <v>8</v>
      </c>
      <c r="M1028" s="3">
        <v>0.33333333333333331</v>
      </c>
      <c r="N1028" s="4">
        <v>20</v>
      </c>
      <c r="O1028" s="2">
        <v>1.4467592592592592E-3</v>
      </c>
      <c r="P1028" s="9">
        <v>50</v>
      </c>
      <c r="Q1028" s="3">
        <v>2.0833333333333335</v>
      </c>
      <c r="R1028" s="4">
        <v>125.00000000000001</v>
      </c>
      <c r="S1028" s="3">
        <v>18</v>
      </c>
      <c r="T1028" s="1">
        <v>0.76919999999999999</v>
      </c>
      <c r="U1028" s="6">
        <v>18.460799999999999</v>
      </c>
    </row>
    <row r="1029" spans="1:21" x14ac:dyDescent="0.35">
      <c r="A1029">
        <v>1028</v>
      </c>
      <c r="B1029" s="5">
        <v>45224</v>
      </c>
      <c r="C1029" s="4">
        <v>2023</v>
      </c>
      <c r="D1029" s="4">
        <v>10</v>
      </c>
      <c r="E1029" s="14">
        <v>45224</v>
      </c>
      <c r="F1029" s="4">
        <v>25</v>
      </c>
      <c r="G1029">
        <v>173</v>
      </c>
      <c r="H1029">
        <v>153</v>
      </c>
      <c r="I1029" s="13">
        <v>0.88</v>
      </c>
      <c r="J1029">
        <v>20</v>
      </c>
      <c r="K1029" s="2">
        <v>3.3564814814814812E-4</v>
      </c>
      <c r="L1029" s="11">
        <v>73.95</v>
      </c>
      <c r="M1029" s="3">
        <v>0.48333333333333334</v>
      </c>
      <c r="N1029" s="4">
        <v>29</v>
      </c>
      <c r="O1029" s="2">
        <v>1.9212962962962964E-3</v>
      </c>
      <c r="P1029" s="9">
        <v>423.3</v>
      </c>
      <c r="Q1029" s="3">
        <v>2.7666666666666666</v>
      </c>
      <c r="R1029" s="4">
        <v>166</v>
      </c>
      <c r="S1029" s="3">
        <v>88</v>
      </c>
      <c r="T1029" s="1">
        <v>0.57989999999999997</v>
      </c>
      <c r="U1029" s="6">
        <v>88.724699999999999</v>
      </c>
    </row>
    <row r="1030" spans="1:21" x14ac:dyDescent="0.35">
      <c r="A1030">
        <v>1029</v>
      </c>
      <c r="B1030" s="5">
        <v>45225</v>
      </c>
      <c r="C1030" s="4">
        <v>2023</v>
      </c>
      <c r="D1030" s="4">
        <v>10</v>
      </c>
      <c r="E1030" s="14">
        <v>45225</v>
      </c>
      <c r="F1030" s="4">
        <v>26</v>
      </c>
      <c r="G1030">
        <v>36</v>
      </c>
      <c r="H1030">
        <v>27</v>
      </c>
      <c r="I1030" s="13">
        <v>0.75</v>
      </c>
      <c r="J1030">
        <v>9</v>
      </c>
      <c r="K1030" s="2">
        <v>4.1666666666666669E-4</v>
      </c>
      <c r="L1030" s="11">
        <v>16.2</v>
      </c>
      <c r="M1030" s="3">
        <v>0.6</v>
      </c>
      <c r="N1030" s="4">
        <v>36</v>
      </c>
      <c r="O1030" s="2">
        <v>2.0254629629629629E-3</v>
      </c>
      <c r="P1030" s="9">
        <v>78.75</v>
      </c>
      <c r="Q1030" s="3">
        <v>2.9166666666666665</v>
      </c>
      <c r="R1030" s="4">
        <v>175</v>
      </c>
      <c r="S1030" s="3">
        <v>11</v>
      </c>
      <c r="T1030" s="1">
        <v>0.41670000000000001</v>
      </c>
      <c r="U1030" s="6">
        <v>11.2509</v>
      </c>
    </row>
    <row r="1031" spans="1:21" x14ac:dyDescent="0.35">
      <c r="A1031">
        <v>1030</v>
      </c>
      <c r="B1031" s="5">
        <v>45226</v>
      </c>
      <c r="C1031" s="4">
        <v>2023</v>
      </c>
      <c r="D1031" s="4">
        <v>10</v>
      </c>
      <c r="E1031" s="14">
        <v>45226</v>
      </c>
      <c r="F1031" s="4">
        <v>27</v>
      </c>
      <c r="G1031">
        <v>186</v>
      </c>
      <c r="H1031">
        <v>171</v>
      </c>
      <c r="I1031" s="13">
        <v>0.91</v>
      </c>
      <c r="J1031">
        <v>15</v>
      </c>
      <c r="K1031" s="2">
        <v>3.1250000000000001E-4</v>
      </c>
      <c r="L1031" s="11">
        <v>76.95</v>
      </c>
      <c r="M1031" s="3">
        <v>0.45</v>
      </c>
      <c r="N1031" s="4">
        <v>27</v>
      </c>
      <c r="O1031" s="2">
        <v>1.9560185185185184E-3</v>
      </c>
      <c r="P1031" s="9">
        <v>481.65</v>
      </c>
      <c r="Q1031" s="3">
        <v>2.8166666666666664</v>
      </c>
      <c r="R1031" s="4">
        <v>169</v>
      </c>
      <c r="S1031" s="3">
        <v>110</v>
      </c>
      <c r="T1031" s="1">
        <v>0.64480000000000004</v>
      </c>
      <c r="U1031" s="6">
        <v>110.2608</v>
      </c>
    </row>
    <row r="1032" spans="1:21" x14ac:dyDescent="0.35">
      <c r="A1032">
        <v>1031</v>
      </c>
      <c r="B1032" s="5">
        <v>45227</v>
      </c>
      <c r="C1032" s="4">
        <v>2023</v>
      </c>
      <c r="D1032" s="4">
        <v>10</v>
      </c>
      <c r="E1032" s="14">
        <v>45227</v>
      </c>
      <c r="F1032" s="4">
        <v>28</v>
      </c>
      <c r="G1032">
        <v>160</v>
      </c>
      <c r="H1032">
        <v>149</v>
      </c>
      <c r="I1032" s="13">
        <v>0.93</v>
      </c>
      <c r="J1032">
        <v>11</v>
      </c>
      <c r="K1032" s="2">
        <v>2.6620370370370372E-4</v>
      </c>
      <c r="L1032" s="11">
        <v>57.116666666666667</v>
      </c>
      <c r="M1032" s="3">
        <v>0.38333333333333336</v>
      </c>
      <c r="N1032" s="4">
        <v>23</v>
      </c>
      <c r="O1032" s="2">
        <v>1.9328703703703704E-3</v>
      </c>
      <c r="P1032" s="9">
        <v>414.71666666666664</v>
      </c>
      <c r="Q1032" s="3">
        <v>2.7833333333333332</v>
      </c>
      <c r="R1032" s="4">
        <v>167</v>
      </c>
      <c r="S1032" s="3">
        <v>110</v>
      </c>
      <c r="T1032" s="1">
        <v>0.74050000000000005</v>
      </c>
      <c r="U1032" s="6">
        <v>110.33450000000001</v>
      </c>
    </row>
    <row r="1033" spans="1:21" x14ac:dyDescent="0.35">
      <c r="A1033">
        <v>1032</v>
      </c>
      <c r="B1033" s="5">
        <v>45228</v>
      </c>
      <c r="C1033" s="4">
        <v>2023</v>
      </c>
      <c r="D1033" s="4">
        <v>10</v>
      </c>
      <c r="E1033" s="14">
        <v>45228</v>
      </c>
      <c r="F1033" s="4">
        <v>29</v>
      </c>
      <c r="G1033">
        <v>233</v>
      </c>
      <c r="H1033">
        <v>215</v>
      </c>
      <c r="I1033" s="13">
        <v>0.92</v>
      </c>
      <c r="J1033">
        <v>18</v>
      </c>
      <c r="K1033" s="2">
        <v>2.5462962962962961E-4</v>
      </c>
      <c r="L1033" s="11">
        <v>78.833333333333329</v>
      </c>
      <c r="M1033" s="3">
        <v>0.36666666666666664</v>
      </c>
      <c r="N1033" s="4">
        <v>22</v>
      </c>
      <c r="O1033" s="2">
        <v>1.7824074074074075E-3</v>
      </c>
      <c r="P1033" s="9">
        <v>551.83333333333326</v>
      </c>
      <c r="Q1033" s="3">
        <v>2.5666666666666664</v>
      </c>
      <c r="R1033" s="4">
        <v>154</v>
      </c>
      <c r="S1033" s="3">
        <v>159</v>
      </c>
      <c r="T1033" s="1">
        <v>0.74119999999999997</v>
      </c>
      <c r="U1033" s="6">
        <v>159.358</v>
      </c>
    </row>
    <row r="1034" spans="1:21" x14ac:dyDescent="0.35">
      <c r="A1034">
        <v>1033</v>
      </c>
      <c r="B1034" s="5">
        <v>45229</v>
      </c>
      <c r="C1034" s="4">
        <v>2023</v>
      </c>
      <c r="D1034" s="4">
        <v>10</v>
      </c>
      <c r="E1034" s="14">
        <v>45229</v>
      </c>
      <c r="F1034" s="4">
        <v>30</v>
      </c>
      <c r="G1034">
        <v>162</v>
      </c>
      <c r="H1034">
        <v>157</v>
      </c>
      <c r="I1034" s="13">
        <v>0.96</v>
      </c>
      <c r="J1034">
        <v>5</v>
      </c>
      <c r="K1034" s="2">
        <v>1.5046296296296297E-4</v>
      </c>
      <c r="L1034" s="11">
        <v>34.016666666666666</v>
      </c>
      <c r="M1034" s="3">
        <v>0.21666666666666667</v>
      </c>
      <c r="N1034" s="4">
        <v>13</v>
      </c>
      <c r="O1034" s="2">
        <v>1.7592592592592592E-3</v>
      </c>
      <c r="P1034" s="9">
        <v>397.73333333333329</v>
      </c>
      <c r="Q1034" s="3">
        <v>2.5333333333333332</v>
      </c>
      <c r="R1034" s="4">
        <v>152</v>
      </c>
      <c r="S1034" s="3">
        <v>129</v>
      </c>
      <c r="T1034" s="1">
        <v>0.82720000000000005</v>
      </c>
      <c r="U1034" s="6">
        <v>129.87040000000002</v>
      </c>
    </row>
    <row r="1035" spans="1:21" x14ac:dyDescent="0.35">
      <c r="A1035">
        <v>1034</v>
      </c>
      <c r="B1035" s="5">
        <v>45230</v>
      </c>
      <c r="C1035" s="4">
        <v>2023</v>
      </c>
      <c r="D1035" s="4">
        <v>10</v>
      </c>
      <c r="E1035" s="14">
        <v>45230</v>
      </c>
      <c r="F1035" s="4">
        <v>31</v>
      </c>
      <c r="G1035">
        <v>27</v>
      </c>
      <c r="H1035">
        <v>24</v>
      </c>
      <c r="I1035" s="13">
        <v>0.88</v>
      </c>
      <c r="J1035">
        <v>3</v>
      </c>
      <c r="K1035" s="2">
        <v>2.0833333333333335E-4</v>
      </c>
      <c r="L1035" s="11">
        <v>7.1999999999999993</v>
      </c>
      <c r="M1035" s="3">
        <v>0.3</v>
      </c>
      <c r="N1035" s="4">
        <v>18</v>
      </c>
      <c r="O1035" s="2">
        <v>1.5046296296296296E-3</v>
      </c>
      <c r="P1035" s="9">
        <v>52</v>
      </c>
      <c r="Q1035" s="3">
        <v>2.1666666666666665</v>
      </c>
      <c r="R1035" s="4">
        <v>130</v>
      </c>
      <c r="S1035" s="3">
        <v>16</v>
      </c>
      <c r="T1035" s="1">
        <v>0.70369999999999999</v>
      </c>
      <c r="U1035" s="6">
        <v>16.8888</v>
      </c>
    </row>
    <row r="1036" spans="1:21" x14ac:dyDescent="0.35">
      <c r="A1036">
        <v>1035</v>
      </c>
      <c r="B1036" s="5">
        <v>45231</v>
      </c>
      <c r="C1036" s="4">
        <v>2023</v>
      </c>
      <c r="D1036" s="4">
        <v>11</v>
      </c>
      <c r="E1036" s="14">
        <v>45231</v>
      </c>
      <c r="F1036" s="4">
        <v>1</v>
      </c>
      <c r="G1036">
        <v>168</v>
      </c>
      <c r="H1036">
        <v>155</v>
      </c>
      <c r="I1036" s="13">
        <v>0.92</v>
      </c>
      <c r="J1036">
        <v>13</v>
      </c>
      <c r="K1036" s="2">
        <v>3.0092592592592595E-4</v>
      </c>
      <c r="L1036" s="11">
        <v>67.166666666666671</v>
      </c>
      <c r="M1036" s="3">
        <v>0.43333333333333335</v>
      </c>
      <c r="N1036" s="4">
        <v>26</v>
      </c>
      <c r="O1036" s="2">
        <v>2.2916666666666667E-3</v>
      </c>
      <c r="P1036" s="9">
        <v>511.5</v>
      </c>
      <c r="Q1036" s="3">
        <v>3.3</v>
      </c>
      <c r="R1036" s="4">
        <v>198</v>
      </c>
      <c r="S1036" s="3">
        <v>100</v>
      </c>
      <c r="T1036" s="1">
        <v>0.64880000000000004</v>
      </c>
      <c r="U1036" s="6">
        <v>100.56400000000001</v>
      </c>
    </row>
    <row r="1037" spans="1:21" x14ac:dyDescent="0.35">
      <c r="A1037">
        <v>1036</v>
      </c>
      <c r="B1037" s="5">
        <v>45232</v>
      </c>
      <c r="C1037" s="4">
        <v>2023</v>
      </c>
      <c r="D1037" s="4">
        <v>11</v>
      </c>
      <c r="E1037" s="14">
        <v>45232</v>
      </c>
      <c r="F1037" s="4">
        <v>2</v>
      </c>
      <c r="G1037">
        <v>328</v>
      </c>
      <c r="H1037">
        <v>301</v>
      </c>
      <c r="I1037" s="13">
        <v>0.91</v>
      </c>
      <c r="J1037">
        <v>27</v>
      </c>
      <c r="K1037" s="2">
        <v>2.6620370370370372E-4</v>
      </c>
      <c r="L1037" s="11">
        <v>115.38333333333334</v>
      </c>
      <c r="M1037" s="3">
        <v>0.38333333333333336</v>
      </c>
      <c r="N1037" s="4">
        <v>23</v>
      </c>
      <c r="O1037" s="2">
        <v>1.724537037037037E-3</v>
      </c>
      <c r="P1037" s="9">
        <v>747.48333333333335</v>
      </c>
      <c r="Q1037" s="3">
        <v>2.4833333333333334</v>
      </c>
      <c r="R1037" s="4">
        <v>149</v>
      </c>
      <c r="S1037" s="3">
        <v>204</v>
      </c>
      <c r="T1037" s="1">
        <v>0.67910000000000004</v>
      </c>
      <c r="U1037" s="6">
        <v>204.40910000000002</v>
      </c>
    </row>
    <row r="1038" spans="1:21" x14ac:dyDescent="0.35">
      <c r="A1038">
        <v>1037</v>
      </c>
      <c r="B1038" s="5">
        <v>45233</v>
      </c>
      <c r="C1038" s="4">
        <v>2023</v>
      </c>
      <c r="D1038" s="4">
        <v>11</v>
      </c>
      <c r="E1038" s="14">
        <v>45233</v>
      </c>
      <c r="F1038" s="4">
        <v>3</v>
      </c>
      <c r="G1038">
        <v>234</v>
      </c>
      <c r="H1038">
        <v>208</v>
      </c>
      <c r="I1038" s="13">
        <v>0.88</v>
      </c>
      <c r="J1038">
        <v>26</v>
      </c>
      <c r="K1038" s="2">
        <v>2.3148148148148149E-4</v>
      </c>
      <c r="L1038" s="11">
        <v>69.333333333333329</v>
      </c>
      <c r="M1038" s="3">
        <v>0.33333333333333331</v>
      </c>
      <c r="N1038" s="4">
        <v>20</v>
      </c>
      <c r="O1038" s="2">
        <v>1.8981481481481482E-3</v>
      </c>
      <c r="P1038" s="9">
        <v>568.5333333333333</v>
      </c>
      <c r="Q1038" s="3">
        <v>2.7333333333333334</v>
      </c>
      <c r="R1038" s="4">
        <v>164</v>
      </c>
      <c r="S1038" s="3">
        <v>150</v>
      </c>
      <c r="T1038" s="1">
        <v>0.72250000000000003</v>
      </c>
      <c r="U1038" s="6">
        <v>150.28</v>
      </c>
    </row>
    <row r="1039" spans="1:21" x14ac:dyDescent="0.35">
      <c r="A1039">
        <v>1038</v>
      </c>
      <c r="B1039" s="5">
        <v>45234</v>
      </c>
      <c r="C1039" s="4">
        <v>2023</v>
      </c>
      <c r="D1039" s="4">
        <v>11</v>
      </c>
      <c r="E1039" s="14">
        <v>45234</v>
      </c>
      <c r="F1039" s="4">
        <v>4</v>
      </c>
      <c r="G1039">
        <v>37</v>
      </c>
      <c r="H1039">
        <v>34</v>
      </c>
      <c r="I1039" s="13">
        <v>0.91</v>
      </c>
      <c r="J1039">
        <v>3</v>
      </c>
      <c r="K1039" s="2">
        <v>1.6203703703703703E-4</v>
      </c>
      <c r="L1039" s="11">
        <v>7.9333333333333336</v>
      </c>
      <c r="M1039" s="3">
        <v>0.23333333333333334</v>
      </c>
      <c r="N1039" s="4">
        <v>14</v>
      </c>
      <c r="O1039" s="2">
        <v>1.5740740740740741E-3</v>
      </c>
      <c r="P1039" s="9">
        <v>77.066666666666663</v>
      </c>
      <c r="Q1039" s="3">
        <v>2.2666666666666666</v>
      </c>
      <c r="R1039" s="4">
        <v>136</v>
      </c>
      <c r="S1039" s="3">
        <v>28</v>
      </c>
      <c r="T1039" s="1">
        <v>0.83779999999999999</v>
      </c>
      <c r="U1039" s="6">
        <v>28.485199999999999</v>
      </c>
    </row>
    <row r="1040" spans="1:21" x14ac:dyDescent="0.35">
      <c r="A1040">
        <v>1039</v>
      </c>
      <c r="B1040" s="5">
        <v>45235</v>
      </c>
      <c r="C1040" s="4">
        <v>2023</v>
      </c>
      <c r="D1040" s="4">
        <v>11</v>
      </c>
      <c r="E1040" s="14">
        <v>45235</v>
      </c>
      <c r="F1040" s="4">
        <v>5</v>
      </c>
      <c r="G1040">
        <v>185</v>
      </c>
      <c r="H1040">
        <v>167</v>
      </c>
      <c r="I1040" s="13">
        <v>0.9</v>
      </c>
      <c r="J1040">
        <v>18</v>
      </c>
      <c r="K1040" s="2">
        <v>2.0833333333333335E-4</v>
      </c>
      <c r="L1040" s="11">
        <v>50.1</v>
      </c>
      <c r="M1040" s="3">
        <v>0.3</v>
      </c>
      <c r="N1040" s="4">
        <v>18</v>
      </c>
      <c r="O1040" s="2">
        <v>1.8865740740740742E-3</v>
      </c>
      <c r="P1040" s="9">
        <v>453.68333333333334</v>
      </c>
      <c r="Q1040" s="3">
        <v>2.7166666666666668</v>
      </c>
      <c r="R1040" s="4">
        <v>163</v>
      </c>
      <c r="S1040" s="3">
        <v>122</v>
      </c>
      <c r="T1040" s="1">
        <v>0.73509999999999998</v>
      </c>
      <c r="U1040" s="6">
        <v>122.76169999999999</v>
      </c>
    </row>
    <row r="1041" spans="1:21" x14ac:dyDescent="0.35">
      <c r="A1041">
        <v>1040</v>
      </c>
      <c r="B1041" s="5">
        <v>45236</v>
      </c>
      <c r="C1041" s="4">
        <v>2023</v>
      </c>
      <c r="D1041" s="4">
        <v>11</v>
      </c>
      <c r="E1041" s="14">
        <v>45236</v>
      </c>
      <c r="F1041" s="4">
        <v>6</v>
      </c>
      <c r="G1041">
        <v>139</v>
      </c>
      <c r="H1041">
        <v>132</v>
      </c>
      <c r="I1041" s="13">
        <v>0.94</v>
      </c>
      <c r="J1041">
        <v>7</v>
      </c>
      <c r="K1041" s="2">
        <v>1.1574074074074075E-4</v>
      </c>
      <c r="L1041" s="11">
        <v>22</v>
      </c>
      <c r="M1041" s="3">
        <v>0.16666666666666666</v>
      </c>
      <c r="N1041" s="4">
        <v>10</v>
      </c>
      <c r="O1041" s="2">
        <v>2.0486111111111113E-3</v>
      </c>
      <c r="P1041" s="9">
        <v>389.40000000000003</v>
      </c>
      <c r="Q1041" s="3">
        <v>2.95</v>
      </c>
      <c r="R1041" s="4">
        <v>177</v>
      </c>
      <c r="S1041" s="3">
        <v>116</v>
      </c>
      <c r="T1041" s="1">
        <v>0.88319999999999999</v>
      </c>
      <c r="U1041" s="6">
        <v>116.58239999999999</v>
      </c>
    </row>
    <row r="1042" spans="1:21" x14ac:dyDescent="0.35">
      <c r="A1042">
        <v>1041</v>
      </c>
      <c r="B1042" s="5">
        <v>45237</v>
      </c>
      <c r="C1042" s="4">
        <v>2023</v>
      </c>
      <c r="D1042" s="4">
        <v>11</v>
      </c>
      <c r="E1042" s="14">
        <v>45237</v>
      </c>
      <c r="F1042" s="4">
        <v>7</v>
      </c>
      <c r="G1042">
        <v>13</v>
      </c>
      <c r="H1042">
        <v>11</v>
      </c>
      <c r="I1042" s="13">
        <v>0.84</v>
      </c>
      <c r="J1042">
        <v>2</v>
      </c>
      <c r="K1042" s="2">
        <v>5.3240740740740744E-4</v>
      </c>
      <c r="L1042" s="11">
        <v>8.4333333333333336</v>
      </c>
      <c r="M1042" s="3">
        <v>0.76666666666666672</v>
      </c>
      <c r="N1042" s="4">
        <v>46</v>
      </c>
      <c r="O1042" s="2">
        <v>1.4699074074074074E-3</v>
      </c>
      <c r="P1042" s="9">
        <v>23.283333333333335</v>
      </c>
      <c r="Q1042" s="3">
        <v>2.1166666666666667</v>
      </c>
      <c r="R1042" s="4">
        <v>127</v>
      </c>
      <c r="S1042" s="3">
        <v>4</v>
      </c>
      <c r="T1042" s="1">
        <v>0.41670000000000001</v>
      </c>
      <c r="U1042" s="6">
        <v>4.5837000000000003</v>
      </c>
    </row>
    <row r="1043" spans="1:21" x14ac:dyDescent="0.35">
      <c r="A1043">
        <v>1042</v>
      </c>
      <c r="B1043" s="5">
        <v>45238</v>
      </c>
      <c r="C1043" s="4">
        <v>2023</v>
      </c>
      <c r="D1043" s="4">
        <v>11</v>
      </c>
      <c r="E1043" s="14">
        <v>45238</v>
      </c>
      <c r="F1043" s="4">
        <v>8</v>
      </c>
      <c r="G1043">
        <v>161</v>
      </c>
      <c r="H1043">
        <v>152</v>
      </c>
      <c r="I1043" s="13">
        <v>0.94</v>
      </c>
      <c r="J1043">
        <v>9</v>
      </c>
      <c r="K1043" s="2">
        <v>2.6620370370370372E-4</v>
      </c>
      <c r="L1043" s="11">
        <v>58.266666666666673</v>
      </c>
      <c r="M1043" s="3">
        <v>0.38333333333333336</v>
      </c>
      <c r="N1043" s="4">
        <v>23</v>
      </c>
      <c r="O1043" s="2">
        <v>1.712962962962963E-3</v>
      </c>
      <c r="P1043" s="9">
        <v>374.93333333333334</v>
      </c>
      <c r="Q1043" s="3">
        <v>2.4666666666666668</v>
      </c>
      <c r="R1043" s="4">
        <v>148</v>
      </c>
      <c r="S1043" s="3">
        <v>105</v>
      </c>
      <c r="T1043" s="1">
        <v>0.69620000000000004</v>
      </c>
      <c r="U1043" s="6">
        <v>105.8224</v>
      </c>
    </row>
    <row r="1044" spans="1:21" x14ac:dyDescent="0.35">
      <c r="A1044">
        <v>1043</v>
      </c>
      <c r="B1044" s="5">
        <v>45239</v>
      </c>
      <c r="C1044" s="4">
        <v>2023</v>
      </c>
      <c r="D1044" s="4">
        <v>11</v>
      </c>
      <c r="E1044" s="14">
        <v>45239</v>
      </c>
      <c r="F1044" s="4">
        <v>9</v>
      </c>
      <c r="G1044">
        <v>149</v>
      </c>
      <c r="H1044">
        <v>144</v>
      </c>
      <c r="I1044" s="13">
        <v>0.96</v>
      </c>
      <c r="J1044">
        <v>5</v>
      </c>
      <c r="K1044" s="2">
        <v>1.7361111111111112E-4</v>
      </c>
      <c r="L1044" s="11">
        <v>36</v>
      </c>
      <c r="M1044" s="3">
        <v>0.25</v>
      </c>
      <c r="N1044" s="4">
        <v>15</v>
      </c>
      <c r="O1044" s="2">
        <v>1.9212962962962964E-3</v>
      </c>
      <c r="P1044" s="9">
        <v>398.4</v>
      </c>
      <c r="Q1044" s="3">
        <v>2.7666666666666666</v>
      </c>
      <c r="R1044" s="4">
        <v>166</v>
      </c>
      <c r="S1044" s="3">
        <v>119</v>
      </c>
      <c r="T1044" s="1">
        <v>0.83109999999999995</v>
      </c>
      <c r="U1044" s="6">
        <v>119.6784</v>
      </c>
    </row>
    <row r="1045" spans="1:21" x14ac:dyDescent="0.35">
      <c r="A1045">
        <v>1044</v>
      </c>
      <c r="B1045" s="5">
        <v>45240</v>
      </c>
      <c r="C1045" s="4">
        <v>2023</v>
      </c>
      <c r="D1045" s="4">
        <v>11</v>
      </c>
      <c r="E1045" s="14">
        <v>45240</v>
      </c>
      <c r="F1045" s="4">
        <v>10</v>
      </c>
      <c r="G1045">
        <v>178</v>
      </c>
      <c r="H1045">
        <v>167</v>
      </c>
      <c r="I1045" s="13">
        <v>0.93</v>
      </c>
      <c r="J1045">
        <v>11</v>
      </c>
      <c r="K1045" s="2">
        <v>2.5462962962962961E-4</v>
      </c>
      <c r="L1045" s="11">
        <v>61.233333333333327</v>
      </c>
      <c r="M1045" s="3">
        <v>0.36666666666666664</v>
      </c>
      <c r="N1045" s="4">
        <v>22</v>
      </c>
      <c r="O1045" s="2">
        <v>1.8749999999999999E-3</v>
      </c>
      <c r="P1045" s="9">
        <v>450.90000000000003</v>
      </c>
      <c r="Q1045" s="3">
        <v>2.7</v>
      </c>
      <c r="R1045" s="4">
        <v>162</v>
      </c>
      <c r="S1045" s="3">
        <v>125</v>
      </c>
      <c r="T1045" s="1">
        <v>0.74860000000000004</v>
      </c>
      <c r="U1045" s="6">
        <v>125.01620000000001</v>
      </c>
    </row>
    <row r="1046" spans="1:21" x14ac:dyDescent="0.35">
      <c r="A1046">
        <v>1045</v>
      </c>
      <c r="B1046" s="5">
        <v>45241</v>
      </c>
      <c r="C1046" s="4">
        <v>2023</v>
      </c>
      <c r="D1046" s="4">
        <v>11</v>
      </c>
      <c r="E1046" s="14">
        <v>45241</v>
      </c>
      <c r="F1046" s="4">
        <v>11</v>
      </c>
      <c r="G1046">
        <v>224</v>
      </c>
      <c r="H1046">
        <v>210</v>
      </c>
      <c r="I1046" s="13">
        <v>0.93</v>
      </c>
      <c r="J1046">
        <v>14</v>
      </c>
      <c r="K1046" s="2">
        <v>2.4305555555555555E-4</v>
      </c>
      <c r="L1046" s="11">
        <v>73.5</v>
      </c>
      <c r="M1046" s="3">
        <v>0.35</v>
      </c>
      <c r="N1046" s="4">
        <v>21</v>
      </c>
      <c r="O1046" s="2">
        <v>2.0833333333333333E-3</v>
      </c>
      <c r="P1046" s="9">
        <v>630</v>
      </c>
      <c r="Q1046" s="3">
        <v>3</v>
      </c>
      <c r="R1046" s="4">
        <v>180</v>
      </c>
      <c r="S1046" s="3">
        <v>152</v>
      </c>
      <c r="T1046" s="1">
        <v>0.72519999999999996</v>
      </c>
      <c r="U1046" s="6">
        <v>152.292</v>
      </c>
    </row>
    <row r="1047" spans="1:21" x14ac:dyDescent="0.35">
      <c r="A1047">
        <v>1046</v>
      </c>
      <c r="B1047" s="5">
        <v>45242</v>
      </c>
      <c r="C1047" s="4">
        <v>2023</v>
      </c>
      <c r="D1047" s="4">
        <v>11</v>
      </c>
      <c r="E1047" s="14">
        <v>45242</v>
      </c>
      <c r="F1047" s="4">
        <v>12</v>
      </c>
      <c r="G1047">
        <v>277</v>
      </c>
      <c r="H1047">
        <v>273</v>
      </c>
      <c r="I1047" s="13">
        <v>0.98</v>
      </c>
      <c r="J1047">
        <v>4</v>
      </c>
      <c r="K1047" s="2">
        <v>1.1574074074074075E-4</v>
      </c>
      <c r="L1047" s="11">
        <v>45.5</v>
      </c>
      <c r="M1047" s="3">
        <v>0.16666666666666666</v>
      </c>
      <c r="N1047" s="4">
        <v>10</v>
      </c>
      <c r="O1047" s="2">
        <v>1.3888888888888889E-3</v>
      </c>
      <c r="P1047" s="9">
        <v>546</v>
      </c>
      <c r="Q1047" s="3">
        <v>2</v>
      </c>
      <c r="R1047" s="4">
        <v>120</v>
      </c>
      <c r="S1047" s="3">
        <v>244</v>
      </c>
      <c r="T1047" s="1">
        <v>0.89739999999999998</v>
      </c>
      <c r="U1047" s="6">
        <v>244.99019999999999</v>
      </c>
    </row>
    <row r="1048" spans="1:21" x14ac:dyDescent="0.35">
      <c r="A1048">
        <v>1047</v>
      </c>
      <c r="B1048" s="5">
        <v>45243</v>
      </c>
      <c r="C1048" s="4">
        <v>2023</v>
      </c>
      <c r="D1048" s="4">
        <v>11</v>
      </c>
      <c r="E1048" s="14">
        <v>45243</v>
      </c>
      <c r="F1048" s="4">
        <v>13</v>
      </c>
      <c r="G1048">
        <v>188</v>
      </c>
      <c r="H1048">
        <v>172</v>
      </c>
      <c r="I1048" s="13">
        <v>0.91</v>
      </c>
      <c r="J1048">
        <v>16</v>
      </c>
      <c r="K1048" s="2">
        <v>2.3148148148148149E-4</v>
      </c>
      <c r="L1048" s="11">
        <v>57.333333333333329</v>
      </c>
      <c r="M1048" s="3">
        <v>0.33333333333333331</v>
      </c>
      <c r="N1048" s="4">
        <v>20</v>
      </c>
      <c r="O1048" s="2">
        <v>1.8634259259259259E-3</v>
      </c>
      <c r="P1048" s="9">
        <v>461.53333333333336</v>
      </c>
      <c r="Q1048" s="3">
        <v>2.6833333333333336</v>
      </c>
      <c r="R1048" s="4">
        <v>161</v>
      </c>
      <c r="S1048" s="3">
        <v>124</v>
      </c>
      <c r="T1048" s="1">
        <v>0.72189999999999999</v>
      </c>
      <c r="U1048" s="6">
        <v>124.16679999999999</v>
      </c>
    </row>
    <row r="1049" spans="1:21" x14ac:dyDescent="0.35">
      <c r="A1049">
        <v>1048</v>
      </c>
      <c r="B1049" s="5">
        <v>45244</v>
      </c>
      <c r="C1049" s="4">
        <v>2023</v>
      </c>
      <c r="D1049" s="4">
        <v>11</v>
      </c>
      <c r="E1049" s="14">
        <v>45244</v>
      </c>
      <c r="F1049" s="4">
        <v>14</v>
      </c>
      <c r="G1049">
        <v>26</v>
      </c>
      <c r="H1049">
        <v>22</v>
      </c>
      <c r="I1049" s="13">
        <v>0.84</v>
      </c>
      <c r="J1049">
        <v>4</v>
      </c>
      <c r="K1049" s="2">
        <v>3.9351851851851852E-4</v>
      </c>
      <c r="L1049" s="11">
        <v>12.466666666666667</v>
      </c>
      <c r="M1049" s="3">
        <v>0.56666666666666665</v>
      </c>
      <c r="N1049" s="4">
        <v>34</v>
      </c>
      <c r="O1049" s="2">
        <v>1.6550925925925926E-3</v>
      </c>
      <c r="P1049" s="9">
        <v>52.43333333333333</v>
      </c>
      <c r="Q1049" s="3">
        <v>2.3833333333333333</v>
      </c>
      <c r="R1049" s="4">
        <v>143</v>
      </c>
      <c r="S1049" s="3">
        <v>14</v>
      </c>
      <c r="T1049" s="1">
        <v>0.68</v>
      </c>
      <c r="U1049" s="6">
        <v>14.96</v>
      </c>
    </row>
    <row r="1050" spans="1:21" x14ac:dyDescent="0.35">
      <c r="A1050">
        <v>1049</v>
      </c>
      <c r="B1050" s="5">
        <v>45245</v>
      </c>
      <c r="C1050" s="4">
        <v>2023</v>
      </c>
      <c r="D1050" s="4">
        <v>11</v>
      </c>
      <c r="E1050" s="14">
        <v>45245</v>
      </c>
      <c r="F1050" s="4">
        <v>15</v>
      </c>
      <c r="G1050">
        <v>177</v>
      </c>
      <c r="H1050">
        <v>167</v>
      </c>
      <c r="I1050" s="13">
        <v>0.94</v>
      </c>
      <c r="J1050">
        <v>10</v>
      </c>
      <c r="K1050" s="2">
        <v>4.0509259259259258E-4</v>
      </c>
      <c r="L1050" s="11">
        <v>97.416666666666671</v>
      </c>
      <c r="M1050" s="3">
        <v>0.58333333333333337</v>
      </c>
      <c r="N1050" s="4">
        <v>35</v>
      </c>
      <c r="O1050" s="2">
        <v>2.0370370370370369E-3</v>
      </c>
      <c r="P1050" s="9">
        <v>489.86666666666673</v>
      </c>
      <c r="Q1050" s="3">
        <v>2.9333333333333336</v>
      </c>
      <c r="R1050" s="4">
        <v>176</v>
      </c>
      <c r="S1050" s="3">
        <v>93</v>
      </c>
      <c r="T1050" s="1">
        <v>0.5625</v>
      </c>
      <c r="U1050" s="6">
        <v>93.9375</v>
      </c>
    </row>
    <row r="1051" spans="1:21" x14ac:dyDescent="0.35">
      <c r="A1051">
        <v>1050</v>
      </c>
      <c r="B1051" s="5">
        <v>45246</v>
      </c>
      <c r="C1051" s="4">
        <v>2023</v>
      </c>
      <c r="D1051" s="4">
        <v>11</v>
      </c>
      <c r="E1051" s="14">
        <v>45246</v>
      </c>
      <c r="F1051" s="4">
        <v>16</v>
      </c>
      <c r="G1051">
        <v>149</v>
      </c>
      <c r="H1051">
        <v>144</v>
      </c>
      <c r="I1051" s="13">
        <v>0.96</v>
      </c>
      <c r="J1051">
        <v>5</v>
      </c>
      <c r="K1051" s="2">
        <v>3.2407407407407406E-4</v>
      </c>
      <c r="L1051" s="11">
        <v>67.2</v>
      </c>
      <c r="M1051" s="3">
        <v>0.46666666666666667</v>
      </c>
      <c r="N1051" s="4">
        <v>28</v>
      </c>
      <c r="O1051" s="2">
        <v>1.9328703703703704E-3</v>
      </c>
      <c r="P1051" s="9">
        <v>400.79999999999995</v>
      </c>
      <c r="Q1051" s="3">
        <v>2.7833333333333332</v>
      </c>
      <c r="R1051" s="4">
        <v>167</v>
      </c>
      <c r="S1051" s="3">
        <v>95</v>
      </c>
      <c r="T1051" s="1">
        <v>0.66220000000000001</v>
      </c>
      <c r="U1051" s="6">
        <v>95.356800000000007</v>
      </c>
    </row>
    <row r="1052" spans="1:21" x14ac:dyDescent="0.35">
      <c r="A1052">
        <v>1051</v>
      </c>
      <c r="B1052" s="5">
        <v>45247</v>
      </c>
      <c r="C1052" s="4">
        <v>2023</v>
      </c>
      <c r="D1052" s="4">
        <v>11</v>
      </c>
      <c r="E1052" s="14">
        <v>45247</v>
      </c>
      <c r="F1052" s="4">
        <v>17</v>
      </c>
      <c r="G1052">
        <v>147</v>
      </c>
      <c r="H1052">
        <v>147</v>
      </c>
      <c r="I1052" s="13">
        <v>1</v>
      </c>
      <c r="J1052">
        <v>0</v>
      </c>
      <c r="K1052" s="2">
        <v>1.273148148148148E-4</v>
      </c>
      <c r="L1052" s="11">
        <v>26.95</v>
      </c>
      <c r="M1052" s="3">
        <v>0.18333333333333332</v>
      </c>
      <c r="N1052" s="4">
        <v>11</v>
      </c>
      <c r="O1052" s="2">
        <v>1.9791666666666668E-3</v>
      </c>
      <c r="P1052" s="9">
        <v>418.95</v>
      </c>
      <c r="Q1052" s="3">
        <v>2.85</v>
      </c>
      <c r="R1052" s="4">
        <v>171</v>
      </c>
      <c r="S1052" s="3">
        <v>125</v>
      </c>
      <c r="T1052" s="1">
        <v>0.85709999999999997</v>
      </c>
      <c r="U1052" s="6">
        <v>125.99369999999999</v>
      </c>
    </row>
    <row r="1053" spans="1:21" x14ac:dyDescent="0.35">
      <c r="A1053">
        <v>1052</v>
      </c>
      <c r="B1053" s="5">
        <v>45248</v>
      </c>
      <c r="C1053" s="4">
        <v>2023</v>
      </c>
      <c r="D1053" s="4">
        <v>11</v>
      </c>
      <c r="E1053" s="14">
        <v>45248</v>
      </c>
      <c r="F1053" s="4">
        <v>18</v>
      </c>
      <c r="G1053">
        <v>140</v>
      </c>
      <c r="H1053">
        <v>134</v>
      </c>
      <c r="I1053" s="13">
        <v>0.95</v>
      </c>
      <c r="J1053">
        <v>6</v>
      </c>
      <c r="K1053" s="2">
        <v>2.199074074074074E-4</v>
      </c>
      <c r="L1053" s="11">
        <v>42.43333333333333</v>
      </c>
      <c r="M1053" s="3">
        <v>0.31666666666666665</v>
      </c>
      <c r="N1053" s="4">
        <v>19</v>
      </c>
      <c r="O1053" s="2">
        <v>1.8981481481481482E-3</v>
      </c>
      <c r="P1053" s="9">
        <v>366.26666666666665</v>
      </c>
      <c r="Q1053" s="3">
        <v>2.7333333333333334</v>
      </c>
      <c r="R1053" s="4">
        <v>164</v>
      </c>
      <c r="S1053" s="3">
        <v>105</v>
      </c>
      <c r="T1053" s="1">
        <v>0.78569999999999995</v>
      </c>
      <c r="U1053" s="6">
        <v>105.2838</v>
      </c>
    </row>
    <row r="1054" spans="1:21" x14ac:dyDescent="0.35">
      <c r="A1054">
        <v>1053</v>
      </c>
      <c r="B1054" s="5">
        <v>45249</v>
      </c>
      <c r="C1054" s="4">
        <v>2023</v>
      </c>
      <c r="D1054" s="4">
        <v>11</v>
      </c>
      <c r="E1054" s="14">
        <v>45249</v>
      </c>
      <c r="F1054" s="4">
        <v>19</v>
      </c>
      <c r="G1054">
        <v>177</v>
      </c>
      <c r="H1054">
        <v>163</v>
      </c>
      <c r="I1054" s="13">
        <v>0.92</v>
      </c>
      <c r="J1054">
        <v>14</v>
      </c>
      <c r="K1054" s="2">
        <v>2.199074074074074E-4</v>
      </c>
      <c r="L1054" s="11">
        <v>51.616666666666667</v>
      </c>
      <c r="M1054" s="3">
        <v>0.31666666666666665</v>
      </c>
      <c r="N1054" s="4">
        <v>19</v>
      </c>
      <c r="O1054" s="2">
        <v>1.7939814814814815E-3</v>
      </c>
      <c r="P1054" s="9">
        <v>421.08333333333337</v>
      </c>
      <c r="Q1054" s="3">
        <v>2.5833333333333335</v>
      </c>
      <c r="R1054" s="4">
        <v>155</v>
      </c>
      <c r="S1054" s="3">
        <v>123</v>
      </c>
      <c r="T1054" s="1">
        <v>0.7571</v>
      </c>
      <c r="U1054" s="6">
        <v>123.40729999999999</v>
      </c>
    </row>
    <row r="1055" spans="1:21" x14ac:dyDescent="0.35">
      <c r="A1055">
        <v>1054</v>
      </c>
      <c r="B1055" s="5">
        <v>45250</v>
      </c>
      <c r="C1055" s="4">
        <v>2023</v>
      </c>
      <c r="D1055" s="4">
        <v>11</v>
      </c>
      <c r="E1055" s="14">
        <v>45250</v>
      </c>
      <c r="F1055" s="4">
        <v>20</v>
      </c>
      <c r="G1055">
        <v>169</v>
      </c>
      <c r="H1055">
        <v>169</v>
      </c>
      <c r="I1055" s="13">
        <v>1</v>
      </c>
      <c r="J1055">
        <v>0</v>
      </c>
      <c r="K1055" s="2">
        <v>1.0416666666666667E-4</v>
      </c>
      <c r="L1055" s="11">
        <v>25.349999999999998</v>
      </c>
      <c r="M1055" s="3">
        <v>0.15</v>
      </c>
      <c r="N1055" s="4">
        <v>9</v>
      </c>
      <c r="O1055" s="2">
        <v>1.9097222222222222E-3</v>
      </c>
      <c r="P1055" s="9">
        <v>464.75</v>
      </c>
      <c r="Q1055" s="3">
        <v>2.75</v>
      </c>
      <c r="R1055" s="4">
        <v>165</v>
      </c>
      <c r="S1055" s="3">
        <v>151</v>
      </c>
      <c r="T1055" s="1">
        <v>0.89939999999999998</v>
      </c>
      <c r="U1055" s="6">
        <v>151.99860000000001</v>
      </c>
    </row>
    <row r="1056" spans="1:21" x14ac:dyDescent="0.35">
      <c r="A1056">
        <v>1055</v>
      </c>
      <c r="B1056" s="5">
        <v>45251</v>
      </c>
      <c r="C1056" s="4">
        <v>2023</v>
      </c>
      <c r="D1056" s="4">
        <v>11</v>
      </c>
      <c r="E1056" s="14">
        <v>45251</v>
      </c>
      <c r="F1056" s="4">
        <v>21</v>
      </c>
      <c r="G1056">
        <v>26</v>
      </c>
      <c r="H1056">
        <v>21</v>
      </c>
      <c r="I1056" s="13">
        <v>0.8</v>
      </c>
      <c r="J1056">
        <v>5</v>
      </c>
      <c r="K1056" s="2">
        <v>3.1250000000000001E-4</v>
      </c>
      <c r="L1056" s="11">
        <v>9.4500000000000011</v>
      </c>
      <c r="M1056" s="3">
        <v>0.45</v>
      </c>
      <c r="N1056" s="4">
        <v>27</v>
      </c>
      <c r="O1056" s="2">
        <v>1.712962962962963E-3</v>
      </c>
      <c r="P1056" s="9">
        <v>51.800000000000004</v>
      </c>
      <c r="Q1056" s="3">
        <v>2.4666666666666668</v>
      </c>
      <c r="R1056" s="4">
        <v>148</v>
      </c>
      <c r="S1056" s="3">
        <v>10</v>
      </c>
      <c r="T1056" s="1">
        <v>0.48</v>
      </c>
      <c r="U1056" s="6">
        <v>10.08</v>
      </c>
    </row>
    <row r="1057" spans="1:21" x14ac:dyDescent="0.35">
      <c r="A1057">
        <v>1056</v>
      </c>
      <c r="B1057" s="5">
        <v>45252</v>
      </c>
      <c r="C1057" s="4">
        <v>2023</v>
      </c>
      <c r="D1057" s="4">
        <v>11</v>
      </c>
      <c r="E1057" s="14">
        <v>45252</v>
      </c>
      <c r="F1057" s="4">
        <v>22</v>
      </c>
      <c r="G1057">
        <v>147</v>
      </c>
      <c r="H1057">
        <v>140</v>
      </c>
      <c r="I1057" s="13">
        <v>0.95</v>
      </c>
      <c r="J1057">
        <v>7</v>
      </c>
      <c r="K1057" s="2">
        <v>1.3888888888888889E-4</v>
      </c>
      <c r="L1057" s="11">
        <v>28</v>
      </c>
      <c r="M1057" s="3">
        <v>0.2</v>
      </c>
      <c r="N1057" s="4">
        <v>12</v>
      </c>
      <c r="O1057" s="2">
        <v>1.9444444444444444E-3</v>
      </c>
      <c r="P1057" s="9">
        <v>392</v>
      </c>
      <c r="Q1057" s="3">
        <v>2.8</v>
      </c>
      <c r="R1057" s="4">
        <v>168</v>
      </c>
      <c r="S1057" s="3">
        <v>119</v>
      </c>
      <c r="T1057" s="1">
        <v>0.85519999999999996</v>
      </c>
      <c r="U1057" s="6">
        <v>119.72799999999999</v>
      </c>
    </row>
    <row r="1058" spans="1:21" x14ac:dyDescent="0.35">
      <c r="A1058">
        <v>1057</v>
      </c>
      <c r="B1058" s="5">
        <v>45253</v>
      </c>
      <c r="C1058" s="4">
        <v>2023</v>
      </c>
      <c r="D1058" s="4">
        <v>11</v>
      </c>
      <c r="E1058" s="14">
        <v>45253</v>
      </c>
      <c r="F1058" s="4">
        <v>23</v>
      </c>
      <c r="G1058">
        <v>127</v>
      </c>
      <c r="H1058">
        <v>122</v>
      </c>
      <c r="I1058" s="13">
        <v>0.96</v>
      </c>
      <c r="J1058">
        <v>5</v>
      </c>
      <c r="K1058" s="2">
        <v>2.4305555555555555E-4</v>
      </c>
      <c r="L1058" s="11">
        <v>42.699999999999996</v>
      </c>
      <c r="M1058" s="3">
        <v>0.35</v>
      </c>
      <c r="N1058" s="4">
        <v>21</v>
      </c>
      <c r="O1058" s="2">
        <v>1.9444444444444444E-3</v>
      </c>
      <c r="P1058" s="9">
        <v>341.59999999999997</v>
      </c>
      <c r="Q1058" s="3">
        <v>2.8</v>
      </c>
      <c r="R1058" s="4">
        <v>168</v>
      </c>
      <c r="S1058" s="3">
        <v>86</v>
      </c>
      <c r="T1058" s="1">
        <v>0.7087</v>
      </c>
      <c r="U1058" s="6">
        <v>86.461399999999998</v>
      </c>
    </row>
    <row r="1059" spans="1:21" x14ac:dyDescent="0.35">
      <c r="A1059">
        <v>1058</v>
      </c>
      <c r="B1059" s="5">
        <v>45254</v>
      </c>
      <c r="C1059" s="4">
        <v>2023</v>
      </c>
      <c r="D1059" s="4">
        <v>11</v>
      </c>
      <c r="E1059" s="14">
        <v>45254</v>
      </c>
      <c r="F1059" s="4">
        <v>24</v>
      </c>
      <c r="G1059">
        <v>141</v>
      </c>
      <c r="H1059">
        <v>135</v>
      </c>
      <c r="I1059" s="13">
        <v>0.95</v>
      </c>
      <c r="J1059">
        <v>6</v>
      </c>
      <c r="K1059" s="2">
        <v>1.9675925925925926E-4</v>
      </c>
      <c r="L1059" s="11">
        <v>38.25</v>
      </c>
      <c r="M1059" s="3">
        <v>0.28333333333333333</v>
      </c>
      <c r="N1059" s="4">
        <v>17</v>
      </c>
      <c r="O1059" s="2">
        <v>1.7013888888888888E-3</v>
      </c>
      <c r="P1059" s="9">
        <v>330.75</v>
      </c>
      <c r="Q1059" s="3">
        <v>2.4500000000000002</v>
      </c>
      <c r="R1059" s="4">
        <v>147</v>
      </c>
      <c r="S1059" s="3">
        <v>105</v>
      </c>
      <c r="T1059" s="1">
        <v>0.78010000000000002</v>
      </c>
      <c r="U1059" s="6">
        <v>105.3135</v>
      </c>
    </row>
    <row r="1060" spans="1:21" x14ac:dyDescent="0.35">
      <c r="A1060">
        <v>1059</v>
      </c>
      <c r="B1060" s="5">
        <v>45255</v>
      </c>
      <c r="C1060" s="4">
        <v>2023</v>
      </c>
      <c r="D1060" s="4">
        <v>11</v>
      </c>
      <c r="E1060" s="14">
        <v>45255</v>
      </c>
      <c r="F1060" s="4">
        <v>25</v>
      </c>
      <c r="G1060">
        <v>208</v>
      </c>
      <c r="H1060">
        <v>181</v>
      </c>
      <c r="I1060" s="13">
        <v>0.87</v>
      </c>
      <c r="J1060">
        <v>27</v>
      </c>
      <c r="K1060" s="2">
        <v>4.3981481481481481E-4</v>
      </c>
      <c r="L1060" s="11">
        <v>114.63333333333333</v>
      </c>
      <c r="M1060" s="3">
        <v>0.6333333333333333</v>
      </c>
      <c r="N1060" s="4">
        <v>38</v>
      </c>
      <c r="O1060" s="2">
        <v>1.8402777777777777E-3</v>
      </c>
      <c r="P1060" s="9">
        <v>479.65</v>
      </c>
      <c r="Q1060" s="3">
        <v>2.65</v>
      </c>
      <c r="R1060" s="4">
        <v>159</v>
      </c>
      <c r="S1060" s="3">
        <v>88</v>
      </c>
      <c r="T1060" s="1">
        <v>0.49020000000000002</v>
      </c>
      <c r="U1060" s="6">
        <v>88.726200000000006</v>
      </c>
    </row>
    <row r="1061" spans="1:21" x14ac:dyDescent="0.35">
      <c r="A1061">
        <v>1060</v>
      </c>
      <c r="B1061" s="5">
        <v>45256</v>
      </c>
      <c r="C1061" s="4">
        <v>2023</v>
      </c>
      <c r="D1061" s="4">
        <v>11</v>
      </c>
      <c r="E1061" s="14">
        <v>45256</v>
      </c>
      <c r="F1061" s="4">
        <v>26</v>
      </c>
      <c r="G1061">
        <v>178</v>
      </c>
      <c r="H1061">
        <v>163</v>
      </c>
      <c r="I1061" s="13">
        <v>0.91</v>
      </c>
      <c r="J1061">
        <v>15</v>
      </c>
      <c r="K1061" s="2">
        <v>3.8194444444444446E-4</v>
      </c>
      <c r="L1061" s="11">
        <v>89.65</v>
      </c>
      <c r="M1061" s="3">
        <v>0.55000000000000004</v>
      </c>
      <c r="N1061" s="4">
        <v>33</v>
      </c>
      <c r="O1061" s="2">
        <v>2.0138888888888888E-3</v>
      </c>
      <c r="P1061" s="9">
        <v>472.7</v>
      </c>
      <c r="Q1061" s="3">
        <v>2.9</v>
      </c>
      <c r="R1061" s="4">
        <v>174</v>
      </c>
      <c r="S1061" s="3">
        <v>89</v>
      </c>
      <c r="T1061" s="1">
        <v>0.54800000000000004</v>
      </c>
      <c r="U1061" s="6">
        <v>89.324000000000012</v>
      </c>
    </row>
    <row r="1062" spans="1:21" x14ac:dyDescent="0.35">
      <c r="A1062">
        <v>1061</v>
      </c>
      <c r="B1062" s="5">
        <v>45257</v>
      </c>
      <c r="C1062" s="4">
        <v>2023</v>
      </c>
      <c r="D1062" s="4">
        <v>11</v>
      </c>
      <c r="E1062" s="14">
        <v>45257</v>
      </c>
      <c r="F1062" s="4">
        <v>27</v>
      </c>
      <c r="G1062">
        <v>198</v>
      </c>
      <c r="H1062">
        <v>190</v>
      </c>
      <c r="I1062" s="13">
        <v>0.95</v>
      </c>
      <c r="J1062">
        <v>8</v>
      </c>
      <c r="K1062" s="2">
        <v>2.8935185185185184E-4</v>
      </c>
      <c r="L1062" s="11">
        <v>79.166666666666671</v>
      </c>
      <c r="M1062" s="3">
        <v>0.41666666666666669</v>
      </c>
      <c r="N1062" s="4">
        <v>25</v>
      </c>
      <c r="O1062" s="2">
        <v>1.7592592592592592E-3</v>
      </c>
      <c r="P1062" s="9">
        <v>481.33333333333331</v>
      </c>
      <c r="Q1062" s="3">
        <v>2.5333333333333332</v>
      </c>
      <c r="R1062" s="4">
        <v>152</v>
      </c>
      <c r="S1062" s="3">
        <v>127</v>
      </c>
      <c r="T1062" s="1">
        <v>0.67010000000000003</v>
      </c>
      <c r="U1062" s="6">
        <v>127.319</v>
      </c>
    </row>
    <row r="1063" spans="1:21" x14ac:dyDescent="0.35">
      <c r="A1063">
        <v>1062</v>
      </c>
      <c r="B1063" s="5">
        <v>45258</v>
      </c>
      <c r="C1063" s="4">
        <v>2023</v>
      </c>
      <c r="D1063" s="4">
        <v>11</v>
      </c>
      <c r="E1063" s="14">
        <v>45258</v>
      </c>
      <c r="F1063" s="4">
        <v>28</v>
      </c>
      <c r="G1063">
        <v>21</v>
      </c>
      <c r="H1063">
        <v>17</v>
      </c>
      <c r="I1063" s="13">
        <v>0.8</v>
      </c>
      <c r="J1063">
        <v>4</v>
      </c>
      <c r="K1063" s="2">
        <v>5.0925925925925921E-4</v>
      </c>
      <c r="L1063" s="11">
        <v>12.466666666666665</v>
      </c>
      <c r="M1063" s="3">
        <v>0.73333333333333328</v>
      </c>
      <c r="N1063" s="4">
        <v>44</v>
      </c>
      <c r="O1063" s="2">
        <v>2.4421296296296296E-3</v>
      </c>
      <c r="P1063" s="9">
        <v>59.783333333333331</v>
      </c>
      <c r="Q1063" s="3">
        <v>3.5166666666666666</v>
      </c>
      <c r="R1063" s="4">
        <v>211</v>
      </c>
      <c r="S1063" s="3">
        <v>8</v>
      </c>
      <c r="T1063" s="1">
        <v>0.47620000000000001</v>
      </c>
      <c r="U1063" s="6">
        <v>8.0953999999999997</v>
      </c>
    </row>
    <row r="1064" spans="1:21" x14ac:dyDescent="0.35">
      <c r="A1064">
        <v>1063</v>
      </c>
      <c r="B1064" s="5">
        <v>45259</v>
      </c>
      <c r="C1064" s="4">
        <v>2023</v>
      </c>
      <c r="D1064" s="4">
        <v>11</v>
      </c>
      <c r="E1064" s="14">
        <v>45259</v>
      </c>
      <c r="F1064" s="4">
        <v>29</v>
      </c>
      <c r="G1064">
        <v>171</v>
      </c>
      <c r="H1064">
        <v>161</v>
      </c>
      <c r="I1064" s="13">
        <v>0.94</v>
      </c>
      <c r="J1064">
        <v>10</v>
      </c>
      <c r="K1064" s="2">
        <v>1.8518518518518518E-4</v>
      </c>
      <c r="L1064" s="11">
        <v>42.93333333333333</v>
      </c>
      <c r="M1064" s="3">
        <v>0.26666666666666666</v>
      </c>
      <c r="N1064" s="4">
        <v>16</v>
      </c>
      <c r="O1064" s="2">
        <v>1.7939814814814815E-3</v>
      </c>
      <c r="P1064" s="9">
        <v>415.91666666666669</v>
      </c>
      <c r="Q1064" s="3">
        <v>2.5833333333333335</v>
      </c>
      <c r="R1064" s="4">
        <v>155</v>
      </c>
      <c r="S1064" s="3">
        <v>131</v>
      </c>
      <c r="T1064" s="1">
        <v>0.81440000000000001</v>
      </c>
      <c r="U1064" s="6">
        <v>131.11840000000001</v>
      </c>
    </row>
    <row r="1065" spans="1:21" x14ac:dyDescent="0.35">
      <c r="A1065">
        <v>1064</v>
      </c>
      <c r="B1065" s="5">
        <v>45260</v>
      </c>
      <c r="C1065" s="4">
        <v>2023</v>
      </c>
      <c r="D1065" s="4">
        <v>11</v>
      </c>
      <c r="E1065" s="14">
        <v>45260</v>
      </c>
      <c r="F1065" s="4">
        <v>30</v>
      </c>
      <c r="G1065">
        <v>200</v>
      </c>
      <c r="H1065">
        <v>196</v>
      </c>
      <c r="I1065" s="13">
        <v>0.98</v>
      </c>
      <c r="J1065">
        <v>4</v>
      </c>
      <c r="K1065" s="2">
        <v>1.0416666666666667E-4</v>
      </c>
      <c r="L1065" s="11">
        <v>29.4</v>
      </c>
      <c r="M1065" s="3">
        <v>0.15</v>
      </c>
      <c r="N1065" s="4">
        <v>9</v>
      </c>
      <c r="O1065" s="2">
        <v>1.9791666666666668E-3</v>
      </c>
      <c r="P1065" s="9">
        <v>558.6</v>
      </c>
      <c r="Q1065" s="3">
        <v>2.85</v>
      </c>
      <c r="R1065" s="4">
        <v>171</v>
      </c>
      <c r="S1065" s="3">
        <v>180</v>
      </c>
      <c r="T1065" s="1">
        <v>0.91920000000000002</v>
      </c>
      <c r="U1065" s="6">
        <v>180.16320000000002</v>
      </c>
    </row>
    <row r="1066" spans="1:21" x14ac:dyDescent="0.35">
      <c r="A1066">
        <v>1065</v>
      </c>
      <c r="B1066" s="5">
        <v>45261</v>
      </c>
      <c r="C1066" s="4">
        <v>2023</v>
      </c>
      <c r="D1066" s="4">
        <v>12</v>
      </c>
      <c r="E1066" s="14">
        <v>45261</v>
      </c>
      <c r="F1066" s="4">
        <v>1</v>
      </c>
      <c r="G1066">
        <v>166</v>
      </c>
      <c r="H1066">
        <v>157</v>
      </c>
      <c r="I1066" s="13">
        <v>0.94</v>
      </c>
      <c r="J1066">
        <v>9</v>
      </c>
      <c r="K1066" s="2">
        <v>2.7777777777777778E-4</v>
      </c>
      <c r="L1066" s="11">
        <v>62.800000000000004</v>
      </c>
      <c r="M1066" s="3">
        <v>0.4</v>
      </c>
      <c r="N1066" s="4">
        <v>24</v>
      </c>
      <c r="O1066" s="2">
        <v>1.8518518518518519E-3</v>
      </c>
      <c r="P1066" s="9">
        <v>418.66666666666663</v>
      </c>
      <c r="Q1066" s="3">
        <v>2.6666666666666665</v>
      </c>
      <c r="R1066" s="4">
        <v>160</v>
      </c>
      <c r="S1066" s="3">
        <v>101</v>
      </c>
      <c r="T1066" s="1">
        <v>0.64629999999999999</v>
      </c>
      <c r="U1066" s="6">
        <v>101.4691</v>
      </c>
    </row>
    <row r="1067" spans="1:21" x14ac:dyDescent="0.35">
      <c r="A1067">
        <v>1066</v>
      </c>
      <c r="B1067" s="5">
        <v>45262</v>
      </c>
      <c r="C1067" s="4">
        <v>2023</v>
      </c>
      <c r="D1067" s="4">
        <v>12</v>
      </c>
      <c r="E1067" s="14">
        <v>45262</v>
      </c>
      <c r="F1067" s="4">
        <v>2</v>
      </c>
      <c r="G1067">
        <v>230</v>
      </c>
      <c r="H1067">
        <v>217</v>
      </c>
      <c r="I1067" s="13">
        <v>0.94</v>
      </c>
      <c r="J1067">
        <v>13</v>
      </c>
      <c r="K1067" s="2">
        <v>3.1250000000000001E-4</v>
      </c>
      <c r="L1067" s="11">
        <v>97.65</v>
      </c>
      <c r="M1067" s="3">
        <v>0.45</v>
      </c>
      <c r="N1067" s="4">
        <v>27</v>
      </c>
      <c r="O1067" s="2">
        <v>1.8402777777777777E-3</v>
      </c>
      <c r="P1067" s="9">
        <v>575.04999999999995</v>
      </c>
      <c r="Q1067" s="3">
        <v>2.65</v>
      </c>
      <c r="R1067" s="4">
        <v>159</v>
      </c>
      <c r="S1067" s="3">
        <v>124</v>
      </c>
      <c r="T1067" s="1">
        <v>0.57210000000000005</v>
      </c>
      <c r="U1067" s="6">
        <v>124.14570000000001</v>
      </c>
    </row>
    <row r="1068" spans="1:21" x14ac:dyDescent="0.35">
      <c r="A1068">
        <v>1067</v>
      </c>
      <c r="B1068" s="5">
        <v>45263</v>
      </c>
      <c r="C1068" s="4">
        <v>2023</v>
      </c>
      <c r="D1068" s="4">
        <v>12</v>
      </c>
      <c r="E1068" s="14">
        <v>45263</v>
      </c>
      <c r="F1068" s="4">
        <v>3</v>
      </c>
      <c r="G1068">
        <v>174</v>
      </c>
      <c r="H1068">
        <v>168</v>
      </c>
      <c r="I1068" s="13">
        <v>0.96</v>
      </c>
      <c r="J1068">
        <v>6</v>
      </c>
      <c r="K1068" s="2">
        <v>2.7777777777777778E-4</v>
      </c>
      <c r="L1068" s="11">
        <v>67.2</v>
      </c>
      <c r="M1068" s="3">
        <v>0.4</v>
      </c>
      <c r="N1068" s="4">
        <v>24</v>
      </c>
      <c r="O1068" s="2">
        <v>2.0486111111111113E-3</v>
      </c>
      <c r="P1068" s="9">
        <v>495.6</v>
      </c>
      <c r="Q1068" s="3">
        <v>2.95</v>
      </c>
      <c r="R1068" s="4">
        <v>177</v>
      </c>
      <c r="S1068" s="3">
        <v>116</v>
      </c>
      <c r="T1068" s="1">
        <v>0.69589999999999996</v>
      </c>
      <c r="U1068" s="6">
        <v>116.91119999999999</v>
      </c>
    </row>
    <row r="1069" spans="1:21" x14ac:dyDescent="0.35">
      <c r="A1069">
        <v>1068</v>
      </c>
      <c r="B1069" s="5">
        <v>45264</v>
      </c>
      <c r="C1069" s="4">
        <v>2023</v>
      </c>
      <c r="D1069" s="4">
        <v>12</v>
      </c>
      <c r="E1069" s="14">
        <v>45264</v>
      </c>
      <c r="F1069" s="4">
        <v>4</v>
      </c>
      <c r="G1069">
        <v>240</v>
      </c>
      <c r="H1069">
        <v>185</v>
      </c>
      <c r="I1069" s="13">
        <v>0.77</v>
      </c>
      <c r="J1069">
        <v>55</v>
      </c>
      <c r="K1069" s="2">
        <v>6.9444444444444447E-4</v>
      </c>
      <c r="L1069" s="11">
        <v>185</v>
      </c>
      <c r="M1069" s="3">
        <v>1</v>
      </c>
      <c r="N1069" s="4">
        <v>60</v>
      </c>
      <c r="O1069" s="2">
        <v>2.1064814814814813E-3</v>
      </c>
      <c r="P1069" s="9">
        <v>561.16666666666663</v>
      </c>
      <c r="Q1069" s="3">
        <v>3.0333333333333332</v>
      </c>
      <c r="R1069" s="4">
        <v>182</v>
      </c>
      <c r="S1069" s="3">
        <v>55</v>
      </c>
      <c r="T1069" s="1">
        <v>0.2979</v>
      </c>
      <c r="U1069" s="6">
        <v>55.111499999999999</v>
      </c>
    </row>
    <row r="1070" spans="1:21" x14ac:dyDescent="0.35">
      <c r="A1070">
        <v>1069</v>
      </c>
      <c r="B1070" s="5">
        <v>45265</v>
      </c>
      <c r="C1070" s="4">
        <v>2023</v>
      </c>
      <c r="D1070" s="4">
        <v>12</v>
      </c>
      <c r="E1070" s="14">
        <v>45265</v>
      </c>
      <c r="F1070" s="4">
        <v>5</v>
      </c>
      <c r="G1070">
        <v>35</v>
      </c>
      <c r="H1070">
        <v>27</v>
      </c>
      <c r="I1070" s="13">
        <v>0.77</v>
      </c>
      <c r="J1070">
        <v>8</v>
      </c>
      <c r="K1070" s="2">
        <v>5.5555555555555556E-4</v>
      </c>
      <c r="L1070" s="11">
        <v>21.6</v>
      </c>
      <c r="M1070" s="3">
        <v>0.8</v>
      </c>
      <c r="N1070" s="4">
        <v>48</v>
      </c>
      <c r="O1070" s="2">
        <v>2.0370370370370369E-3</v>
      </c>
      <c r="P1070" s="9">
        <v>79.2</v>
      </c>
      <c r="Q1070" s="3">
        <v>2.9333333333333336</v>
      </c>
      <c r="R1070" s="4">
        <v>176</v>
      </c>
      <c r="S1070" s="3">
        <v>11</v>
      </c>
      <c r="T1070" s="1">
        <v>0.43330000000000002</v>
      </c>
      <c r="U1070" s="6">
        <v>11.699100000000001</v>
      </c>
    </row>
    <row r="1071" spans="1:21" x14ac:dyDescent="0.35">
      <c r="A1071">
        <v>1070</v>
      </c>
      <c r="B1071" s="5">
        <v>45266</v>
      </c>
      <c r="C1071" s="4">
        <v>2023</v>
      </c>
      <c r="D1071" s="4">
        <v>12</v>
      </c>
      <c r="E1071" s="14">
        <v>45266</v>
      </c>
      <c r="F1071" s="4">
        <v>6</v>
      </c>
      <c r="G1071">
        <v>198</v>
      </c>
      <c r="H1071">
        <v>179</v>
      </c>
      <c r="I1071" s="13">
        <v>0.9</v>
      </c>
      <c r="J1071">
        <v>19</v>
      </c>
      <c r="K1071" s="2">
        <v>3.1250000000000001E-4</v>
      </c>
      <c r="L1071" s="11">
        <v>80.55</v>
      </c>
      <c r="M1071" s="3">
        <v>0.45</v>
      </c>
      <c r="N1071" s="4">
        <v>27</v>
      </c>
      <c r="O1071" s="2">
        <v>1.8634259259259259E-3</v>
      </c>
      <c r="P1071" s="9">
        <v>480.31666666666672</v>
      </c>
      <c r="Q1071" s="3">
        <v>2.6833333333333336</v>
      </c>
      <c r="R1071" s="4">
        <v>161</v>
      </c>
      <c r="S1071" s="3">
        <v>107</v>
      </c>
      <c r="T1071" s="1">
        <v>0.60099999999999998</v>
      </c>
      <c r="U1071" s="6">
        <v>107.57899999999999</v>
      </c>
    </row>
    <row r="1072" spans="1:21" x14ac:dyDescent="0.35">
      <c r="A1072">
        <v>1071</v>
      </c>
      <c r="B1072" s="5">
        <v>45267</v>
      </c>
      <c r="C1072" s="4">
        <v>2023</v>
      </c>
      <c r="D1072" s="4">
        <v>12</v>
      </c>
      <c r="E1072" s="14">
        <v>45267</v>
      </c>
      <c r="F1072" s="4">
        <v>7</v>
      </c>
      <c r="G1072">
        <v>189</v>
      </c>
      <c r="H1072">
        <v>181</v>
      </c>
      <c r="I1072" s="13">
        <v>0.95</v>
      </c>
      <c r="J1072">
        <v>8</v>
      </c>
      <c r="K1072" s="2">
        <v>2.199074074074074E-4</v>
      </c>
      <c r="L1072" s="11">
        <v>57.316666666666663</v>
      </c>
      <c r="M1072" s="3">
        <v>0.31666666666666665</v>
      </c>
      <c r="N1072" s="4">
        <v>19</v>
      </c>
      <c r="O1072" s="2">
        <v>2.0717592592592593E-3</v>
      </c>
      <c r="P1072" s="9">
        <v>539.98333333333335</v>
      </c>
      <c r="Q1072" s="3">
        <v>2.9833333333333334</v>
      </c>
      <c r="R1072" s="4">
        <v>179</v>
      </c>
      <c r="S1072" s="3">
        <v>129</v>
      </c>
      <c r="T1072" s="1">
        <v>0.71430000000000005</v>
      </c>
      <c r="U1072" s="6">
        <v>129.28830000000002</v>
      </c>
    </row>
    <row r="1073" spans="1:21" x14ac:dyDescent="0.35">
      <c r="A1073">
        <v>1072</v>
      </c>
      <c r="B1073" s="5">
        <v>45268</v>
      </c>
      <c r="C1073" s="4">
        <v>2023</v>
      </c>
      <c r="D1073" s="4">
        <v>12</v>
      </c>
      <c r="E1073" s="14">
        <v>45268</v>
      </c>
      <c r="F1073" s="4">
        <v>8</v>
      </c>
      <c r="G1073">
        <v>229</v>
      </c>
      <c r="H1073">
        <v>219</v>
      </c>
      <c r="I1073" s="13">
        <v>0.95</v>
      </c>
      <c r="J1073">
        <v>10</v>
      </c>
      <c r="K1073" s="2">
        <v>3.4722222222222224E-4</v>
      </c>
      <c r="L1073" s="11">
        <v>109.5</v>
      </c>
      <c r="M1073" s="3">
        <v>0.5</v>
      </c>
      <c r="N1073" s="4">
        <v>30</v>
      </c>
      <c r="O1073" s="2">
        <v>2.2569444444444442E-3</v>
      </c>
      <c r="P1073" s="9">
        <v>711.75</v>
      </c>
      <c r="Q1073" s="3">
        <v>3.25</v>
      </c>
      <c r="R1073" s="4">
        <v>195</v>
      </c>
      <c r="S1073" s="3">
        <v>129</v>
      </c>
      <c r="T1073" s="1">
        <v>0.59209999999999996</v>
      </c>
      <c r="U1073" s="6">
        <v>129.66989999999998</v>
      </c>
    </row>
    <row r="1074" spans="1:21" x14ac:dyDescent="0.35">
      <c r="A1074">
        <v>1073</v>
      </c>
      <c r="B1074" s="5">
        <v>45269</v>
      </c>
      <c r="C1074" s="4">
        <v>2023</v>
      </c>
      <c r="D1074" s="4">
        <v>12</v>
      </c>
      <c r="E1074" s="14">
        <v>45269</v>
      </c>
      <c r="F1074" s="4">
        <v>9</v>
      </c>
      <c r="G1074">
        <v>254</v>
      </c>
      <c r="H1074">
        <v>235</v>
      </c>
      <c r="I1074" s="13">
        <v>0.92</v>
      </c>
      <c r="J1074">
        <v>19</v>
      </c>
      <c r="K1074" s="2">
        <v>3.1250000000000001E-4</v>
      </c>
      <c r="L1074" s="11">
        <v>105.75</v>
      </c>
      <c r="M1074" s="3">
        <v>0.45</v>
      </c>
      <c r="N1074" s="4">
        <v>27</v>
      </c>
      <c r="O1074" s="2">
        <v>2.0370370370370369E-3</v>
      </c>
      <c r="P1074" s="9">
        <v>689.33333333333337</v>
      </c>
      <c r="Q1074" s="3">
        <v>2.9333333333333336</v>
      </c>
      <c r="R1074" s="4">
        <v>176</v>
      </c>
      <c r="S1074" s="3">
        <v>140</v>
      </c>
      <c r="T1074" s="1">
        <v>0.5968</v>
      </c>
      <c r="U1074" s="6">
        <v>140.24799999999999</v>
      </c>
    </row>
    <row r="1075" spans="1:21" x14ac:dyDescent="0.35">
      <c r="A1075">
        <v>1074</v>
      </c>
      <c r="B1075" s="5">
        <v>45270</v>
      </c>
      <c r="C1075" s="4">
        <v>2023</v>
      </c>
      <c r="D1075" s="4">
        <v>12</v>
      </c>
      <c r="E1075" s="14">
        <v>45270</v>
      </c>
      <c r="F1075" s="4">
        <v>10</v>
      </c>
      <c r="G1075">
        <v>584</v>
      </c>
      <c r="H1075">
        <v>521</v>
      </c>
      <c r="I1075" s="13">
        <v>0.89</v>
      </c>
      <c r="J1075">
        <v>63</v>
      </c>
      <c r="K1075" s="2">
        <v>3.3564814814814812E-4</v>
      </c>
      <c r="L1075" s="11">
        <v>251.81666666666666</v>
      </c>
      <c r="M1075" s="3">
        <v>0.48333333333333334</v>
      </c>
      <c r="N1075" s="4">
        <v>29</v>
      </c>
      <c r="O1075" s="2">
        <v>1.5740740740740741E-3</v>
      </c>
      <c r="P1075" s="9">
        <v>1180.9333333333334</v>
      </c>
      <c r="Q1075" s="3">
        <v>2.2666666666666666</v>
      </c>
      <c r="R1075" s="4">
        <v>136</v>
      </c>
      <c r="S1075" s="3">
        <v>303</v>
      </c>
      <c r="T1075" s="1">
        <v>0.58299999999999996</v>
      </c>
      <c r="U1075" s="6">
        <v>303.74299999999999</v>
      </c>
    </row>
    <row r="1076" spans="1:21" x14ac:dyDescent="0.35">
      <c r="A1076">
        <v>1075</v>
      </c>
      <c r="B1076" s="5">
        <v>45271</v>
      </c>
      <c r="C1076" s="4">
        <v>2023</v>
      </c>
      <c r="D1076" s="4">
        <v>12</v>
      </c>
      <c r="E1076" s="14">
        <v>45271</v>
      </c>
      <c r="F1076" s="4">
        <v>11</v>
      </c>
      <c r="G1076">
        <v>564</v>
      </c>
      <c r="H1076">
        <v>551</v>
      </c>
      <c r="I1076" s="13">
        <v>0.97</v>
      </c>
      <c r="J1076">
        <v>13</v>
      </c>
      <c r="K1076" s="2">
        <v>1.3888888888888889E-4</v>
      </c>
      <c r="L1076" s="11">
        <v>110.2</v>
      </c>
      <c r="M1076" s="3">
        <v>0.2</v>
      </c>
      <c r="N1076" s="4">
        <v>12</v>
      </c>
      <c r="O1076" s="2">
        <v>1.1574074074074073E-3</v>
      </c>
      <c r="P1076" s="9">
        <v>918.33333333333326</v>
      </c>
      <c r="Q1076" s="3">
        <v>1.6666666666666665</v>
      </c>
      <c r="R1076" s="4">
        <v>99.999999999999986</v>
      </c>
      <c r="S1076" s="3">
        <v>462</v>
      </c>
      <c r="T1076" s="1">
        <v>0.83960000000000001</v>
      </c>
      <c r="U1076" s="6">
        <v>462.61959999999999</v>
      </c>
    </row>
    <row r="1077" spans="1:21" x14ac:dyDescent="0.35">
      <c r="A1077">
        <v>1076</v>
      </c>
      <c r="B1077" s="5">
        <v>45272</v>
      </c>
      <c r="C1077" s="4">
        <v>2023</v>
      </c>
      <c r="D1077" s="4">
        <v>12</v>
      </c>
      <c r="E1077" s="14">
        <v>45272</v>
      </c>
      <c r="F1077" s="4">
        <v>12</v>
      </c>
      <c r="G1077">
        <v>150</v>
      </c>
      <c r="H1077">
        <v>149</v>
      </c>
      <c r="I1077" s="13">
        <v>0.99</v>
      </c>
      <c r="J1077">
        <v>1</v>
      </c>
      <c r="K1077" s="2">
        <v>1.1574074074074075E-4</v>
      </c>
      <c r="L1077" s="11">
        <v>24.833333333333332</v>
      </c>
      <c r="M1077" s="3">
        <v>0.16666666666666666</v>
      </c>
      <c r="N1077" s="4">
        <v>10</v>
      </c>
      <c r="O1077" s="2">
        <v>1.1574074074074073E-3</v>
      </c>
      <c r="P1077" s="9">
        <v>248.33333333333331</v>
      </c>
      <c r="Q1077" s="3">
        <v>1.6666666666666665</v>
      </c>
      <c r="R1077" s="4">
        <v>99.999999999999986</v>
      </c>
      <c r="S1077" s="3">
        <v>133</v>
      </c>
      <c r="T1077" s="1">
        <v>0.89329999999999998</v>
      </c>
      <c r="U1077" s="6">
        <v>133.10169999999999</v>
      </c>
    </row>
    <row r="1078" spans="1:21" x14ac:dyDescent="0.35">
      <c r="A1078">
        <v>1077</v>
      </c>
      <c r="B1078" s="5">
        <v>45273</v>
      </c>
      <c r="C1078" s="4">
        <v>2023</v>
      </c>
      <c r="D1078" s="4">
        <v>12</v>
      </c>
      <c r="E1078" s="14">
        <v>45273</v>
      </c>
      <c r="F1078" s="4">
        <v>13</v>
      </c>
      <c r="G1078">
        <v>521</v>
      </c>
      <c r="H1078">
        <v>499</v>
      </c>
      <c r="I1078" s="13">
        <v>0.95</v>
      </c>
      <c r="J1078">
        <v>22</v>
      </c>
      <c r="K1078" s="2">
        <v>2.6620370370370372E-4</v>
      </c>
      <c r="L1078" s="11">
        <v>191.28333333333336</v>
      </c>
      <c r="M1078" s="3">
        <v>0.38333333333333336</v>
      </c>
      <c r="N1078" s="4">
        <v>23</v>
      </c>
      <c r="O1078" s="2">
        <v>1.1111111111111111E-3</v>
      </c>
      <c r="P1078" s="9">
        <v>798.40000000000009</v>
      </c>
      <c r="Q1078" s="3">
        <v>1.6</v>
      </c>
      <c r="R1078" s="4">
        <v>96</v>
      </c>
      <c r="S1078" s="3">
        <v>353</v>
      </c>
      <c r="T1078" s="1">
        <v>0.70930000000000004</v>
      </c>
      <c r="U1078" s="6">
        <v>353.94069999999999</v>
      </c>
    </row>
    <row r="1079" spans="1:21" x14ac:dyDescent="0.35">
      <c r="A1079">
        <v>1078</v>
      </c>
      <c r="B1079" s="5">
        <v>45274</v>
      </c>
      <c r="C1079" s="4">
        <v>2023</v>
      </c>
      <c r="D1079" s="4">
        <v>12</v>
      </c>
      <c r="E1079" s="14">
        <v>45274</v>
      </c>
      <c r="F1079" s="4">
        <v>14</v>
      </c>
      <c r="G1079">
        <v>330</v>
      </c>
      <c r="H1079">
        <v>309</v>
      </c>
      <c r="I1079" s="13">
        <v>0.93</v>
      </c>
      <c r="J1079">
        <v>21</v>
      </c>
      <c r="K1079" s="2">
        <v>2.4305555555555555E-4</v>
      </c>
      <c r="L1079" s="11">
        <v>108.14999999999999</v>
      </c>
      <c r="M1079" s="3">
        <v>0.35</v>
      </c>
      <c r="N1079" s="4">
        <v>21</v>
      </c>
      <c r="O1079" s="2">
        <v>2.3032407407407407E-3</v>
      </c>
      <c r="P1079" s="9">
        <v>1024.8499999999999</v>
      </c>
      <c r="Q1079" s="3">
        <v>3.3166666666666664</v>
      </c>
      <c r="R1079" s="4">
        <v>199</v>
      </c>
      <c r="S1079" s="3">
        <v>214</v>
      </c>
      <c r="T1079" s="1">
        <v>0.69540000000000002</v>
      </c>
      <c r="U1079" s="6">
        <v>214.87860000000001</v>
      </c>
    </row>
    <row r="1080" spans="1:21" x14ac:dyDescent="0.35">
      <c r="A1080">
        <v>1079</v>
      </c>
      <c r="B1080" s="5">
        <v>45275</v>
      </c>
      <c r="C1080" s="4">
        <v>2023</v>
      </c>
      <c r="D1080" s="4">
        <v>12</v>
      </c>
      <c r="E1080" s="14">
        <v>45275</v>
      </c>
      <c r="F1080" s="4">
        <v>15</v>
      </c>
      <c r="G1080">
        <v>298</v>
      </c>
      <c r="H1080">
        <v>288</v>
      </c>
      <c r="I1080" s="13">
        <v>0.96</v>
      </c>
      <c r="J1080">
        <v>10</v>
      </c>
      <c r="K1080" s="2">
        <v>1.5046296296296297E-4</v>
      </c>
      <c r="L1080" s="11">
        <v>62.400000000000006</v>
      </c>
      <c r="M1080" s="3">
        <v>0.21666666666666667</v>
      </c>
      <c r="N1080" s="4">
        <v>13</v>
      </c>
      <c r="O1080" s="2">
        <v>2.3148148148148147E-3</v>
      </c>
      <c r="P1080" s="9">
        <v>960</v>
      </c>
      <c r="Q1080" s="3">
        <v>3.3333333333333335</v>
      </c>
      <c r="R1080" s="4">
        <v>200</v>
      </c>
      <c r="S1080" s="3">
        <v>244</v>
      </c>
      <c r="T1080" s="1">
        <v>0.84750000000000003</v>
      </c>
      <c r="U1080" s="6">
        <v>244.08</v>
      </c>
    </row>
    <row r="1081" spans="1:21" x14ac:dyDescent="0.35">
      <c r="A1081">
        <v>1080</v>
      </c>
      <c r="B1081" s="5">
        <v>45276</v>
      </c>
      <c r="C1081" s="4">
        <v>2023</v>
      </c>
      <c r="D1081" s="4">
        <v>12</v>
      </c>
      <c r="E1081" s="14">
        <v>45276</v>
      </c>
      <c r="F1081" s="4">
        <v>16</v>
      </c>
      <c r="G1081">
        <v>294</v>
      </c>
      <c r="H1081">
        <v>287</v>
      </c>
      <c r="I1081" s="13">
        <v>0.97</v>
      </c>
      <c r="J1081">
        <v>7</v>
      </c>
      <c r="K1081" s="2">
        <v>1.6203703703703703E-4</v>
      </c>
      <c r="L1081" s="11">
        <v>66.966666666666669</v>
      </c>
      <c r="M1081" s="3">
        <v>0.23333333333333334</v>
      </c>
      <c r="N1081" s="4">
        <v>14</v>
      </c>
      <c r="O1081" s="2">
        <v>2.4074074074074076E-3</v>
      </c>
      <c r="P1081" s="9">
        <v>994.93333333333339</v>
      </c>
      <c r="Q1081" s="3">
        <v>3.4666666666666668</v>
      </c>
      <c r="R1081" s="4">
        <v>208</v>
      </c>
      <c r="S1081" s="3">
        <v>236</v>
      </c>
      <c r="T1081" s="1">
        <v>0.82250000000000001</v>
      </c>
      <c r="U1081" s="6">
        <v>236.0575</v>
      </c>
    </row>
    <row r="1082" spans="1:21" x14ac:dyDescent="0.35">
      <c r="A1082">
        <v>1081</v>
      </c>
      <c r="B1082" s="5">
        <v>45277</v>
      </c>
      <c r="C1082" s="4">
        <v>2023</v>
      </c>
      <c r="D1082" s="4">
        <v>12</v>
      </c>
      <c r="E1082" s="14">
        <v>45277</v>
      </c>
      <c r="F1082" s="4">
        <v>17</v>
      </c>
      <c r="G1082">
        <v>261</v>
      </c>
      <c r="H1082">
        <v>253</v>
      </c>
      <c r="I1082" s="13">
        <v>0.96</v>
      </c>
      <c r="J1082">
        <v>8</v>
      </c>
      <c r="K1082" s="2">
        <v>1.1574074074074075E-4</v>
      </c>
      <c r="L1082" s="11">
        <v>42.166666666666664</v>
      </c>
      <c r="M1082" s="3">
        <v>0.16666666666666666</v>
      </c>
      <c r="N1082" s="4">
        <v>10</v>
      </c>
      <c r="O1082" s="2">
        <v>2.1180555555555558E-3</v>
      </c>
      <c r="P1082" s="9">
        <v>771.65</v>
      </c>
      <c r="Q1082" s="3">
        <v>3.05</v>
      </c>
      <c r="R1082" s="4">
        <v>183</v>
      </c>
      <c r="S1082" s="3">
        <v>227</v>
      </c>
      <c r="T1082" s="1">
        <v>0.89959999999999996</v>
      </c>
      <c r="U1082" s="6">
        <v>227.59879999999998</v>
      </c>
    </row>
    <row r="1083" spans="1:21" x14ac:dyDescent="0.35">
      <c r="A1083">
        <v>1082</v>
      </c>
      <c r="B1083" s="5">
        <v>45278</v>
      </c>
      <c r="C1083" s="4">
        <v>2023</v>
      </c>
      <c r="D1083" s="4">
        <v>12</v>
      </c>
      <c r="E1083" s="14">
        <v>45278</v>
      </c>
      <c r="F1083" s="4">
        <v>18</v>
      </c>
      <c r="G1083">
        <v>223</v>
      </c>
      <c r="H1083">
        <v>210</v>
      </c>
      <c r="I1083" s="13">
        <v>0.94</v>
      </c>
      <c r="J1083">
        <v>13</v>
      </c>
      <c r="K1083" s="2">
        <v>1.8518518518518518E-4</v>
      </c>
      <c r="L1083" s="11">
        <v>56</v>
      </c>
      <c r="M1083" s="3">
        <v>0.26666666666666666</v>
      </c>
      <c r="N1083" s="4">
        <v>16</v>
      </c>
      <c r="O1083" s="2">
        <v>2.1643518518518518E-3</v>
      </c>
      <c r="P1083" s="9">
        <v>654.5</v>
      </c>
      <c r="Q1083" s="3">
        <v>3.1166666666666667</v>
      </c>
      <c r="R1083" s="4">
        <v>187</v>
      </c>
      <c r="S1083" s="3">
        <v>168</v>
      </c>
      <c r="T1083" s="1">
        <v>0.80089999999999995</v>
      </c>
      <c r="U1083" s="6">
        <v>168.18899999999999</v>
      </c>
    </row>
    <row r="1084" spans="1:21" x14ac:dyDescent="0.35">
      <c r="A1084">
        <v>1083</v>
      </c>
      <c r="B1084" s="5">
        <v>45279</v>
      </c>
      <c r="C1084" s="4">
        <v>2023</v>
      </c>
      <c r="D1084" s="4">
        <v>12</v>
      </c>
      <c r="E1084" s="14">
        <v>45279</v>
      </c>
      <c r="F1084" s="4">
        <v>19</v>
      </c>
      <c r="G1084">
        <v>59</v>
      </c>
      <c r="H1084">
        <v>58</v>
      </c>
      <c r="I1084" s="13">
        <v>0.98</v>
      </c>
      <c r="J1084">
        <v>1</v>
      </c>
      <c r="K1084" s="2">
        <v>2.4305555555555555E-4</v>
      </c>
      <c r="L1084" s="11">
        <v>20.299999999999997</v>
      </c>
      <c r="M1084" s="3">
        <v>0.35</v>
      </c>
      <c r="N1084" s="4">
        <v>21</v>
      </c>
      <c r="O1084" s="2">
        <v>2.5578703703703705E-3</v>
      </c>
      <c r="P1084" s="9">
        <v>213.63333333333335</v>
      </c>
      <c r="Q1084" s="3">
        <v>3.6833333333333336</v>
      </c>
      <c r="R1084" s="4">
        <v>221</v>
      </c>
      <c r="S1084" s="3">
        <v>43</v>
      </c>
      <c r="T1084" s="1">
        <v>0.74580000000000002</v>
      </c>
      <c r="U1084" s="6">
        <v>43.256399999999999</v>
      </c>
    </row>
    <row r="1085" spans="1:21" x14ac:dyDescent="0.35">
      <c r="A1085">
        <v>1084</v>
      </c>
      <c r="B1085" s="5">
        <v>45280</v>
      </c>
      <c r="C1085" s="4">
        <v>2023</v>
      </c>
      <c r="D1085" s="4">
        <v>12</v>
      </c>
      <c r="E1085" s="14">
        <v>45280</v>
      </c>
      <c r="F1085" s="4">
        <v>20</v>
      </c>
      <c r="G1085">
        <v>340</v>
      </c>
      <c r="H1085">
        <v>327</v>
      </c>
      <c r="I1085" s="13">
        <v>0.96</v>
      </c>
      <c r="J1085">
        <v>13</v>
      </c>
      <c r="K1085" s="2">
        <v>2.4305555555555555E-4</v>
      </c>
      <c r="L1085" s="11">
        <v>114.44999999999999</v>
      </c>
      <c r="M1085" s="3">
        <v>0.35</v>
      </c>
      <c r="N1085" s="4">
        <v>21</v>
      </c>
      <c r="O1085" s="2">
        <v>1.3310185185185185E-3</v>
      </c>
      <c r="P1085" s="9">
        <v>626.75</v>
      </c>
      <c r="Q1085" s="3">
        <v>1.9166666666666665</v>
      </c>
      <c r="R1085" s="4">
        <v>114.99999999999999</v>
      </c>
      <c r="S1085" s="3">
        <v>253</v>
      </c>
      <c r="T1085" s="1">
        <v>0.77610000000000001</v>
      </c>
      <c r="U1085" s="6">
        <v>253.78470000000002</v>
      </c>
    </row>
    <row r="1086" spans="1:21" x14ac:dyDescent="0.35">
      <c r="A1086">
        <v>1085</v>
      </c>
      <c r="B1086" s="5">
        <v>45281</v>
      </c>
      <c r="C1086" s="4">
        <v>2023</v>
      </c>
      <c r="D1086" s="4">
        <v>12</v>
      </c>
      <c r="E1086" s="14">
        <v>45281</v>
      </c>
      <c r="F1086" s="4">
        <v>21</v>
      </c>
      <c r="G1086">
        <v>287</v>
      </c>
      <c r="H1086">
        <v>280</v>
      </c>
      <c r="I1086" s="13">
        <v>0.97</v>
      </c>
      <c r="J1086">
        <v>7</v>
      </c>
      <c r="K1086" s="2">
        <v>1.5046296296296297E-4</v>
      </c>
      <c r="L1086" s="11">
        <v>60.666666666666671</v>
      </c>
      <c r="M1086" s="3">
        <v>0.21666666666666667</v>
      </c>
      <c r="N1086" s="4">
        <v>13</v>
      </c>
      <c r="O1086" s="2">
        <v>2.1412037037037038E-3</v>
      </c>
      <c r="P1086" s="9">
        <v>863.33333333333337</v>
      </c>
      <c r="Q1086" s="3">
        <v>3.0833333333333335</v>
      </c>
      <c r="R1086" s="4">
        <v>185</v>
      </c>
      <c r="S1086" s="3">
        <v>236</v>
      </c>
      <c r="T1086" s="1">
        <v>0.84319999999999995</v>
      </c>
      <c r="U1086" s="6">
        <v>236.09599999999998</v>
      </c>
    </row>
    <row r="1087" spans="1:21" x14ac:dyDescent="0.35">
      <c r="A1087">
        <v>1086</v>
      </c>
      <c r="B1087" s="5">
        <v>45282</v>
      </c>
      <c r="C1087" s="4">
        <v>2023</v>
      </c>
      <c r="D1087" s="4">
        <v>12</v>
      </c>
      <c r="E1087" s="14">
        <v>45282</v>
      </c>
      <c r="F1087" s="4">
        <v>22</v>
      </c>
      <c r="G1087">
        <v>269</v>
      </c>
      <c r="H1087">
        <v>257</v>
      </c>
      <c r="I1087" s="13">
        <v>0.95</v>
      </c>
      <c r="J1087">
        <v>12</v>
      </c>
      <c r="K1087" s="2">
        <v>1.8518518518518518E-4</v>
      </c>
      <c r="L1087" s="11">
        <v>68.533333333333331</v>
      </c>
      <c r="M1087" s="3">
        <v>0.26666666666666666</v>
      </c>
      <c r="N1087" s="4">
        <v>16</v>
      </c>
      <c r="O1087" s="2">
        <v>2.1296296296296298E-3</v>
      </c>
      <c r="P1087" s="9">
        <v>788.13333333333344</v>
      </c>
      <c r="Q1087" s="3">
        <v>3.0666666666666669</v>
      </c>
      <c r="R1087" s="4">
        <v>184</v>
      </c>
      <c r="S1087" s="3">
        <v>210</v>
      </c>
      <c r="T1087" s="1">
        <v>0.82020000000000004</v>
      </c>
      <c r="U1087" s="6">
        <v>210.79140000000001</v>
      </c>
    </row>
    <row r="1088" spans="1:21" x14ac:dyDescent="0.35">
      <c r="A1088">
        <v>1087</v>
      </c>
      <c r="B1088" s="5">
        <v>45283</v>
      </c>
      <c r="C1088" s="4">
        <v>2023</v>
      </c>
      <c r="D1088" s="4">
        <v>12</v>
      </c>
      <c r="E1088" s="14">
        <v>45283</v>
      </c>
      <c r="F1088" s="4">
        <v>23</v>
      </c>
      <c r="G1088">
        <v>270</v>
      </c>
      <c r="H1088">
        <v>261</v>
      </c>
      <c r="I1088" s="13">
        <v>0.96</v>
      </c>
      <c r="J1088">
        <v>9</v>
      </c>
      <c r="K1088" s="2">
        <v>1.3888888888888889E-4</v>
      </c>
      <c r="L1088" s="11">
        <v>52.2</v>
      </c>
      <c r="M1088" s="3">
        <v>0.2</v>
      </c>
      <c r="N1088" s="4">
        <v>12</v>
      </c>
      <c r="O1088" s="2">
        <v>2.1527777777777778E-3</v>
      </c>
      <c r="P1088" s="9">
        <v>809.1</v>
      </c>
      <c r="Q1088" s="3">
        <v>3.1</v>
      </c>
      <c r="R1088" s="4">
        <v>186</v>
      </c>
      <c r="S1088" s="3">
        <v>224</v>
      </c>
      <c r="T1088" s="1">
        <v>0.85870000000000002</v>
      </c>
      <c r="U1088" s="6">
        <v>224.1207</v>
      </c>
    </row>
    <row r="1089" spans="1:21" x14ac:dyDescent="0.35">
      <c r="A1089">
        <v>1088</v>
      </c>
      <c r="B1089" s="5">
        <v>45284</v>
      </c>
      <c r="C1089" s="4">
        <v>2023</v>
      </c>
      <c r="D1089" s="4">
        <v>12</v>
      </c>
      <c r="E1089" s="14">
        <v>45284</v>
      </c>
      <c r="F1089" s="4">
        <v>24</v>
      </c>
      <c r="G1089">
        <v>285</v>
      </c>
      <c r="H1089">
        <v>273</v>
      </c>
      <c r="I1089" s="13">
        <v>0.95</v>
      </c>
      <c r="J1089">
        <v>12</v>
      </c>
      <c r="K1089" s="2">
        <v>1.3888888888888889E-4</v>
      </c>
      <c r="L1089" s="11">
        <v>54.6</v>
      </c>
      <c r="M1089" s="3">
        <v>0.2</v>
      </c>
      <c r="N1089" s="4">
        <v>12</v>
      </c>
      <c r="O1089" s="2">
        <v>2.2453703703703702E-3</v>
      </c>
      <c r="P1089" s="9">
        <v>882.7</v>
      </c>
      <c r="Q1089" s="3">
        <v>3.2333333333333334</v>
      </c>
      <c r="R1089" s="4">
        <v>194</v>
      </c>
      <c r="S1089" s="3">
        <v>233</v>
      </c>
      <c r="T1089" s="1">
        <v>0.85360000000000003</v>
      </c>
      <c r="U1089" s="6">
        <v>233.03280000000001</v>
      </c>
    </row>
    <row r="1090" spans="1:21" x14ac:dyDescent="0.35">
      <c r="A1090">
        <v>1089</v>
      </c>
      <c r="B1090" s="5">
        <v>45285</v>
      </c>
      <c r="C1090" s="4">
        <v>2023</v>
      </c>
      <c r="D1090" s="4">
        <v>12</v>
      </c>
      <c r="E1090" s="14">
        <v>45285</v>
      </c>
      <c r="F1090" s="4">
        <v>25</v>
      </c>
      <c r="G1090">
        <v>251</v>
      </c>
      <c r="H1090">
        <v>229</v>
      </c>
      <c r="I1090" s="13">
        <v>0.91</v>
      </c>
      <c r="J1090">
        <v>22</v>
      </c>
      <c r="K1090" s="2">
        <v>2.5462962962962961E-4</v>
      </c>
      <c r="L1090" s="11">
        <v>83.966666666666654</v>
      </c>
      <c r="M1090" s="3">
        <v>0.36666666666666664</v>
      </c>
      <c r="N1090" s="4">
        <v>22</v>
      </c>
      <c r="O1090" s="2">
        <v>2.0717592592592593E-3</v>
      </c>
      <c r="P1090" s="9">
        <v>683.18333333333339</v>
      </c>
      <c r="Q1090" s="3">
        <v>2.9833333333333334</v>
      </c>
      <c r="R1090" s="4">
        <v>179</v>
      </c>
      <c r="S1090" s="3">
        <v>167</v>
      </c>
      <c r="T1090" s="1">
        <v>0.73060000000000003</v>
      </c>
      <c r="U1090" s="6">
        <v>167.3074</v>
      </c>
    </row>
    <row r="1091" spans="1:21" x14ac:dyDescent="0.35">
      <c r="A1091">
        <v>1090</v>
      </c>
      <c r="B1091" s="5">
        <v>45286</v>
      </c>
      <c r="C1091" s="4">
        <v>2023</v>
      </c>
      <c r="D1091" s="4">
        <v>12</v>
      </c>
      <c r="E1091" s="14">
        <v>45286</v>
      </c>
      <c r="F1091" s="4">
        <v>26</v>
      </c>
      <c r="G1091">
        <v>47</v>
      </c>
      <c r="H1091">
        <v>47</v>
      </c>
      <c r="I1091" s="13">
        <v>1</v>
      </c>
      <c r="J1091">
        <v>0</v>
      </c>
      <c r="K1091" s="2">
        <v>1.5046296296296297E-4</v>
      </c>
      <c r="L1091" s="11">
        <v>10.183333333333334</v>
      </c>
      <c r="M1091" s="3">
        <v>0.21666666666666667</v>
      </c>
      <c r="N1091" s="4">
        <v>13</v>
      </c>
      <c r="O1091" s="2">
        <v>2.1180555555555558E-3</v>
      </c>
      <c r="P1091" s="9">
        <v>143.35</v>
      </c>
      <c r="Q1091" s="3">
        <v>3.05</v>
      </c>
      <c r="R1091" s="4">
        <v>183</v>
      </c>
      <c r="S1091" s="3">
        <v>40</v>
      </c>
      <c r="T1091" s="1">
        <v>0.87229999999999996</v>
      </c>
      <c r="U1091" s="6">
        <v>40.998100000000001</v>
      </c>
    </row>
    <row r="1092" spans="1:21" x14ac:dyDescent="0.35">
      <c r="A1092">
        <v>1091</v>
      </c>
      <c r="B1092" s="5">
        <v>45287</v>
      </c>
      <c r="C1092" s="4">
        <v>2023</v>
      </c>
      <c r="D1092" s="4">
        <v>12</v>
      </c>
      <c r="E1092" s="14">
        <v>45287</v>
      </c>
      <c r="F1092" s="4">
        <v>27</v>
      </c>
      <c r="G1092">
        <v>233</v>
      </c>
      <c r="H1092">
        <v>225</v>
      </c>
      <c r="I1092" s="13">
        <v>0.96</v>
      </c>
      <c r="J1092">
        <v>8</v>
      </c>
      <c r="K1092" s="2">
        <v>1.5046296296296297E-4</v>
      </c>
      <c r="L1092" s="11">
        <v>48.75</v>
      </c>
      <c r="M1092" s="3">
        <v>0.21666666666666667</v>
      </c>
      <c r="N1092" s="4">
        <v>13</v>
      </c>
      <c r="O1092" s="2">
        <v>2.1064814814814813E-3</v>
      </c>
      <c r="P1092" s="9">
        <v>682.5</v>
      </c>
      <c r="Q1092" s="3">
        <v>3.0333333333333332</v>
      </c>
      <c r="R1092" s="4">
        <v>182</v>
      </c>
      <c r="S1092" s="3">
        <v>190</v>
      </c>
      <c r="T1092" s="1">
        <v>0.84719999999999995</v>
      </c>
      <c r="U1092" s="6">
        <v>190.61999999999998</v>
      </c>
    </row>
    <row r="1093" spans="1:21" x14ac:dyDescent="0.35">
      <c r="A1093">
        <v>1092</v>
      </c>
      <c r="B1093" s="5">
        <v>45288</v>
      </c>
      <c r="C1093" s="4">
        <v>2023</v>
      </c>
      <c r="D1093" s="4">
        <v>12</v>
      </c>
      <c r="E1093" s="14">
        <v>45288</v>
      </c>
      <c r="F1093" s="4">
        <v>28</v>
      </c>
      <c r="G1093">
        <v>257</v>
      </c>
      <c r="H1093">
        <v>248</v>
      </c>
      <c r="I1093" s="13">
        <v>0.96</v>
      </c>
      <c r="J1093">
        <v>9</v>
      </c>
      <c r="K1093" s="2">
        <v>1.6203703703703703E-4</v>
      </c>
      <c r="L1093" s="11">
        <v>57.866666666666667</v>
      </c>
      <c r="M1093" s="3">
        <v>0.23333333333333334</v>
      </c>
      <c r="N1093" s="4">
        <v>14</v>
      </c>
      <c r="O1093" s="2">
        <v>2.2453703703703702E-3</v>
      </c>
      <c r="P1093" s="9">
        <v>801.86666666666667</v>
      </c>
      <c r="Q1093" s="3">
        <v>3.2333333333333334</v>
      </c>
      <c r="R1093" s="4">
        <v>194</v>
      </c>
      <c r="S1093" s="3">
        <v>206</v>
      </c>
      <c r="T1093" s="1">
        <v>0.83399999999999996</v>
      </c>
      <c r="U1093" s="6">
        <v>206.83199999999999</v>
      </c>
    </row>
    <row r="1094" spans="1:21" x14ac:dyDescent="0.35">
      <c r="A1094">
        <v>1093</v>
      </c>
      <c r="B1094" s="5">
        <v>45289</v>
      </c>
      <c r="C1094" s="4">
        <v>2023</v>
      </c>
      <c r="D1094" s="4">
        <v>12</v>
      </c>
      <c r="E1094" s="14">
        <v>45289</v>
      </c>
      <c r="F1094" s="4">
        <v>29</v>
      </c>
      <c r="G1094">
        <v>245</v>
      </c>
      <c r="H1094">
        <v>234</v>
      </c>
      <c r="I1094" s="13">
        <v>0.95</v>
      </c>
      <c r="J1094">
        <v>11</v>
      </c>
      <c r="K1094" s="2">
        <v>1.273148148148148E-4</v>
      </c>
      <c r="L1094" s="11">
        <v>42.9</v>
      </c>
      <c r="M1094" s="3">
        <v>0.18333333333333332</v>
      </c>
      <c r="N1094" s="4">
        <v>11</v>
      </c>
      <c r="O1094" s="2">
        <v>2.0949074074074073E-3</v>
      </c>
      <c r="P1094" s="9">
        <v>705.9</v>
      </c>
      <c r="Q1094" s="3">
        <v>3.0166666666666666</v>
      </c>
      <c r="R1094" s="4">
        <v>181</v>
      </c>
      <c r="S1094" s="3">
        <v>201</v>
      </c>
      <c r="T1094" s="1">
        <v>0.85950000000000004</v>
      </c>
      <c r="U1094" s="6">
        <v>201.12300000000002</v>
      </c>
    </row>
    <row r="1095" spans="1:21" x14ac:dyDescent="0.35">
      <c r="A1095">
        <v>1094</v>
      </c>
      <c r="B1095" s="5">
        <v>45290</v>
      </c>
      <c r="C1095" s="4">
        <v>2023</v>
      </c>
      <c r="D1095" s="4">
        <v>12</v>
      </c>
      <c r="E1095" s="14">
        <v>45290</v>
      </c>
      <c r="F1095" s="4">
        <v>30</v>
      </c>
      <c r="G1095">
        <v>267</v>
      </c>
      <c r="H1095">
        <v>265</v>
      </c>
      <c r="I1095" s="13">
        <v>0.99</v>
      </c>
      <c r="J1095">
        <v>2</v>
      </c>
      <c r="K1095" s="2">
        <v>5.7870370370370373E-5</v>
      </c>
      <c r="L1095" s="11">
        <v>22.083333333333332</v>
      </c>
      <c r="M1095" s="3">
        <v>8.3333333333333329E-2</v>
      </c>
      <c r="N1095" s="4">
        <v>5</v>
      </c>
      <c r="O1095" s="2">
        <v>2.0717592592592593E-3</v>
      </c>
      <c r="P1095" s="9">
        <v>790.58333333333337</v>
      </c>
      <c r="Q1095" s="3">
        <v>2.9833333333333334</v>
      </c>
      <c r="R1095" s="4">
        <v>179</v>
      </c>
      <c r="S1095" s="3">
        <v>258</v>
      </c>
      <c r="T1095" s="1">
        <v>0.97360000000000002</v>
      </c>
      <c r="U1095" s="6">
        <v>258.00400000000002</v>
      </c>
    </row>
    <row r="1096" spans="1:21" x14ac:dyDescent="0.35">
      <c r="A1096">
        <v>1095</v>
      </c>
      <c r="B1096" s="5">
        <v>45291</v>
      </c>
      <c r="C1096" s="4">
        <v>2023</v>
      </c>
      <c r="D1096" s="4">
        <v>12</v>
      </c>
      <c r="E1096" s="14">
        <v>45291</v>
      </c>
      <c r="F1096" s="4">
        <v>31</v>
      </c>
      <c r="G1096">
        <v>231</v>
      </c>
      <c r="H1096">
        <v>224</v>
      </c>
      <c r="I1096" s="13">
        <v>0.96</v>
      </c>
      <c r="J1096">
        <v>7</v>
      </c>
      <c r="K1096" s="2">
        <v>1.273148148148148E-4</v>
      </c>
      <c r="L1096" s="11">
        <v>41.066666666666663</v>
      </c>
      <c r="M1096" s="3">
        <v>0.18333333333333332</v>
      </c>
      <c r="N1096" s="4">
        <v>11</v>
      </c>
      <c r="O1096" s="2">
        <v>2.0370370370370369E-3</v>
      </c>
      <c r="P1096" s="9">
        <v>657.06666666666672</v>
      </c>
      <c r="Q1096" s="3">
        <v>2.9333333333333336</v>
      </c>
      <c r="R1096" s="4">
        <v>176</v>
      </c>
      <c r="S1096" s="3">
        <v>193</v>
      </c>
      <c r="T1096" s="1">
        <v>0.86580000000000001</v>
      </c>
      <c r="U1096" s="6">
        <v>193.9392</v>
      </c>
    </row>
    <row r="1097" spans="1:21" x14ac:dyDescent="0.35">
      <c r="A1097">
        <v>1096</v>
      </c>
      <c r="B1097" s="5">
        <v>45292</v>
      </c>
      <c r="C1097" s="4">
        <v>2024</v>
      </c>
      <c r="D1097" s="4">
        <v>1</v>
      </c>
      <c r="E1097" s="14">
        <v>45292</v>
      </c>
      <c r="F1097" s="4">
        <v>1</v>
      </c>
      <c r="G1097">
        <v>236</v>
      </c>
      <c r="H1097">
        <v>226</v>
      </c>
      <c r="I1097" s="13">
        <v>0.95</v>
      </c>
      <c r="J1097">
        <v>10</v>
      </c>
      <c r="K1097" s="2">
        <v>2.199074074074074E-4</v>
      </c>
      <c r="L1097" s="11">
        <v>71.566666666666663</v>
      </c>
      <c r="M1097" s="3">
        <v>0.31666666666666665</v>
      </c>
      <c r="N1097" s="4">
        <v>19</v>
      </c>
      <c r="O1097" s="2">
        <v>2.1296296296296298E-3</v>
      </c>
      <c r="P1097" s="9">
        <v>693.06666666666672</v>
      </c>
      <c r="Q1097" s="3">
        <v>3.0666666666666669</v>
      </c>
      <c r="R1097" s="4">
        <v>184</v>
      </c>
      <c r="S1097" s="3">
        <v>169</v>
      </c>
      <c r="T1097" s="1">
        <v>0.75</v>
      </c>
      <c r="U1097" s="6">
        <v>169.5</v>
      </c>
    </row>
    <row r="1098" spans="1:21" x14ac:dyDescent="0.35">
      <c r="A1098">
        <v>1097</v>
      </c>
      <c r="B1098" s="5">
        <v>45293</v>
      </c>
      <c r="C1098" s="4">
        <v>2024</v>
      </c>
      <c r="D1098" s="4">
        <v>1</v>
      </c>
      <c r="E1098" s="14">
        <v>45293</v>
      </c>
      <c r="F1098" s="4">
        <v>2</v>
      </c>
      <c r="G1098">
        <v>81</v>
      </c>
      <c r="H1098">
        <v>78</v>
      </c>
      <c r="I1098" s="13">
        <v>0.96</v>
      </c>
      <c r="J1098">
        <v>3</v>
      </c>
      <c r="K1098" s="2">
        <v>1.273148148148148E-4</v>
      </c>
      <c r="L1098" s="11">
        <v>14.299999999999999</v>
      </c>
      <c r="M1098" s="3">
        <v>0.18333333333333332</v>
      </c>
      <c r="N1098" s="4">
        <v>11</v>
      </c>
      <c r="O1098" s="2">
        <v>2.0486111111111113E-3</v>
      </c>
      <c r="P1098" s="9">
        <v>230.10000000000002</v>
      </c>
      <c r="Q1098" s="3">
        <v>2.95</v>
      </c>
      <c r="R1098" s="4">
        <v>177</v>
      </c>
      <c r="S1098" s="3">
        <v>63</v>
      </c>
      <c r="T1098" s="1">
        <v>0.8125</v>
      </c>
      <c r="U1098" s="6">
        <v>63.375</v>
      </c>
    </row>
    <row r="1099" spans="1:21" x14ac:dyDescent="0.35">
      <c r="A1099">
        <v>1098</v>
      </c>
      <c r="B1099" s="5">
        <v>45294</v>
      </c>
      <c r="C1099" s="4">
        <v>2024</v>
      </c>
      <c r="D1099" s="4">
        <v>1</v>
      </c>
      <c r="E1099" s="14">
        <v>45294</v>
      </c>
      <c r="F1099" s="4">
        <v>3</v>
      </c>
      <c r="G1099">
        <v>281</v>
      </c>
      <c r="H1099">
        <v>273</v>
      </c>
      <c r="I1099" s="13">
        <v>0.97</v>
      </c>
      <c r="J1099">
        <v>8</v>
      </c>
      <c r="K1099" s="2">
        <v>1.273148148148148E-4</v>
      </c>
      <c r="L1099" s="11">
        <v>50.05</v>
      </c>
      <c r="M1099" s="3">
        <v>0.18333333333333332</v>
      </c>
      <c r="N1099" s="4">
        <v>11</v>
      </c>
      <c r="O1099" s="2">
        <v>2.1064814814814813E-3</v>
      </c>
      <c r="P1099" s="9">
        <v>828.1</v>
      </c>
      <c r="Q1099" s="3">
        <v>3.0333333333333332</v>
      </c>
      <c r="R1099" s="4">
        <v>182</v>
      </c>
      <c r="S1099" s="3">
        <v>241</v>
      </c>
      <c r="T1099" s="1">
        <v>0.88490000000000002</v>
      </c>
      <c r="U1099" s="6">
        <v>241.57769999999999</v>
      </c>
    </row>
    <row r="1100" spans="1:21" x14ac:dyDescent="0.35">
      <c r="A1100">
        <v>1099</v>
      </c>
      <c r="B1100" s="5">
        <v>45295</v>
      </c>
      <c r="C1100" s="4">
        <v>2024</v>
      </c>
      <c r="D1100" s="4">
        <v>1</v>
      </c>
      <c r="E1100" s="14">
        <v>45295</v>
      </c>
      <c r="F1100" s="4">
        <v>4</v>
      </c>
      <c r="G1100">
        <v>399</v>
      </c>
      <c r="H1100">
        <v>387</v>
      </c>
      <c r="I1100" s="13">
        <v>0.96</v>
      </c>
      <c r="J1100">
        <v>12</v>
      </c>
      <c r="K1100" s="2">
        <v>1.273148148148148E-4</v>
      </c>
      <c r="L1100" s="11">
        <v>70.949999999999989</v>
      </c>
      <c r="M1100" s="3">
        <v>0.18333333333333332</v>
      </c>
      <c r="N1100" s="4">
        <v>11</v>
      </c>
      <c r="O1100" s="2">
        <v>1.9791666666666668E-3</v>
      </c>
      <c r="P1100" s="9">
        <v>1102.95</v>
      </c>
      <c r="Q1100" s="3">
        <v>2.85</v>
      </c>
      <c r="R1100" s="4">
        <v>171</v>
      </c>
      <c r="S1100" s="3">
        <v>334</v>
      </c>
      <c r="T1100" s="1">
        <v>0.86360000000000003</v>
      </c>
      <c r="U1100" s="6">
        <v>334.21320000000003</v>
      </c>
    </row>
    <row r="1101" spans="1:21" x14ac:dyDescent="0.35">
      <c r="A1101">
        <v>1100</v>
      </c>
      <c r="B1101" s="5">
        <v>45296</v>
      </c>
      <c r="C1101" s="4">
        <v>2024</v>
      </c>
      <c r="D1101" s="4">
        <v>1</v>
      </c>
      <c r="E1101" s="14">
        <v>45296</v>
      </c>
      <c r="F1101" s="4">
        <v>5</v>
      </c>
      <c r="G1101">
        <v>291</v>
      </c>
      <c r="H1101">
        <v>287</v>
      </c>
      <c r="I1101" s="13">
        <v>0.98</v>
      </c>
      <c r="J1101">
        <v>4</v>
      </c>
      <c r="K1101" s="2">
        <v>1.273148148148148E-4</v>
      </c>
      <c r="L1101" s="11">
        <v>52.61666666666666</v>
      </c>
      <c r="M1101" s="3">
        <v>0.18333333333333332</v>
      </c>
      <c r="N1101" s="4">
        <v>11</v>
      </c>
      <c r="O1101" s="2">
        <v>1.8055555555555555E-3</v>
      </c>
      <c r="P1101" s="9">
        <v>746.2</v>
      </c>
      <c r="Q1101" s="3">
        <v>2.6</v>
      </c>
      <c r="R1101" s="4">
        <v>156</v>
      </c>
      <c r="S1101" s="3">
        <v>252</v>
      </c>
      <c r="T1101" s="1">
        <v>0.87970000000000004</v>
      </c>
      <c r="U1101" s="6">
        <v>252.47390000000001</v>
      </c>
    </row>
    <row r="1102" spans="1:21" x14ac:dyDescent="0.35">
      <c r="A1102">
        <v>1101</v>
      </c>
      <c r="B1102" s="5">
        <v>45297</v>
      </c>
      <c r="C1102" s="4">
        <v>2024</v>
      </c>
      <c r="D1102" s="4">
        <v>1</v>
      </c>
      <c r="E1102" s="14">
        <v>45297</v>
      </c>
      <c r="F1102" s="4">
        <v>6</v>
      </c>
      <c r="G1102">
        <v>290</v>
      </c>
      <c r="H1102">
        <v>281</v>
      </c>
      <c r="I1102" s="13">
        <v>0.96</v>
      </c>
      <c r="J1102">
        <v>9</v>
      </c>
      <c r="K1102" s="2">
        <v>8.1018518518518516E-5</v>
      </c>
      <c r="L1102" s="11">
        <v>32.783333333333331</v>
      </c>
      <c r="M1102" s="3">
        <v>0.11666666666666667</v>
      </c>
      <c r="N1102" s="4">
        <v>7</v>
      </c>
      <c r="O1102" s="2">
        <v>2.1180555555555558E-3</v>
      </c>
      <c r="P1102" s="9">
        <v>857.05</v>
      </c>
      <c r="Q1102" s="3">
        <v>3.05</v>
      </c>
      <c r="R1102" s="4">
        <v>183</v>
      </c>
      <c r="S1102" s="3">
        <v>257</v>
      </c>
      <c r="T1102" s="1">
        <v>0.91639999999999999</v>
      </c>
      <c r="U1102" s="6">
        <v>257.50839999999999</v>
      </c>
    </row>
    <row r="1103" spans="1:21" x14ac:dyDescent="0.35">
      <c r="A1103">
        <v>1102</v>
      </c>
      <c r="B1103" s="5">
        <v>45298</v>
      </c>
      <c r="C1103" s="4">
        <v>2024</v>
      </c>
      <c r="D1103" s="4">
        <v>1</v>
      </c>
      <c r="E1103" s="14">
        <v>45298</v>
      </c>
      <c r="F1103" s="4">
        <v>7</v>
      </c>
      <c r="G1103">
        <v>230</v>
      </c>
      <c r="H1103">
        <v>227</v>
      </c>
      <c r="I1103" s="13">
        <v>0.98</v>
      </c>
      <c r="J1103">
        <v>3</v>
      </c>
      <c r="K1103" s="2">
        <v>9.2592592592592588E-5</v>
      </c>
      <c r="L1103" s="11">
        <v>30.266666666666666</v>
      </c>
      <c r="M1103" s="3">
        <v>0.13333333333333333</v>
      </c>
      <c r="N1103" s="4">
        <v>8</v>
      </c>
      <c r="O1103" s="2">
        <v>2.1527777777777778E-3</v>
      </c>
      <c r="P1103" s="9">
        <v>703.7</v>
      </c>
      <c r="Q1103" s="3">
        <v>3.1</v>
      </c>
      <c r="R1103" s="4">
        <v>186</v>
      </c>
      <c r="S1103" s="3">
        <v>208</v>
      </c>
      <c r="T1103" s="1">
        <v>0.91669999999999996</v>
      </c>
      <c r="U1103" s="6">
        <v>208.0909</v>
      </c>
    </row>
    <row r="1104" spans="1:21" x14ac:dyDescent="0.35">
      <c r="A1104">
        <v>1103</v>
      </c>
      <c r="B1104" s="5">
        <v>45299</v>
      </c>
      <c r="C1104" s="4">
        <v>2024</v>
      </c>
      <c r="D1104" s="4">
        <v>1</v>
      </c>
      <c r="E1104" s="14">
        <v>45299</v>
      </c>
      <c r="F1104" s="4">
        <v>8</v>
      </c>
      <c r="G1104">
        <v>236</v>
      </c>
      <c r="H1104">
        <v>216</v>
      </c>
      <c r="I1104" s="13">
        <v>0.91</v>
      </c>
      <c r="J1104">
        <v>20</v>
      </c>
      <c r="K1104" s="2">
        <v>1.9675925925925926E-4</v>
      </c>
      <c r="L1104" s="11">
        <v>61.199999999999996</v>
      </c>
      <c r="M1104" s="3">
        <v>0.28333333333333333</v>
      </c>
      <c r="N1104" s="4">
        <v>17</v>
      </c>
      <c r="O1104" s="2">
        <v>2.1875000000000002E-3</v>
      </c>
      <c r="P1104" s="9">
        <v>680.4</v>
      </c>
      <c r="Q1104" s="3">
        <v>3.15</v>
      </c>
      <c r="R1104" s="4">
        <v>189</v>
      </c>
      <c r="S1104" s="3">
        <v>152</v>
      </c>
      <c r="T1104" s="1">
        <v>0.70689999999999997</v>
      </c>
      <c r="U1104" s="6">
        <v>152.69039999999998</v>
      </c>
    </row>
    <row r="1105" spans="1:21" x14ac:dyDescent="0.35">
      <c r="A1105">
        <v>1104</v>
      </c>
      <c r="B1105" s="5">
        <v>45300</v>
      </c>
      <c r="C1105" s="4">
        <v>2024</v>
      </c>
      <c r="D1105" s="4">
        <v>1</v>
      </c>
      <c r="E1105" s="14">
        <v>45300</v>
      </c>
      <c r="F1105" s="4">
        <v>9</v>
      </c>
      <c r="G1105">
        <v>45</v>
      </c>
      <c r="H1105">
        <v>44</v>
      </c>
      <c r="I1105" s="13">
        <v>0.97</v>
      </c>
      <c r="J1105">
        <v>1</v>
      </c>
      <c r="K1105" s="2">
        <v>5.7870370370370373E-5</v>
      </c>
      <c r="L1105" s="11">
        <v>3.6666666666666665</v>
      </c>
      <c r="M1105" s="3">
        <v>8.3333333333333329E-2</v>
      </c>
      <c r="N1105" s="4">
        <v>5</v>
      </c>
      <c r="O1105" s="2">
        <v>1.9097222222222222E-3</v>
      </c>
      <c r="P1105" s="9">
        <v>121</v>
      </c>
      <c r="Q1105" s="3">
        <v>2.75</v>
      </c>
      <c r="R1105" s="4">
        <v>165</v>
      </c>
      <c r="S1105" s="3">
        <v>41</v>
      </c>
      <c r="T1105" s="1">
        <v>0.93330000000000002</v>
      </c>
      <c r="U1105" s="6">
        <v>41.065200000000004</v>
      </c>
    </row>
    <row r="1106" spans="1:21" x14ac:dyDescent="0.35">
      <c r="A1106">
        <v>1105</v>
      </c>
      <c r="B1106" s="5">
        <v>45301</v>
      </c>
      <c r="C1106" s="4">
        <v>2024</v>
      </c>
      <c r="D1106" s="4">
        <v>1</v>
      </c>
      <c r="E1106" s="14">
        <v>45301</v>
      </c>
      <c r="F1106" s="4">
        <v>10</v>
      </c>
      <c r="G1106">
        <v>249</v>
      </c>
      <c r="H1106">
        <v>238</v>
      </c>
      <c r="I1106" s="13">
        <v>0.95</v>
      </c>
      <c r="J1106">
        <v>11</v>
      </c>
      <c r="K1106" s="2">
        <v>1.273148148148148E-4</v>
      </c>
      <c r="L1106" s="11">
        <v>43.633333333333333</v>
      </c>
      <c r="M1106" s="3">
        <v>0.18333333333333332</v>
      </c>
      <c r="N1106" s="4">
        <v>11</v>
      </c>
      <c r="O1106" s="2">
        <v>1.8749999999999999E-3</v>
      </c>
      <c r="P1106" s="9">
        <v>642.6</v>
      </c>
      <c r="Q1106" s="3">
        <v>2.7</v>
      </c>
      <c r="R1106" s="4">
        <v>162</v>
      </c>
      <c r="S1106" s="3">
        <v>205</v>
      </c>
      <c r="T1106" s="1">
        <v>0.86529999999999996</v>
      </c>
      <c r="U1106" s="6">
        <v>205.94139999999999</v>
      </c>
    </row>
    <row r="1107" spans="1:21" x14ac:dyDescent="0.35">
      <c r="A1107">
        <v>1106</v>
      </c>
      <c r="B1107" s="5">
        <v>45302</v>
      </c>
      <c r="C1107" s="4">
        <v>2024</v>
      </c>
      <c r="D1107" s="4">
        <v>1</v>
      </c>
      <c r="E1107" s="14">
        <v>45302</v>
      </c>
      <c r="F1107" s="4">
        <v>11</v>
      </c>
      <c r="G1107">
        <v>350</v>
      </c>
      <c r="H1107">
        <v>328</v>
      </c>
      <c r="I1107" s="13">
        <v>0.93</v>
      </c>
      <c r="J1107">
        <v>22</v>
      </c>
      <c r="K1107" s="2">
        <v>3.2407407407407406E-4</v>
      </c>
      <c r="L1107" s="11">
        <v>153.06666666666666</v>
      </c>
      <c r="M1107" s="3">
        <v>0.46666666666666667</v>
      </c>
      <c r="N1107" s="4">
        <v>28</v>
      </c>
      <c r="O1107" s="2">
        <v>1.7476851851851852E-3</v>
      </c>
      <c r="P1107" s="9">
        <v>825.4666666666667</v>
      </c>
      <c r="Q1107" s="3">
        <v>2.5166666666666666</v>
      </c>
      <c r="R1107" s="4">
        <v>151</v>
      </c>
      <c r="S1107" s="3">
        <v>191</v>
      </c>
      <c r="T1107" s="1">
        <v>0.58260000000000001</v>
      </c>
      <c r="U1107" s="6">
        <v>191.09280000000001</v>
      </c>
    </row>
    <row r="1108" spans="1:21" x14ac:dyDescent="0.35">
      <c r="A1108">
        <v>1107</v>
      </c>
      <c r="B1108" s="5">
        <v>45303</v>
      </c>
      <c r="C1108" s="4">
        <v>2024</v>
      </c>
      <c r="D1108" s="4">
        <v>1</v>
      </c>
      <c r="E1108" s="14">
        <v>45303</v>
      </c>
      <c r="F1108" s="4">
        <v>12</v>
      </c>
      <c r="G1108">
        <v>361</v>
      </c>
      <c r="H1108">
        <v>306</v>
      </c>
      <c r="I1108" s="13">
        <v>0.84</v>
      </c>
      <c r="J1108">
        <v>55</v>
      </c>
      <c r="K1108" s="2">
        <v>3.1250000000000001E-4</v>
      </c>
      <c r="L1108" s="11">
        <v>137.70000000000002</v>
      </c>
      <c r="M1108" s="3">
        <v>0.45</v>
      </c>
      <c r="N1108" s="4">
        <v>27</v>
      </c>
      <c r="O1108" s="2">
        <v>1.6898148148148148E-3</v>
      </c>
      <c r="P1108" s="9">
        <v>744.6</v>
      </c>
      <c r="Q1108" s="3">
        <v>2.4333333333333336</v>
      </c>
      <c r="R1108" s="4">
        <v>146</v>
      </c>
      <c r="S1108" s="3">
        <v>184</v>
      </c>
      <c r="T1108" s="1">
        <v>0.60170000000000001</v>
      </c>
      <c r="U1108" s="6">
        <v>184.12020000000001</v>
      </c>
    </row>
    <row r="1109" spans="1:21" x14ac:dyDescent="0.35">
      <c r="A1109">
        <v>1108</v>
      </c>
      <c r="B1109" s="5">
        <v>45304</v>
      </c>
      <c r="C1109" s="4">
        <v>2024</v>
      </c>
      <c r="D1109" s="4">
        <v>1</v>
      </c>
      <c r="E1109" s="14">
        <v>45304</v>
      </c>
      <c r="F1109" s="4">
        <v>13</v>
      </c>
      <c r="G1109">
        <v>262</v>
      </c>
      <c r="H1109">
        <v>256</v>
      </c>
      <c r="I1109" s="13">
        <v>0.97</v>
      </c>
      <c r="J1109">
        <v>6</v>
      </c>
      <c r="K1109" s="2">
        <v>1.5046296296296297E-4</v>
      </c>
      <c r="L1109" s="11">
        <v>55.466666666666669</v>
      </c>
      <c r="M1109" s="3">
        <v>0.21666666666666667</v>
      </c>
      <c r="N1109" s="4">
        <v>13</v>
      </c>
      <c r="O1109" s="2">
        <v>1.9675925925925924E-3</v>
      </c>
      <c r="P1109" s="9">
        <v>725.33333333333337</v>
      </c>
      <c r="Q1109" s="3">
        <v>2.8333333333333335</v>
      </c>
      <c r="R1109" s="4">
        <v>170</v>
      </c>
      <c r="S1109" s="3">
        <v>220</v>
      </c>
      <c r="T1109" s="1">
        <v>0.86150000000000004</v>
      </c>
      <c r="U1109" s="6">
        <v>220.54400000000001</v>
      </c>
    </row>
    <row r="1110" spans="1:21" x14ac:dyDescent="0.35">
      <c r="A1110">
        <v>1109</v>
      </c>
      <c r="B1110" s="5">
        <v>45305</v>
      </c>
      <c r="C1110" s="4">
        <v>2024</v>
      </c>
      <c r="D1110" s="4">
        <v>1</v>
      </c>
      <c r="E1110" s="14">
        <v>45305</v>
      </c>
      <c r="F1110" s="4">
        <v>14</v>
      </c>
      <c r="G1110">
        <v>302</v>
      </c>
      <c r="H1110">
        <v>288</v>
      </c>
      <c r="I1110" s="13">
        <v>0.95</v>
      </c>
      <c r="J1110">
        <v>14</v>
      </c>
      <c r="K1110" s="2">
        <v>2.4305555555555555E-4</v>
      </c>
      <c r="L1110" s="11">
        <v>100.8</v>
      </c>
      <c r="M1110" s="3">
        <v>0.35</v>
      </c>
      <c r="N1110" s="4">
        <v>21</v>
      </c>
      <c r="O1110" s="2">
        <v>2.0370370370370369E-3</v>
      </c>
      <c r="P1110" s="9">
        <v>844.80000000000007</v>
      </c>
      <c r="Q1110" s="3">
        <v>2.9333333333333336</v>
      </c>
      <c r="R1110" s="4">
        <v>176</v>
      </c>
      <c r="S1110" s="3">
        <v>204</v>
      </c>
      <c r="T1110" s="1">
        <v>0.71099999999999997</v>
      </c>
      <c r="U1110" s="6">
        <v>204.768</v>
      </c>
    </row>
    <row r="1111" spans="1:21" x14ac:dyDescent="0.35">
      <c r="A1111">
        <v>1110</v>
      </c>
      <c r="B1111" s="5">
        <v>45306</v>
      </c>
      <c r="C1111" s="4">
        <v>2024</v>
      </c>
      <c r="D1111" s="4">
        <v>1</v>
      </c>
      <c r="E1111" s="14">
        <v>45306</v>
      </c>
      <c r="F1111" s="4">
        <v>15</v>
      </c>
      <c r="G1111">
        <v>299</v>
      </c>
      <c r="H1111">
        <v>268</v>
      </c>
      <c r="I1111" s="13">
        <v>0.89</v>
      </c>
      <c r="J1111">
        <v>31</v>
      </c>
      <c r="K1111" s="2">
        <v>3.2407407407407406E-4</v>
      </c>
      <c r="L1111" s="11">
        <v>125.06666666666666</v>
      </c>
      <c r="M1111" s="3">
        <v>0.46666666666666667</v>
      </c>
      <c r="N1111" s="4">
        <v>28</v>
      </c>
      <c r="O1111" s="2">
        <v>1.9560185185185184E-3</v>
      </c>
      <c r="P1111" s="9">
        <v>754.86666666666656</v>
      </c>
      <c r="Q1111" s="3">
        <v>2.8166666666666664</v>
      </c>
      <c r="R1111" s="4">
        <v>169</v>
      </c>
      <c r="S1111" s="3">
        <v>148</v>
      </c>
      <c r="T1111" s="1">
        <v>0.55410000000000004</v>
      </c>
      <c r="U1111" s="6">
        <v>148.49880000000002</v>
      </c>
    </row>
    <row r="1112" spans="1:21" x14ac:dyDescent="0.35">
      <c r="A1112">
        <v>1111</v>
      </c>
      <c r="B1112" s="5">
        <v>45307</v>
      </c>
      <c r="C1112" s="4">
        <v>2024</v>
      </c>
      <c r="D1112" s="4">
        <v>1</v>
      </c>
      <c r="E1112" s="14">
        <v>45307</v>
      </c>
      <c r="F1112" s="4">
        <v>16</v>
      </c>
      <c r="G1112">
        <v>50</v>
      </c>
      <c r="H1112">
        <v>49</v>
      </c>
      <c r="I1112" s="13">
        <v>0.98</v>
      </c>
      <c r="J1112">
        <v>1</v>
      </c>
      <c r="K1112" s="2">
        <v>2.7777777777777778E-4</v>
      </c>
      <c r="L1112" s="11">
        <v>19.600000000000001</v>
      </c>
      <c r="M1112" s="3">
        <v>0.4</v>
      </c>
      <c r="N1112" s="4">
        <v>24</v>
      </c>
      <c r="O1112" s="2">
        <v>2.0254629629629629E-3</v>
      </c>
      <c r="P1112" s="9">
        <v>142.91666666666666</v>
      </c>
      <c r="Q1112" s="3">
        <v>2.9166666666666665</v>
      </c>
      <c r="R1112" s="4">
        <v>175</v>
      </c>
      <c r="S1112" s="3">
        <v>37</v>
      </c>
      <c r="T1112" s="1">
        <v>0.76</v>
      </c>
      <c r="U1112" s="6">
        <v>37.24</v>
      </c>
    </row>
    <row r="1113" spans="1:21" x14ac:dyDescent="0.35">
      <c r="A1113">
        <v>1112</v>
      </c>
      <c r="B1113" s="5">
        <v>45308</v>
      </c>
      <c r="C1113" s="4">
        <v>2024</v>
      </c>
      <c r="D1113" s="4">
        <v>1</v>
      </c>
      <c r="E1113" s="14">
        <v>45308</v>
      </c>
      <c r="F1113" s="4">
        <v>17</v>
      </c>
      <c r="G1113">
        <v>285</v>
      </c>
      <c r="H1113">
        <v>273</v>
      </c>
      <c r="I1113" s="13">
        <v>0.95</v>
      </c>
      <c r="J1113">
        <v>12</v>
      </c>
      <c r="K1113" s="2">
        <v>2.4305555555555555E-4</v>
      </c>
      <c r="L1113" s="11">
        <v>95.55</v>
      </c>
      <c r="M1113" s="3">
        <v>0.35</v>
      </c>
      <c r="N1113" s="4">
        <v>21</v>
      </c>
      <c r="O1113" s="2">
        <v>1.9560185185185184E-3</v>
      </c>
      <c r="P1113" s="9">
        <v>768.94999999999993</v>
      </c>
      <c r="Q1113" s="3">
        <v>2.8166666666666664</v>
      </c>
      <c r="R1113" s="4">
        <v>169</v>
      </c>
      <c r="S1113" s="3">
        <v>207</v>
      </c>
      <c r="T1113" s="1">
        <v>0.76160000000000005</v>
      </c>
      <c r="U1113" s="6">
        <v>207.91680000000002</v>
      </c>
    </row>
    <row r="1114" spans="1:21" x14ac:dyDescent="0.35">
      <c r="A1114">
        <v>1113</v>
      </c>
      <c r="B1114" s="5">
        <v>45309</v>
      </c>
      <c r="C1114" s="4">
        <v>2024</v>
      </c>
      <c r="D1114" s="4">
        <v>1</v>
      </c>
      <c r="E1114" s="14">
        <v>45309</v>
      </c>
      <c r="F1114" s="4">
        <v>18</v>
      </c>
      <c r="G1114">
        <v>77</v>
      </c>
      <c r="H1114">
        <v>75</v>
      </c>
      <c r="I1114" s="13">
        <v>0.97</v>
      </c>
      <c r="J1114">
        <v>2</v>
      </c>
      <c r="K1114" s="2">
        <v>1.0416666666666667E-4</v>
      </c>
      <c r="L1114" s="11">
        <v>11.25</v>
      </c>
      <c r="M1114" s="3">
        <v>0.15</v>
      </c>
      <c r="N1114" s="4">
        <v>9</v>
      </c>
      <c r="O1114" s="2">
        <v>1.8865740740740742E-3</v>
      </c>
      <c r="P1114" s="9">
        <v>203.75</v>
      </c>
      <c r="Q1114" s="3">
        <v>2.7166666666666668</v>
      </c>
      <c r="R1114" s="4">
        <v>163</v>
      </c>
      <c r="S1114" s="3">
        <v>69</v>
      </c>
      <c r="T1114" s="1">
        <v>0.92110000000000003</v>
      </c>
      <c r="U1114" s="6">
        <v>69.082499999999996</v>
      </c>
    </row>
    <row r="1115" spans="1:21" x14ac:dyDescent="0.35">
      <c r="A1115">
        <v>1114</v>
      </c>
      <c r="B1115" s="5">
        <v>45310</v>
      </c>
      <c r="C1115" s="4">
        <v>2024</v>
      </c>
      <c r="D1115" s="4">
        <v>1</v>
      </c>
      <c r="E1115" s="14">
        <v>45310</v>
      </c>
      <c r="F1115" s="4">
        <v>19</v>
      </c>
      <c r="G1115">
        <v>332</v>
      </c>
      <c r="H1115">
        <v>321</v>
      </c>
      <c r="I1115" s="13">
        <v>0.96</v>
      </c>
      <c r="J1115">
        <v>11</v>
      </c>
      <c r="K1115" s="2">
        <v>1.9675925925925926E-4</v>
      </c>
      <c r="L1115" s="11">
        <v>90.95</v>
      </c>
      <c r="M1115" s="3">
        <v>0.28333333333333333</v>
      </c>
      <c r="N1115" s="4">
        <v>17</v>
      </c>
      <c r="O1115" s="2">
        <v>2.0601851851851853E-3</v>
      </c>
      <c r="P1115" s="9">
        <v>952.30000000000007</v>
      </c>
      <c r="Q1115" s="3">
        <v>2.9666666666666668</v>
      </c>
      <c r="R1115" s="4">
        <v>178</v>
      </c>
      <c r="S1115" s="3">
        <v>258</v>
      </c>
      <c r="T1115" s="1">
        <v>0.80659999999999998</v>
      </c>
      <c r="U1115" s="6">
        <v>258.91859999999997</v>
      </c>
    </row>
    <row r="1116" spans="1:21" x14ac:dyDescent="0.35">
      <c r="A1116">
        <v>1115</v>
      </c>
      <c r="B1116" s="5">
        <v>45311</v>
      </c>
      <c r="C1116" s="4">
        <v>2024</v>
      </c>
      <c r="D1116" s="4">
        <v>1</v>
      </c>
      <c r="E1116" s="14">
        <v>45311</v>
      </c>
      <c r="F1116" s="4">
        <v>20</v>
      </c>
      <c r="G1116">
        <v>282</v>
      </c>
      <c r="H1116">
        <v>266</v>
      </c>
      <c r="I1116" s="13">
        <v>0.94</v>
      </c>
      <c r="J1116">
        <v>16</v>
      </c>
      <c r="K1116" s="2">
        <v>2.5462962962962961E-4</v>
      </c>
      <c r="L1116" s="11">
        <v>97.533333333333331</v>
      </c>
      <c r="M1116" s="3">
        <v>0.36666666666666664</v>
      </c>
      <c r="N1116" s="4">
        <v>22</v>
      </c>
      <c r="O1116" s="2">
        <v>2.1990740740740742E-3</v>
      </c>
      <c r="P1116" s="9">
        <v>842.33333333333326</v>
      </c>
      <c r="Q1116" s="3">
        <v>3.1666666666666665</v>
      </c>
      <c r="R1116" s="4">
        <v>190</v>
      </c>
      <c r="S1116" s="3">
        <v>197</v>
      </c>
      <c r="T1116" s="1">
        <v>0.7429</v>
      </c>
      <c r="U1116" s="6">
        <v>197.6114</v>
      </c>
    </row>
    <row r="1117" spans="1:21" x14ac:dyDescent="0.35">
      <c r="A1117">
        <v>1116</v>
      </c>
      <c r="B1117" s="5">
        <v>45312</v>
      </c>
      <c r="C1117" s="4">
        <v>2024</v>
      </c>
      <c r="D1117" s="4">
        <v>1</v>
      </c>
      <c r="E1117" s="14">
        <v>45312</v>
      </c>
      <c r="F1117" s="4">
        <v>21</v>
      </c>
      <c r="G1117">
        <v>256</v>
      </c>
      <c r="H1117">
        <v>248</v>
      </c>
      <c r="I1117" s="13">
        <v>0.96</v>
      </c>
      <c r="J1117">
        <v>8</v>
      </c>
      <c r="K1117" s="2">
        <v>1.6203703703703703E-4</v>
      </c>
      <c r="L1117" s="11">
        <v>57.866666666666667</v>
      </c>
      <c r="M1117" s="3">
        <v>0.23333333333333334</v>
      </c>
      <c r="N1117" s="4">
        <v>14</v>
      </c>
      <c r="O1117" s="2">
        <v>2.0833333333333333E-3</v>
      </c>
      <c r="P1117" s="9">
        <v>744</v>
      </c>
      <c r="Q1117" s="3">
        <v>3</v>
      </c>
      <c r="R1117" s="4">
        <v>180</v>
      </c>
      <c r="S1117" s="3">
        <v>204</v>
      </c>
      <c r="T1117" s="1">
        <v>0.82350000000000001</v>
      </c>
      <c r="U1117" s="6">
        <v>204.22800000000001</v>
      </c>
    </row>
    <row r="1118" spans="1:21" x14ac:dyDescent="0.35">
      <c r="A1118">
        <v>1117</v>
      </c>
      <c r="B1118" s="5">
        <v>45313</v>
      </c>
      <c r="C1118" s="4">
        <v>2024</v>
      </c>
      <c r="D1118" s="4">
        <v>1</v>
      </c>
      <c r="E1118" s="14">
        <v>45313</v>
      </c>
      <c r="F1118" s="4">
        <v>22</v>
      </c>
      <c r="G1118">
        <v>177</v>
      </c>
      <c r="H1118">
        <v>176</v>
      </c>
      <c r="I1118" s="13">
        <v>0.99</v>
      </c>
      <c r="J1118">
        <v>1</v>
      </c>
      <c r="K1118" s="2">
        <v>1.3888888888888889E-4</v>
      </c>
      <c r="L1118" s="11">
        <v>35.200000000000003</v>
      </c>
      <c r="M1118" s="3">
        <v>0.2</v>
      </c>
      <c r="N1118" s="4">
        <v>12</v>
      </c>
      <c r="O1118" s="2">
        <v>1.8171296296296297E-3</v>
      </c>
      <c r="P1118" s="9">
        <v>460.53333333333336</v>
      </c>
      <c r="Q1118" s="3">
        <v>2.6166666666666667</v>
      </c>
      <c r="R1118" s="4">
        <v>157</v>
      </c>
      <c r="S1118" s="3">
        <v>146</v>
      </c>
      <c r="T1118" s="1">
        <v>0.83520000000000005</v>
      </c>
      <c r="U1118" s="6">
        <v>146.99520000000001</v>
      </c>
    </row>
    <row r="1119" spans="1:21" x14ac:dyDescent="0.35">
      <c r="A1119">
        <v>1118</v>
      </c>
      <c r="B1119" s="5">
        <v>45314</v>
      </c>
      <c r="C1119" s="4">
        <v>2024</v>
      </c>
      <c r="D1119" s="4">
        <v>1</v>
      </c>
      <c r="E1119" s="14">
        <v>45314</v>
      </c>
      <c r="F1119" s="4">
        <v>23</v>
      </c>
      <c r="G1119">
        <v>27</v>
      </c>
      <c r="H1119">
        <v>24</v>
      </c>
      <c r="I1119" s="13">
        <v>0.88</v>
      </c>
      <c r="J1119">
        <v>3</v>
      </c>
      <c r="K1119" s="2">
        <v>1.5046296296296297E-4</v>
      </c>
      <c r="L1119" s="11">
        <v>5.2</v>
      </c>
      <c r="M1119" s="3">
        <v>0.21666666666666667</v>
      </c>
      <c r="N1119" s="4">
        <v>13</v>
      </c>
      <c r="O1119" s="2">
        <v>1.5625000000000001E-3</v>
      </c>
      <c r="P1119" s="9">
        <v>54</v>
      </c>
      <c r="Q1119" s="3">
        <v>2.25</v>
      </c>
      <c r="R1119" s="4">
        <v>135</v>
      </c>
      <c r="S1119" s="3">
        <v>17</v>
      </c>
      <c r="T1119" s="1">
        <v>0.74070000000000003</v>
      </c>
      <c r="U1119" s="6">
        <v>17.776800000000001</v>
      </c>
    </row>
    <row r="1120" spans="1:21" x14ac:dyDescent="0.35">
      <c r="A1120">
        <v>1119</v>
      </c>
      <c r="B1120" s="5">
        <v>45315</v>
      </c>
      <c r="C1120" s="4">
        <v>2024</v>
      </c>
      <c r="D1120" s="4">
        <v>1</v>
      </c>
      <c r="E1120" s="14">
        <v>45315</v>
      </c>
      <c r="F1120" s="4">
        <v>24</v>
      </c>
      <c r="G1120">
        <v>307</v>
      </c>
      <c r="H1120">
        <v>305</v>
      </c>
      <c r="I1120" s="13">
        <v>0.99</v>
      </c>
      <c r="J1120">
        <v>2</v>
      </c>
      <c r="K1120" s="2">
        <v>1.0416666666666667E-4</v>
      </c>
      <c r="L1120" s="11">
        <v>45.75</v>
      </c>
      <c r="M1120" s="3">
        <v>0.15</v>
      </c>
      <c r="N1120" s="4">
        <v>9</v>
      </c>
      <c r="O1120" s="2">
        <v>2.0949074074074073E-3</v>
      </c>
      <c r="P1120" s="9">
        <v>920.08333333333337</v>
      </c>
      <c r="Q1120" s="3">
        <v>3.0166666666666666</v>
      </c>
      <c r="R1120" s="4">
        <v>181</v>
      </c>
      <c r="S1120" s="3">
        <v>279</v>
      </c>
      <c r="T1120" s="1">
        <v>0.91800000000000004</v>
      </c>
      <c r="U1120" s="6">
        <v>279.99</v>
      </c>
    </row>
    <row r="1121" spans="1:21" x14ac:dyDescent="0.35">
      <c r="A1121">
        <v>1120</v>
      </c>
      <c r="B1121" s="5">
        <v>45316</v>
      </c>
      <c r="C1121" s="4">
        <v>2024</v>
      </c>
      <c r="D1121" s="4">
        <v>1</v>
      </c>
      <c r="E1121" s="14">
        <v>45316</v>
      </c>
      <c r="F1121" s="4">
        <v>25</v>
      </c>
      <c r="G1121">
        <v>587</v>
      </c>
      <c r="H1121">
        <v>577</v>
      </c>
      <c r="I1121" s="13">
        <v>0.98</v>
      </c>
      <c r="J1121">
        <v>10</v>
      </c>
      <c r="K1121" s="2">
        <v>1.1574074074074075E-4</v>
      </c>
      <c r="L1121" s="11">
        <v>96.166666666666657</v>
      </c>
      <c r="M1121" s="3">
        <v>0.16666666666666666</v>
      </c>
      <c r="N1121" s="4">
        <v>10</v>
      </c>
      <c r="O1121" s="2">
        <v>1.4814814814814814E-3</v>
      </c>
      <c r="P1121" s="9">
        <v>1230.9333333333334</v>
      </c>
      <c r="Q1121" s="3">
        <v>2.1333333333333333</v>
      </c>
      <c r="R1121" s="4">
        <v>128</v>
      </c>
      <c r="S1121" s="3">
        <v>530</v>
      </c>
      <c r="T1121" s="1">
        <v>0.9194</v>
      </c>
      <c r="U1121" s="6">
        <v>530.49379999999996</v>
      </c>
    </row>
    <row r="1122" spans="1:21" x14ac:dyDescent="0.35">
      <c r="A1122">
        <v>1121</v>
      </c>
      <c r="B1122" s="5">
        <v>45317</v>
      </c>
      <c r="C1122" s="4">
        <v>2024</v>
      </c>
      <c r="D1122" s="4">
        <v>1</v>
      </c>
      <c r="E1122" s="14">
        <v>45317</v>
      </c>
      <c r="F1122" s="4">
        <v>26</v>
      </c>
      <c r="G1122">
        <v>270</v>
      </c>
      <c r="H1122">
        <v>265</v>
      </c>
      <c r="I1122" s="13">
        <v>0.98</v>
      </c>
      <c r="J1122">
        <v>5</v>
      </c>
      <c r="K1122" s="2">
        <v>8.1018518518518516E-5</v>
      </c>
      <c r="L1122" s="11">
        <v>30.916666666666668</v>
      </c>
      <c r="M1122" s="3">
        <v>0.11666666666666667</v>
      </c>
      <c r="N1122" s="4">
        <v>7</v>
      </c>
      <c r="O1122" s="2">
        <v>1.8981481481481482E-3</v>
      </c>
      <c r="P1122" s="9">
        <v>724.33333333333337</v>
      </c>
      <c r="Q1122" s="3">
        <v>2.7333333333333334</v>
      </c>
      <c r="R1122" s="4">
        <v>164</v>
      </c>
      <c r="S1122" s="3">
        <v>243</v>
      </c>
      <c r="T1122" s="1">
        <v>0.91790000000000005</v>
      </c>
      <c r="U1122" s="6">
        <v>243.24350000000001</v>
      </c>
    </row>
    <row r="1123" spans="1:21" x14ac:dyDescent="0.35">
      <c r="A1123">
        <v>1122</v>
      </c>
      <c r="B1123" s="5">
        <v>45318</v>
      </c>
      <c r="C1123" s="4">
        <v>2024</v>
      </c>
      <c r="D1123" s="4">
        <v>1</v>
      </c>
      <c r="E1123" s="14">
        <v>45318</v>
      </c>
      <c r="F1123" s="4">
        <v>27</v>
      </c>
      <c r="G1123">
        <v>307</v>
      </c>
      <c r="H1123">
        <v>297</v>
      </c>
      <c r="I1123" s="13">
        <v>0.96</v>
      </c>
      <c r="J1123">
        <v>10</v>
      </c>
      <c r="K1123" s="2">
        <v>1.6203703703703703E-4</v>
      </c>
      <c r="L1123" s="11">
        <v>69.3</v>
      </c>
      <c r="M1123" s="3">
        <v>0.23333333333333334</v>
      </c>
      <c r="N1123" s="4">
        <v>14</v>
      </c>
      <c r="O1123" s="2">
        <v>2.0717592592592593E-3</v>
      </c>
      <c r="P1123" s="9">
        <v>886.05000000000007</v>
      </c>
      <c r="Q1123" s="3">
        <v>2.9833333333333334</v>
      </c>
      <c r="R1123" s="4">
        <v>179</v>
      </c>
      <c r="S1123" s="3">
        <v>244</v>
      </c>
      <c r="T1123" s="1">
        <v>0.82240000000000002</v>
      </c>
      <c r="U1123" s="6">
        <v>244.25280000000001</v>
      </c>
    </row>
    <row r="1124" spans="1:21" x14ac:dyDescent="0.35">
      <c r="A1124">
        <v>1123</v>
      </c>
      <c r="B1124" s="5">
        <v>45319</v>
      </c>
      <c r="C1124" s="4">
        <v>2024</v>
      </c>
      <c r="D1124" s="4">
        <v>1</v>
      </c>
      <c r="E1124" s="14">
        <v>45319</v>
      </c>
      <c r="F1124" s="4">
        <v>28</v>
      </c>
      <c r="G1124">
        <v>242</v>
      </c>
      <c r="H1124">
        <v>238</v>
      </c>
      <c r="I1124" s="13">
        <v>0.98</v>
      </c>
      <c r="J1124">
        <v>4</v>
      </c>
      <c r="K1124" s="2">
        <v>6.9444444444444444E-5</v>
      </c>
      <c r="L1124" s="11">
        <v>23.8</v>
      </c>
      <c r="M1124" s="3">
        <v>0.1</v>
      </c>
      <c r="N1124" s="4">
        <v>6</v>
      </c>
      <c r="O1124" s="2">
        <v>1.8749999999999999E-3</v>
      </c>
      <c r="P1124" s="9">
        <v>642.6</v>
      </c>
      <c r="Q1124" s="3">
        <v>2.7</v>
      </c>
      <c r="R1124" s="4">
        <v>162</v>
      </c>
      <c r="S1124" s="3">
        <v>225</v>
      </c>
      <c r="T1124" s="1">
        <v>0.94630000000000003</v>
      </c>
      <c r="U1124" s="6">
        <v>225.21940000000001</v>
      </c>
    </row>
    <row r="1125" spans="1:21" x14ac:dyDescent="0.35">
      <c r="A1125">
        <v>1124</v>
      </c>
      <c r="B1125" s="5">
        <v>45320</v>
      </c>
      <c r="C1125" s="4">
        <v>2024</v>
      </c>
      <c r="D1125" s="4">
        <v>1</v>
      </c>
      <c r="E1125" s="14">
        <v>45320</v>
      </c>
      <c r="F1125" s="4">
        <v>29</v>
      </c>
      <c r="G1125">
        <v>194</v>
      </c>
      <c r="H1125">
        <v>182</v>
      </c>
      <c r="I1125" s="13">
        <v>0.93</v>
      </c>
      <c r="J1125">
        <v>12</v>
      </c>
      <c r="K1125" s="2">
        <v>1.3888888888888889E-4</v>
      </c>
      <c r="L1125" s="11">
        <v>36.4</v>
      </c>
      <c r="M1125" s="3">
        <v>0.2</v>
      </c>
      <c r="N1125" s="4">
        <v>12</v>
      </c>
      <c r="O1125" s="2">
        <v>2.0486111111111113E-3</v>
      </c>
      <c r="P1125" s="9">
        <v>536.9</v>
      </c>
      <c r="Q1125" s="3">
        <v>2.95</v>
      </c>
      <c r="R1125" s="4">
        <v>177</v>
      </c>
      <c r="S1125" s="3">
        <v>147</v>
      </c>
      <c r="T1125" s="1">
        <v>0.8115</v>
      </c>
      <c r="U1125" s="6">
        <v>147.69300000000001</v>
      </c>
    </row>
    <row r="1126" spans="1:21" x14ac:dyDescent="0.35">
      <c r="A1126">
        <v>1125</v>
      </c>
      <c r="B1126" s="5">
        <v>45321</v>
      </c>
      <c r="C1126" s="4">
        <v>2024</v>
      </c>
      <c r="D1126" s="4">
        <v>1</v>
      </c>
      <c r="E1126" s="14">
        <v>45321</v>
      </c>
      <c r="F1126" s="4">
        <v>30</v>
      </c>
      <c r="G1126">
        <v>21</v>
      </c>
      <c r="H1126">
        <v>21</v>
      </c>
      <c r="I1126" s="13">
        <v>1</v>
      </c>
      <c r="J1126">
        <v>0</v>
      </c>
      <c r="K1126" s="2">
        <v>1.3888888888888889E-4</v>
      </c>
      <c r="L1126" s="11">
        <v>4.2</v>
      </c>
      <c r="M1126" s="3">
        <v>0.2</v>
      </c>
      <c r="N1126" s="4">
        <v>12</v>
      </c>
      <c r="O1126" s="2">
        <v>2.1643518518518518E-3</v>
      </c>
      <c r="P1126" s="9">
        <v>65.45</v>
      </c>
      <c r="Q1126" s="3">
        <v>3.1166666666666667</v>
      </c>
      <c r="R1126" s="4">
        <v>187</v>
      </c>
      <c r="S1126" s="3">
        <v>19</v>
      </c>
      <c r="T1126" s="1">
        <v>0.90480000000000005</v>
      </c>
      <c r="U1126" s="6">
        <v>19.000800000000002</v>
      </c>
    </row>
    <row r="1127" spans="1:21" x14ac:dyDescent="0.35">
      <c r="A1127">
        <v>1126</v>
      </c>
      <c r="B1127" s="5">
        <v>45322</v>
      </c>
      <c r="C1127" s="4">
        <v>2024</v>
      </c>
      <c r="D1127" s="4">
        <v>1</v>
      </c>
      <c r="E1127" s="14">
        <v>45322</v>
      </c>
      <c r="F1127" s="4">
        <v>31</v>
      </c>
      <c r="G1127">
        <v>291</v>
      </c>
      <c r="H1127">
        <v>288</v>
      </c>
      <c r="I1127" s="13">
        <v>0.98</v>
      </c>
      <c r="J1127">
        <v>3</v>
      </c>
      <c r="K1127" s="2">
        <v>8.1018518518518516E-5</v>
      </c>
      <c r="L1127" s="11">
        <v>33.6</v>
      </c>
      <c r="M1127" s="3">
        <v>0.11666666666666667</v>
      </c>
      <c r="N1127" s="4">
        <v>7</v>
      </c>
      <c r="O1127" s="2">
        <v>1.9212962962962964E-3</v>
      </c>
      <c r="P1127" s="9">
        <v>796.8</v>
      </c>
      <c r="Q1127" s="3">
        <v>2.7666666666666666</v>
      </c>
      <c r="R1127" s="4">
        <v>166</v>
      </c>
      <c r="S1127" s="3">
        <v>270</v>
      </c>
      <c r="T1127" s="1">
        <v>0.93789999999999996</v>
      </c>
      <c r="U1127" s="6">
        <v>270.11519999999996</v>
      </c>
    </row>
    <row r="1128" spans="1:21" x14ac:dyDescent="0.35">
      <c r="A1128">
        <v>1127</v>
      </c>
      <c r="B1128" s="5">
        <v>45323</v>
      </c>
      <c r="C1128" s="4">
        <v>2024</v>
      </c>
      <c r="D1128" s="4">
        <v>2</v>
      </c>
      <c r="E1128" s="14">
        <v>45323</v>
      </c>
      <c r="F1128" s="4">
        <v>1</v>
      </c>
      <c r="G1128">
        <v>516</v>
      </c>
      <c r="H1128">
        <v>479</v>
      </c>
      <c r="I1128" s="13">
        <v>0.92</v>
      </c>
      <c r="J1128">
        <v>37</v>
      </c>
      <c r="K1128" s="2">
        <v>3.0092592592592595E-4</v>
      </c>
      <c r="L1128" s="11">
        <v>207.56666666666666</v>
      </c>
      <c r="M1128" s="3">
        <v>0.43333333333333335</v>
      </c>
      <c r="N1128" s="4">
        <v>26</v>
      </c>
      <c r="O1128" s="2">
        <v>1.8518518518518519E-3</v>
      </c>
      <c r="P1128" s="9">
        <v>1277.3333333333333</v>
      </c>
      <c r="Q1128" s="3">
        <v>2.6666666666666665</v>
      </c>
      <c r="R1128" s="4">
        <v>160</v>
      </c>
      <c r="S1128" s="3">
        <v>305</v>
      </c>
      <c r="T1128" s="1">
        <v>0.63800000000000001</v>
      </c>
      <c r="U1128" s="6">
        <v>305.60200000000003</v>
      </c>
    </row>
    <row r="1129" spans="1:21" x14ac:dyDescent="0.35">
      <c r="A1129">
        <v>1128</v>
      </c>
      <c r="B1129" s="5">
        <v>45324</v>
      </c>
      <c r="C1129" s="4">
        <v>2024</v>
      </c>
      <c r="D1129" s="4">
        <v>2</v>
      </c>
      <c r="E1129" s="14">
        <v>45324</v>
      </c>
      <c r="F1129" s="4">
        <v>2</v>
      </c>
      <c r="G1129">
        <v>452</v>
      </c>
      <c r="H1129">
        <v>447</v>
      </c>
      <c r="I1129" s="13">
        <v>0.98</v>
      </c>
      <c r="J1129">
        <v>5</v>
      </c>
      <c r="K1129" s="2">
        <v>6.9444444444444444E-5</v>
      </c>
      <c r="L1129" s="11">
        <v>44.7</v>
      </c>
      <c r="M1129" s="3">
        <v>0.1</v>
      </c>
      <c r="N1129" s="4">
        <v>6</v>
      </c>
      <c r="O1129" s="2">
        <v>1.4351851851851852E-3</v>
      </c>
      <c r="P1129" s="9">
        <v>923.80000000000007</v>
      </c>
      <c r="Q1129" s="3">
        <v>2.0666666666666669</v>
      </c>
      <c r="R1129" s="4">
        <v>124.00000000000001</v>
      </c>
      <c r="S1129" s="3">
        <v>422</v>
      </c>
      <c r="T1129" s="1">
        <v>0.94440000000000002</v>
      </c>
      <c r="U1129" s="6">
        <v>422.14679999999998</v>
      </c>
    </row>
    <row r="1130" spans="1:21" x14ac:dyDescent="0.35">
      <c r="A1130">
        <v>1129</v>
      </c>
      <c r="B1130" s="5">
        <v>45325</v>
      </c>
      <c r="C1130" s="4">
        <v>2024</v>
      </c>
      <c r="D1130" s="4">
        <v>2</v>
      </c>
      <c r="E1130" s="14">
        <v>45325</v>
      </c>
      <c r="F1130" s="4">
        <v>3</v>
      </c>
      <c r="G1130">
        <v>375</v>
      </c>
      <c r="H1130">
        <v>375</v>
      </c>
      <c r="I1130" s="13">
        <v>1</v>
      </c>
      <c r="J1130">
        <v>0</v>
      </c>
      <c r="K1130" s="2">
        <v>5.7870370370370373E-5</v>
      </c>
      <c r="L1130" s="11">
        <v>31.25</v>
      </c>
      <c r="M1130" s="3">
        <v>8.3333333333333329E-2</v>
      </c>
      <c r="N1130" s="4">
        <v>5</v>
      </c>
      <c r="O1130" s="2">
        <v>1.5393518518518519E-3</v>
      </c>
      <c r="P1130" s="9">
        <v>831.25</v>
      </c>
      <c r="Q1130" s="3">
        <v>2.2166666666666668</v>
      </c>
      <c r="R1130" s="4">
        <v>133</v>
      </c>
      <c r="S1130" s="3">
        <v>361</v>
      </c>
      <c r="T1130" s="1">
        <v>0.96530000000000005</v>
      </c>
      <c r="U1130" s="6">
        <v>361.98750000000001</v>
      </c>
    </row>
    <row r="1131" spans="1:21" x14ac:dyDescent="0.35">
      <c r="A1131">
        <v>1130</v>
      </c>
      <c r="B1131" s="5">
        <v>45326</v>
      </c>
      <c r="C1131" s="4">
        <v>2024</v>
      </c>
      <c r="D1131" s="4">
        <v>2</v>
      </c>
      <c r="E1131" s="14">
        <v>45326</v>
      </c>
      <c r="F1131" s="4">
        <v>4</v>
      </c>
      <c r="G1131">
        <v>306</v>
      </c>
      <c r="H1131">
        <v>287</v>
      </c>
      <c r="I1131" s="13">
        <v>0.93</v>
      </c>
      <c r="J1131">
        <v>19</v>
      </c>
      <c r="K1131" s="2">
        <v>2.199074074074074E-4</v>
      </c>
      <c r="L1131" s="11">
        <v>90.883333333333326</v>
      </c>
      <c r="M1131" s="3">
        <v>0.31666666666666665</v>
      </c>
      <c r="N1131" s="4">
        <v>19</v>
      </c>
      <c r="O1131" s="2">
        <v>1.5625000000000001E-3</v>
      </c>
      <c r="P1131" s="9">
        <v>645.75</v>
      </c>
      <c r="Q1131" s="3">
        <v>2.25</v>
      </c>
      <c r="R1131" s="4">
        <v>135</v>
      </c>
      <c r="S1131" s="3">
        <v>219</v>
      </c>
      <c r="T1131" s="1">
        <v>0.76319999999999999</v>
      </c>
      <c r="U1131" s="6">
        <v>219.0384</v>
      </c>
    </row>
    <row r="1132" spans="1:21" x14ac:dyDescent="0.35">
      <c r="A1132">
        <v>1131</v>
      </c>
      <c r="B1132" s="5">
        <v>45327</v>
      </c>
      <c r="C1132" s="4">
        <v>2024</v>
      </c>
      <c r="D1132" s="4">
        <v>2</v>
      </c>
      <c r="E1132" s="14">
        <v>45327</v>
      </c>
      <c r="F1132" s="4">
        <v>5</v>
      </c>
      <c r="G1132">
        <v>241</v>
      </c>
      <c r="H1132">
        <v>235</v>
      </c>
      <c r="I1132" s="13">
        <v>0.97</v>
      </c>
      <c r="J1132">
        <v>6</v>
      </c>
      <c r="K1132" s="2">
        <v>1.7361111111111112E-4</v>
      </c>
      <c r="L1132" s="11">
        <v>58.75</v>
      </c>
      <c r="M1132" s="3">
        <v>0.25</v>
      </c>
      <c r="N1132" s="4">
        <v>15</v>
      </c>
      <c r="O1132" s="2">
        <v>1.8518518518518519E-3</v>
      </c>
      <c r="P1132" s="9">
        <v>626.66666666666663</v>
      </c>
      <c r="Q1132" s="3">
        <v>2.6666666666666665</v>
      </c>
      <c r="R1132" s="4">
        <v>160</v>
      </c>
      <c r="S1132" s="3">
        <v>188</v>
      </c>
      <c r="T1132" s="1">
        <v>0.80330000000000001</v>
      </c>
      <c r="U1132" s="6">
        <v>188.77549999999999</v>
      </c>
    </row>
    <row r="1133" spans="1:21" x14ac:dyDescent="0.35">
      <c r="A1133">
        <v>1132</v>
      </c>
      <c r="B1133" s="5">
        <v>45328</v>
      </c>
      <c r="C1133" s="4">
        <v>2024</v>
      </c>
      <c r="D1133" s="4">
        <v>2</v>
      </c>
      <c r="E1133" s="14">
        <v>45328</v>
      </c>
      <c r="F1133" s="4">
        <v>6</v>
      </c>
      <c r="G1133">
        <v>34</v>
      </c>
      <c r="H1133">
        <v>34</v>
      </c>
      <c r="I1133" s="13">
        <v>1</v>
      </c>
      <c r="J1133">
        <v>0</v>
      </c>
      <c r="K1133" s="2">
        <v>2.0833333333333335E-4</v>
      </c>
      <c r="L1133" s="11">
        <v>10.199999999999999</v>
      </c>
      <c r="M1133" s="3">
        <v>0.3</v>
      </c>
      <c r="N1133" s="4">
        <v>18</v>
      </c>
      <c r="O1133" s="2">
        <v>2.0949074074074073E-3</v>
      </c>
      <c r="P1133" s="9">
        <v>102.56666666666666</v>
      </c>
      <c r="Q1133" s="3">
        <v>3.0166666666666666</v>
      </c>
      <c r="R1133" s="4">
        <v>181</v>
      </c>
      <c r="S1133" s="3">
        <v>28</v>
      </c>
      <c r="T1133" s="1">
        <v>0.85289999999999999</v>
      </c>
      <c r="U1133" s="6">
        <v>28.9986</v>
      </c>
    </row>
    <row r="1134" spans="1:21" x14ac:dyDescent="0.35">
      <c r="A1134">
        <v>1133</v>
      </c>
      <c r="B1134" s="5">
        <v>45329</v>
      </c>
      <c r="C1134" s="4">
        <v>2024</v>
      </c>
      <c r="D1134" s="4">
        <v>2</v>
      </c>
      <c r="E1134" s="14">
        <v>45329</v>
      </c>
      <c r="F1134" s="4">
        <v>7</v>
      </c>
      <c r="G1134">
        <v>248</v>
      </c>
      <c r="H1134">
        <v>238</v>
      </c>
      <c r="I1134" s="13">
        <v>0.95</v>
      </c>
      <c r="J1134">
        <v>10</v>
      </c>
      <c r="K1134" s="2">
        <v>2.199074074074074E-4</v>
      </c>
      <c r="L1134" s="11">
        <v>75.36666666666666</v>
      </c>
      <c r="M1134" s="3">
        <v>0.31666666666666665</v>
      </c>
      <c r="N1134" s="4">
        <v>19</v>
      </c>
      <c r="O1134" s="2">
        <v>1.8865740740740742E-3</v>
      </c>
      <c r="P1134" s="9">
        <v>646.56666666666672</v>
      </c>
      <c r="Q1134" s="3">
        <v>2.7166666666666668</v>
      </c>
      <c r="R1134" s="4">
        <v>163</v>
      </c>
      <c r="S1134" s="3">
        <v>176</v>
      </c>
      <c r="T1134" s="1">
        <v>0.7409</v>
      </c>
      <c r="U1134" s="6">
        <v>176.33420000000001</v>
      </c>
    </row>
    <row r="1135" spans="1:21" x14ac:dyDescent="0.35">
      <c r="A1135">
        <v>1134</v>
      </c>
      <c r="B1135" s="5">
        <v>45330</v>
      </c>
      <c r="C1135" s="4">
        <v>2024</v>
      </c>
      <c r="D1135" s="4">
        <v>2</v>
      </c>
      <c r="E1135" s="14">
        <v>45330</v>
      </c>
      <c r="F1135" s="4">
        <v>8</v>
      </c>
      <c r="G1135">
        <v>323</v>
      </c>
      <c r="H1135">
        <v>307</v>
      </c>
      <c r="I1135" s="13">
        <v>0.95</v>
      </c>
      <c r="J1135">
        <v>16</v>
      </c>
      <c r="K1135" s="2">
        <v>1.5046296296296297E-4</v>
      </c>
      <c r="L1135" s="11">
        <v>66.516666666666666</v>
      </c>
      <c r="M1135" s="3">
        <v>0.21666666666666667</v>
      </c>
      <c r="N1135" s="4">
        <v>13</v>
      </c>
      <c r="O1135" s="2">
        <v>1.8749999999999999E-3</v>
      </c>
      <c r="P1135" s="9">
        <v>828.90000000000009</v>
      </c>
      <c r="Q1135" s="3">
        <v>2.7</v>
      </c>
      <c r="R1135" s="4">
        <v>162</v>
      </c>
      <c r="S1135" s="3">
        <v>253</v>
      </c>
      <c r="T1135" s="1">
        <v>0.82699999999999996</v>
      </c>
      <c r="U1135" s="6">
        <v>253.88899999999998</v>
      </c>
    </row>
    <row r="1136" spans="1:21" x14ac:dyDescent="0.35">
      <c r="A1136">
        <v>1135</v>
      </c>
      <c r="B1136" s="5">
        <v>45331</v>
      </c>
      <c r="C1136" s="4">
        <v>2024</v>
      </c>
      <c r="D1136" s="4">
        <v>2</v>
      </c>
      <c r="E1136" s="14">
        <v>45331</v>
      </c>
      <c r="F1136" s="4">
        <v>9</v>
      </c>
      <c r="G1136">
        <v>260</v>
      </c>
      <c r="H1136">
        <v>257</v>
      </c>
      <c r="I1136" s="13">
        <v>0.98</v>
      </c>
      <c r="J1136">
        <v>3</v>
      </c>
      <c r="K1136" s="2">
        <v>1.1574074074074075E-4</v>
      </c>
      <c r="L1136" s="11">
        <v>42.833333333333329</v>
      </c>
      <c r="M1136" s="3">
        <v>0.16666666666666666</v>
      </c>
      <c r="N1136" s="4">
        <v>10</v>
      </c>
      <c r="O1136" s="2">
        <v>1.724537037037037E-3</v>
      </c>
      <c r="P1136" s="9">
        <v>638.2166666666667</v>
      </c>
      <c r="Q1136" s="3">
        <v>2.4833333333333334</v>
      </c>
      <c r="R1136" s="4">
        <v>149</v>
      </c>
      <c r="S1136" s="3">
        <v>234</v>
      </c>
      <c r="T1136" s="1">
        <v>0.91120000000000001</v>
      </c>
      <c r="U1136" s="6">
        <v>234.17840000000001</v>
      </c>
    </row>
    <row r="1137" spans="1:21" x14ac:dyDescent="0.35">
      <c r="A1137">
        <v>1136</v>
      </c>
      <c r="B1137" s="5">
        <v>45332</v>
      </c>
      <c r="C1137" s="4">
        <v>2024</v>
      </c>
      <c r="D1137" s="4">
        <v>2</v>
      </c>
      <c r="E1137" s="14">
        <v>45332</v>
      </c>
      <c r="F1137" s="4">
        <v>10</v>
      </c>
      <c r="G1137">
        <v>316</v>
      </c>
      <c r="H1137">
        <v>311</v>
      </c>
      <c r="I1137" s="13">
        <v>0.98</v>
      </c>
      <c r="J1137">
        <v>5</v>
      </c>
      <c r="K1137" s="2">
        <v>1.1574074074074075E-4</v>
      </c>
      <c r="L1137" s="11">
        <v>51.833333333333329</v>
      </c>
      <c r="M1137" s="3">
        <v>0.16666666666666666</v>
      </c>
      <c r="N1137" s="4">
        <v>10</v>
      </c>
      <c r="O1137" s="2">
        <v>1.8634259259259259E-3</v>
      </c>
      <c r="P1137" s="9">
        <v>834.51666666666677</v>
      </c>
      <c r="Q1137" s="3">
        <v>2.6833333333333336</v>
      </c>
      <c r="R1137" s="4">
        <v>161</v>
      </c>
      <c r="S1137" s="3">
        <v>272</v>
      </c>
      <c r="T1137" s="1">
        <v>0.87539999999999996</v>
      </c>
      <c r="U1137" s="6">
        <v>272.24939999999998</v>
      </c>
    </row>
    <row r="1138" spans="1:21" x14ac:dyDescent="0.35">
      <c r="A1138">
        <v>1137</v>
      </c>
      <c r="B1138" s="5">
        <v>45333</v>
      </c>
      <c r="C1138" s="4">
        <v>2024</v>
      </c>
      <c r="D1138" s="4">
        <v>2</v>
      </c>
      <c r="E1138" s="14">
        <v>45333</v>
      </c>
      <c r="F1138" s="4">
        <v>11</v>
      </c>
      <c r="G1138">
        <v>60</v>
      </c>
      <c r="H1138">
        <v>59</v>
      </c>
      <c r="I1138" s="13">
        <v>0.98</v>
      </c>
      <c r="J1138">
        <v>1</v>
      </c>
      <c r="K1138" s="2">
        <v>3.4722222222222222E-5</v>
      </c>
      <c r="L1138" s="11">
        <v>2.95</v>
      </c>
      <c r="M1138" s="3">
        <v>0.05</v>
      </c>
      <c r="N1138" s="4">
        <v>3</v>
      </c>
      <c r="O1138" s="2">
        <v>1.8634259259259259E-3</v>
      </c>
      <c r="P1138" s="9">
        <v>158.31666666666669</v>
      </c>
      <c r="Q1138" s="3">
        <v>2.6833333333333336</v>
      </c>
      <c r="R1138" s="4">
        <v>161</v>
      </c>
      <c r="S1138" s="3">
        <v>58</v>
      </c>
      <c r="T1138" s="1">
        <v>0.98329999999999995</v>
      </c>
      <c r="U1138" s="6">
        <v>58.014699999999998</v>
      </c>
    </row>
    <row r="1139" spans="1:21" x14ac:dyDescent="0.35">
      <c r="A1139">
        <v>1138</v>
      </c>
      <c r="B1139" s="5">
        <v>45334</v>
      </c>
      <c r="C1139" s="4">
        <v>2024</v>
      </c>
      <c r="D1139" s="4">
        <v>2</v>
      </c>
      <c r="E1139" s="14">
        <v>45334</v>
      </c>
      <c r="F1139" s="4">
        <v>12</v>
      </c>
      <c r="G1139">
        <v>267</v>
      </c>
      <c r="H1139">
        <v>251</v>
      </c>
      <c r="I1139" s="13">
        <v>0.94</v>
      </c>
      <c r="J1139">
        <v>16</v>
      </c>
      <c r="K1139" s="2">
        <v>2.199074074074074E-4</v>
      </c>
      <c r="L1139" s="11">
        <v>79.483333333333334</v>
      </c>
      <c r="M1139" s="3">
        <v>0.31666666666666665</v>
      </c>
      <c r="N1139" s="4">
        <v>19</v>
      </c>
      <c r="O1139" s="2">
        <v>1.7013888888888888E-3</v>
      </c>
      <c r="P1139" s="9">
        <v>614.95000000000005</v>
      </c>
      <c r="Q1139" s="3">
        <v>2.4500000000000002</v>
      </c>
      <c r="R1139" s="4">
        <v>147</v>
      </c>
      <c r="S1139" s="3">
        <v>189</v>
      </c>
      <c r="T1139" s="1">
        <v>0.75560000000000005</v>
      </c>
      <c r="U1139" s="6">
        <v>189.65560000000002</v>
      </c>
    </row>
    <row r="1140" spans="1:21" x14ac:dyDescent="0.35">
      <c r="A1140">
        <v>1139</v>
      </c>
      <c r="B1140" s="5">
        <v>45335</v>
      </c>
      <c r="C1140" s="4">
        <v>2024</v>
      </c>
      <c r="D1140" s="4">
        <v>2</v>
      </c>
      <c r="E1140" s="14">
        <v>45335</v>
      </c>
      <c r="F1140" s="4">
        <v>13</v>
      </c>
      <c r="G1140">
        <v>30</v>
      </c>
      <c r="H1140">
        <v>29</v>
      </c>
      <c r="I1140" s="13">
        <v>0.96</v>
      </c>
      <c r="J1140">
        <v>1</v>
      </c>
      <c r="K1140" s="2">
        <v>9.2592592592592588E-5</v>
      </c>
      <c r="L1140" s="11">
        <v>3.8666666666666667</v>
      </c>
      <c r="M1140" s="3">
        <v>0.13333333333333333</v>
      </c>
      <c r="N1140" s="4">
        <v>8</v>
      </c>
      <c r="O1140" s="2">
        <v>1.3888888888888889E-3</v>
      </c>
      <c r="P1140" s="9">
        <v>58</v>
      </c>
      <c r="Q1140" s="3">
        <v>2</v>
      </c>
      <c r="R1140" s="4">
        <v>120</v>
      </c>
      <c r="S1140" s="3">
        <v>26</v>
      </c>
      <c r="T1140" s="1">
        <v>0.93100000000000005</v>
      </c>
      <c r="U1140" s="6">
        <v>26.999000000000002</v>
      </c>
    </row>
    <row r="1141" spans="1:21" x14ac:dyDescent="0.35">
      <c r="A1141">
        <v>1140</v>
      </c>
      <c r="B1141" s="5">
        <v>45336</v>
      </c>
      <c r="C1141" s="4">
        <v>2024</v>
      </c>
      <c r="D1141" s="4">
        <v>2</v>
      </c>
      <c r="E1141" s="14">
        <v>45336</v>
      </c>
      <c r="F1141" s="4">
        <v>14</v>
      </c>
      <c r="G1141">
        <v>247</v>
      </c>
      <c r="H1141">
        <v>238</v>
      </c>
      <c r="I1141" s="13">
        <v>0.96</v>
      </c>
      <c r="J1141">
        <v>9</v>
      </c>
      <c r="K1141" s="2">
        <v>1.5046296296296297E-4</v>
      </c>
      <c r="L1141" s="11">
        <v>51.56666666666667</v>
      </c>
      <c r="M1141" s="3">
        <v>0.21666666666666667</v>
      </c>
      <c r="N1141" s="4">
        <v>13</v>
      </c>
      <c r="O1141" s="2">
        <v>1.7939814814814815E-3</v>
      </c>
      <c r="P1141" s="9">
        <v>614.83333333333337</v>
      </c>
      <c r="Q1141" s="3">
        <v>2.5833333333333335</v>
      </c>
      <c r="R1141" s="4">
        <v>155</v>
      </c>
      <c r="S1141" s="3">
        <v>198</v>
      </c>
      <c r="T1141" s="1">
        <v>0.83330000000000004</v>
      </c>
      <c r="U1141" s="6">
        <v>198.3254</v>
      </c>
    </row>
    <row r="1142" spans="1:21" x14ac:dyDescent="0.35">
      <c r="A1142">
        <v>1141</v>
      </c>
      <c r="B1142" s="5">
        <v>45337</v>
      </c>
      <c r="C1142" s="4">
        <v>2024</v>
      </c>
      <c r="D1142" s="4">
        <v>2</v>
      </c>
      <c r="E1142" s="14">
        <v>45337</v>
      </c>
      <c r="F1142" s="4">
        <v>15</v>
      </c>
      <c r="G1142">
        <v>376</v>
      </c>
      <c r="H1142">
        <v>365</v>
      </c>
      <c r="I1142" s="13">
        <v>0.97</v>
      </c>
      <c r="J1142">
        <v>11</v>
      </c>
      <c r="K1142" s="2">
        <v>1.7361111111111112E-4</v>
      </c>
      <c r="L1142" s="11">
        <v>91.25</v>
      </c>
      <c r="M1142" s="3">
        <v>0.25</v>
      </c>
      <c r="N1142" s="4">
        <v>15</v>
      </c>
      <c r="O1142" s="2">
        <v>2.0833333333333333E-3</v>
      </c>
      <c r="P1142" s="9">
        <v>1095</v>
      </c>
      <c r="Q1142" s="3">
        <v>3</v>
      </c>
      <c r="R1142" s="4">
        <v>180</v>
      </c>
      <c r="S1142" s="3">
        <v>298</v>
      </c>
      <c r="T1142" s="1">
        <v>0.81769999999999998</v>
      </c>
      <c r="U1142" s="6">
        <v>298.46049999999997</v>
      </c>
    </row>
    <row r="1143" spans="1:21" x14ac:dyDescent="0.35">
      <c r="A1143">
        <v>1142</v>
      </c>
      <c r="B1143" s="5">
        <v>45338</v>
      </c>
      <c r="C1143" s="4">
        <v>2024</v>
      </c>
      <c r="D1143" s="4">
        <v>2</v>
      </c>
      <c r="E1143" s="14">
        <v>45338</v>
      </c>
      <c r="F1143" s="4">
        <v>16</v>
      </c>
      <c r="G1143">
        <v>316</v>
      </c>
      <c r="H1143">
        <v>306</v>
      </c>
      <c r="I1143" s="13">
        <v>0.96</v>
      </c>
      <c r="J1143">
        <v>10</v>
      </c>
      <c r="K1143" s="2">
        <v>1.5046296296296297E-4</v>
      </c>
      <c r="L1143" s="11">
        <v>66.3</v>
      </c>
      <c r="M1143" s="3">
        <v>0.21666666666666667</v>
      </c>
      <c r="N1143" s="4">
        <v>13</v>
      </c>
      <c r="O1143" s="2">
        <v>2.0254629629629629E-3</v>
      </c>
      <c r="P1143" s="9">
        <v>892.5</v>
      </c>
      <c r="Q1143" s="3">
        <v>2.9166666666666665</v>
      </c>
      <c r="R1143" s="4">
        <v>175</v>
      </c>
      <c r="S1143" s="3">
        <v>253</v>
      </c>
      <c r="T1143" s="1">
        <v>0.82799999999999996</v>
      </c>
      <c r="U1143" s="6">
        <v>253.36799999999999</v>
      </c>
    </row>
    <row r="1144" spans="1:21" x14ac:dyDescent="0.35">
      <c r="A1144">
        <v>1143</v>
      </c>
      <c r="B1144" s="5">
        <v>45339</v>
      </c>
      <c r="C1144" s="4">
        <v>2024</v>
      </c>
      <c r="D1144" s="4">
        <v>2</v>
      </c>
      <c r="E1144" s="14">
        <v>45339</v>
      </c>
      <c r="F1144" s="4">
        <v>17</v>
      </c>
      <c r="G1144">
        <v>310</v>
      </c>
      <c r="H1144">
        <v>304</v>
      </c>
      <c r="I1144" s="13">
        <v>0.98</v>
      </c>
      <c r="J1144">
        <v>6</v>
      </c>
      <c r="K1144" s="2">
        <v>8.1018518518518516E-5</v>
      </c>
      <c r="L1144" s="11">
        <v>35.466666666666669</v>
      </c>
      <c r="M1144" s="3">
        <v>0.11666666666666667</v>
      </c>
      <c r="N1144" s="4">
        <v>7</v>
      </c>
      <c r="O1144" s="2">
        <v>1.9791666666666668E-3</v>
      </c>
      <c r="P1144" s="9">
        <v>866.4</v>
      </c>
      <c r="Q1144" s="3">
        <v>2.85</v>
      </c>
      <c r="R1144" s="4">
        <v>171</v>
      </c>
      <c r="S1144" s="3">
        <v>280</v>
      </c>
      <c r="T1144" s="1">
        <v>0.92159999999999997</v>
      </c>
      <c r="U1144" s="6">
        <v>280.16640000000001</v>
      </c>
    </row>
    <row r="1145" spans="1:21" x14ac:dyDescent="0.35">
      <c r="A1145">
        <v>1144</v>
      </c>
      <c r="B1145" s="5">
        <v>45340</v>
      </c>
      <c r="C1145" s="4">
        <v>2024</v>
      </c>
      <c r="D1145" s="4">
        <v>2</v>
      </c>
      <c r="E1145" s="14">
        <v>45340</v>
      </c>
      <c r="F1145" s="4">
        <v>18</v>
      </c>
      <c r="G1145">
        <v>340</v>
      </c>
      <c r="H1145">
        <v>327</v>
      </c>
      <c r="I1145" s="13">
        <v>0.96</v>
      </c>
      <c r="J1145">
        <v>13</v>
      </c>
      <c r="K1145" s="2">
        <v>2.6620370370370372E-4</v>
      </c>
      <c r="L1145" s="11">
        <v>125.35000000000001</v>
      </c>
      <c r="M1145" s="3">
        <v>0.38333333333333336</v>
      </c>
      <c r="N1145" s="4">
        <v>23</v>
      </c>
      <c r="O1145" s="2">
        <v>2.0254629629629629E-3</v>
      </c>
      <c r="P1145" s="9">
        <v>953.75</v>
      </c>
      <c r="Q1145" s="3">
        <v>2.9166666666666665</v>
      </c>
      <c r="R1145" s="4">
        <v>175</v>
      </c>
      <c r="S1145" s="3">
        <v>233</v>
      </c>
      <c r="T1145" s="1">
        <v>0.71340000000000003</v>
      </c>
      <c r="U1145" s="6">
        <v>233.2818</v>
      </c>
    </row>
    <row r="1146" spans="1:21" x14ac:dyDescent="0.35">
      <c r="A1146">
        <v>1145</v>
      </c>
      <c r="B1146" s="5">
        <v>45341</v>
      </c>
      <c r="C1146" s="4">
        <v>2024</v>
      </c>
      <c r="D1146" s="4">
        <v>2</v>
      </c>
      <c r="E1146" s="14">
        <v>45341</v>
      </c>
      <c r="F1146" s="4">
        <v>19</v>
      </c>
      <c r="G1146">
        <v>306</v>
      </c>
      <c r="H1146">
        <v>289</v>
      </c>
      <c r="I1146" s="13">
        <v>0.94</v>
      </c>
      <c r="J1146">
        <v>17</v>
      </c>
      <c r="K1146" s="2">
        <v>2.7777777777777778E-4</v>
      </c>
      <c r="L1146" s="11">
        <v>115.60000000000001</v>
      </c>
      <c r="M1146" s="3">
        <v>0.4</v>
      </c>
      <c r="N1146" s="4">
        <v>24</v>
      </c>
      <c r="O1146" s="2">
        <v>1.8865740740740742E-3</v>
      </c>
      <c r="P1146" s="9">
        <v>785.11666666666667</v>
      </c>
      <c r="Q1146" s="3">
        <v>2.7166666666666668</v>
      </c>
      <c r="R1146" s="4">
        <v>163</v>
      </c>
      <c r="S1146" s="3">
        <v>201</v>
      </c>
      <c r="T1146" s="1">
        <v>0.69740000000000002</v>
      </c>
      <c r="U1146" s="6">
        <v>201.54859999999999</v>
      </c>
    </row>
    <row r="1147" spans="1:21" x14ac:dyDescent="0.35">
      <c r="A1147">
        <v>1146</v>
      </c>
      <c r="B1147" s="5">
        <v>45342</v>
      </c>
      <c r="C1147" s="4">
        <v>2024</v>
      </c>
      <c r="D1147" s="4">
        <v>2</v>
      </c>
      <c r="E1147" s="14">
        <v>45342</v>
      </c>
      <c r="F1147" s="4">
        <v>20</v>
      </c>
      <c r="G1147">
        <v>40</v>
      </c>
      <c r="H1147">
        <v>40</v>
      </c>
      <c r="I1147" s="13">
        <v>1</v>
      </c>
      <c r="J1147">
        <v>0</v>
      </c>
      <c r="K1147" s="2">
        <v>5.7870370370370373E-5</v>
      </c>
      <c r="L1147" s="11">
        <v>3.333333333333333</v>
      </c>
      <c r="M1147" s="3">
        <v>8.3333333333333329E-2</v>
      </c>
      <c r="N1147" s="4">
        <v>5</v>
      </c>
      <c r="O1147" s="2">
        <v>1.9212962962962964E-3</v>
      </c>
      <c r="P1147" s="9">
        <v>110.66666666666666</v>
      </c>
      <c r="Q1147" s="3">
        <v>2.7666666666666666</v>
      </c>
      <c r="R1147" s="4">
        <v>166</v>
      </c>
      <c r="S1147" s="3">
        <v>39</v>
      </c>
      <c r="T1147" s="1">
        <v>0.97499999999999998</v>
      </c>
      <c r="U1147" s="6">
        <v>39</v>
      </c>
    </row>
    <row r="1148" spans="1:21" x14ac:dyDescent="0.35">
      <c r="A1148">
        <v>1147</v>
      </c>
      <c r="B1148" s="5">
        <v>45343</v>
      </c>
      <c r="C1148" s="4">
        <v>2024</v>
      </c>
      <c r="D1148" s="4">
        <v>2</v>
      </c>
      <c r="E1148" s="14">
        <v>45343</v>
      </c>
      <c r="F1148" s="4">
        <v>21</v>
      </c>
      <c r="G1148">
        <v>378</v>
      </c>
      <c r="H1148">
        <v>370</v>
      </c>
      <c r="I1148" s="13">
        <v>0.97</v>
      </c>
      <c r="J1148">
        <v>8</v>
      </c>
      <c r="K1148" s="2">
        <v>1.273148148148148E-4</v>
      </c>
      <c r="L1148" s="11">
        <v>67.833333333333329</v>
      </c>
      <c r="M1148" s="3">
        <v>0.18333333333333332</v>
      </c>
      <c r="N1148" s="4">
        <v>11</v>
      </c>
      <c r="O1148" s="2">
        <v>1.9907407407407408E-3</v>
      </c>
      <c r="P1148" s="9">
        <v>1060.6666666666667</v>
      </c>
      <c r="Q1148" s="3">
        <v>2.8666666666666667</v>
      </c>
      <c r="R1148" s="4">
        <v>172</v>
      </c>
      <c r="S1148" s="3">
        <v>320</v>
      </c>
      <c r="T1148" s="1">
        <v>0.86699999999999999</v>
      </c>
      <c r="U1148" s="6">
        <v>320.79000000000002</v>
      </c>
    </row>
    <row r="1149" spans="1:21" x14ac:dyDescent="0.35">
      <c r="A1149">
        <v>1148</v>
      </c>
      <c r="B1149" s="5">
        <v>45344</v>
      </c>
      <c r="C1149" s="4">
        <v>2024</v>
      </c>
      <c r="D1149" s="4">
        <v>2</v>
      </c>
      <c r="E1149" s="14">
        <v>45344</v>
      </c>
      <c r="F1149" s="4">
        <v>22</v>
      </c>
      <c r="G1149">
        <v>424</v>
      </c>
      <c r="H1149">
        <v>416</v>
      </c>
      <c r="I1149" s="13">
        <v>0.98</v>
      </c>
      <c r="J1149">
        <v>8</v>
      </c>
      <c r="K1149" s="2">
        <v>1.6203703703703703E-4</v>
      </c>
      <c r="L1149" s="11">
        <v>97.066666666666663</v>
      </c>
      <c r="M1149" s="3">
        <v>0.23333333333333334</v>
      </c>
      <c r="N1149" s="4">
        <v>14</v>
      </c>
      <c r="O1149" s="2">
        <v>2.0138888888888888E-3</v>
      </c>
      <c r="P1149" s="9">
        <v>1206.3999999999999</v>
      </c>
      <c r="Q1149" s="3">
        <v>2.9</v>
      </c>
      <c r="R1149" s="4">
        <v>174</v>
      </c>
      <c r="S1149" s="3">
        <v>348</v>
      </c>
      <c r="T1149" s="1">
        <v>0.83889999999999998</v>
      </c>
      <c r="U1149" s="6">
        <v>348.98239999999998</v>
      </c>
    </row>
    <row r="1150" spans="1:21" x14ac:dyDescent="0.35">
      <c r="A1150">
        <v>1149</v>
      </c>
      <c r="B1150" s="5">
        <v>45345</v>
      </c>
      <c r="C1150" s="4">
        <v>2024</v>
      </c>
      <c r="D1150" s="4">
        <v>2</v>
      </c>
      <c r="E1150" s="14">
        <v>45345</v>
      </c>
      <c r="F1150" s="4">
        <v>23</v>
      </c>
      <c r="G1150">
        <v>356</v>
      </c>
      <c r="H1150">
        <v>353</v>
      </c>
      <c r="I1150" s="13">
        <v>0.99</v>
      </c>
      <c r="J1150">
        <v>3</v>
      </c>
      <c r="K1150" s="2">
        <v>5.7870370370370373E-5</v>
      </c>
      <c r="L1150" s="11">
        <v>29.416666666666664</v>
      </c>
      <c r="M1150" s="3">
        <v>8.3333333333333329E-2</v>
      </c>
      <c r="N1150" s="4">
        <v>5</v>
      </c>
      <c r="O1150" s="2">
        <v>1.9444444444444444E-3</v>
      </c>
      <c r="P1150" s="9">
        <v>988.4</v>
      </c>
      <c r="Q1150" s="3">
        <v>2.8</v>
      </c>
      <c r="R1150" s="4">
        <v>168</v>
      </c>
      <c r="S1150" s="3">
        <v>343</v>
      </c>
      <c r="T1150" s="1">
        <v>0.97170000000000001</v>
      </c>
      <c r="U1150" s="6">
        <v>343.01010000000002</v>
      </c>
    </row>
    <row r="1151" spans="1:21" x14ac:dyDescent="0.35">
      <c r="A1151">
        <v>1150</v>
      </c>
      <c r="B1151" s="5">
        <v>45346</v>
      </c>
      <c r="C1151" s="4">
        <v>2024</v>
      </c>
      <c r="D1151" s="4">
        <v>2</v>
      </c>
      <c r="E1151" s="14">
        <v>45346</v>
      </c>
      <c r="F1151" s="4">
        <v>24</v>
      </c>
      <c r="G1151">
        <v>320</v>
      </c>
      <c r="H1151">
        <v>308</v>
      </c>
      <c r="I1151" s="13">
        <v>0.96</v>
      </c>
      <c r="J1151">
        <v>12</v>
      </c>
      <c r="K1151" s="2">
        <v>1.1574074074074075E-4</v>
      </c>
      <c r="L1151" s="11">
        <v>51.333333333333329</v>
      </c>
      <c r="M1151" s="3">
        <v>0.16666666666666666</v>
      </c>
      <c r="N1151" s="4">
        <v>10</v>
      </c>
      <c r="O1151" s="2">
        <v>1.7708333333333332E-3</v>
      </c>
      <c r="P1151" s="9">
        <v>785.4</v>
      </c>
      <c r="Q1151" s="3">
        <v>2.5499999999999998</v>
      </c>
      <c r="R1151" s="4">
        <v>153</v>
      </c>
      <c r="S1151" s="3">
        <v>274</v>
      </c>
      <c r="T1151" s="1">
        <v>0.88990000000000002</v>
      </c>
      <c r="U1151" s="6">
        <v>274.08920000000001</v>
      </c>
    </row>
    <row r="1152" spans="1:21" x14ac:dyDescent="0.35">
      <c r="A1152">
        <v>1151</v>
      </c>
      <c r="B1152" s="5">
        <v>45347</v>
      </c>
      <c r="C1152" s="4">
        <v>2024</v>
      </c>
      <c r="D1152" s="4">
        <v>2</v>
      </c>
      <c r="E1152" s="14">
        <v>45347</v>
      </c>
      <c r="F1152" s="4">
        <v>25</v>
      </c>
      <c r="G1152">
        <v>351</v>
      </c>
      <c r="H1152">
        <v>341</v>
      </c>
      <c r="I1152" s="13">
        <v>0.97</v>
      </c>
      <c r="J1152">
        <v>10</v>
      </c>
      <c r="K1152" s="2">
        <v>1.273148148148148E-4</v>
      </c>
      <c r="L1152" s="11">
        <v>62.516666666666666</v>
      </c>
      <c r="M1152" s="3">
        <v>0.18333333333333332</v>
      </c>
      <c r="N1152" s="4">
        <v>11</v>
      </c>
      <c r="O1152" s="2">
        <v>1.9675925925925924E-3</v>
      </c>
      <c r="P1152" s="9">
        <v>966.16666666666674</v>
      </c>
      <c r="Q1152" s="3">
        <v>2.8333333333333335</v>
      </c>
      <c r="R1152" s="4">
        <v>170</v>
      </c>
      <c r="S1152" s="3">
        <v>294</v>
      </c>
      <c r="T1152" s="1">
        <v>0.86250000000000004</v>
      </c>
      <c r="U1152" s="6">
        <v>294.11250000000001</v>
      </c>
    </row>
    <row r="1153" spans="1:21" x14ac:dyDescent="0.35">
      <c r="A1153">
        <v>1152</v>
      </c>
      <c r="B1153" s="5">
        <v>45348</v>
      </c>
      <c r="C1153" s="4">
        <v>2024</v>
      </c>
      <c r="D1153" s="4">
        <v>2</v>
      </c>
      <c r="E1153" s="14">
        <v>45348</v>
      </c>
      <c r="F1153" s="4">
        <v>26</v>
      </c>
      <c r="G1153">
        <v>85</v>
      </c>
      <c r="H1153">
        <v>83</v>
      </c>
      <c r="I1153" s="13">
        <v>0.97</v>
      </c>
      <c r="J1153">
        <v>2</v>
      </c>
      <c r="K1153" s="2">
        <v>1.5046296296296297E-4</v>
      </c>
      <c r="L1153" s="11">
        <v>17.983333333333334</v>
      </c>
      <c r="M1153" s="3">
        <v>0.21666666666666667</v>
      </c>
      <c r="N1153" s="4">
        <v>13</v>
      </c>
      <c r="O1153" s="2">
        <v>1.9328703703703704E-3</v>
      </c>
      <c r="P1153" s="9">
        <v>231.01666666666665</v>
      </c>
      <c r="Q1153" s="3">
        <v>2.7833333333333332</v>
      </c>
      <c r="R1153" s="4">
        <v>167</v>
      </c>
      <c r="S1153" s="3">
        <v>71</v>
      </c>
      <c r="T1153" s="1">
        <v>0.85880000000000001</v>
      </c>
      <c r="U1153" s="6">
        <v>71.2804</v>
      </c>
    </row>
    <row r="1154" spans="1:21" x14ac:dyDescent="0.35">
      <c r="A1154">
        <v>1153</v>
      </c>
      <c r="B1154" s="5">
        <v>45349</v>
      </c>
      <c r="C1154" s="4">
        <v>2024</v>
      </c>
      <c r="D1154" s="4">
        <v>2</v>
      </c>
      <c r="E1154" s="14">
        <v>45349</v>
      </c>
      <c r="F1154" s="4">
        <v>27</v>
      </c>
      <c r="G1154">
        <v>44</v>
      </c>
      <c r="H1154">
        <v>43</v>
      </c>
      <c r="I1154" s="13">
        <v>0.97</v>
      </c>
      <c r="J1154">
        <v>1</v>
      </c>
      <c r="K1154" s="2">
        <v>1.0416666666666667E-4</v>
      </c>
      <c r="L1154" s="11">
        <v>6.45</v>
      </c>
      <c r="M1154" s="3">
        <v>0.15</v>
      </c>
      <c r="N1154" s="4">
        <v>9</v>
      </c>
      <c r="O1154" s="2">
        <v>1.7708333333333332E-3</v>
      </c>
      <c r="P1154" s="9">
        <v>109.64999999999999</v>
      </c>
      <c r="Q1154" s="3">
        <v>2.5499999999999998</v>
      </c>
      <c r="R1154" s="4">
        <v>153</v>
      </c>
      <c r="S1154" s="3">
        <v>36</v>
      </c>
      <c r="T1154" s="1">
        <v>0.84089999999999998</v>
      </c>
      <c r="U1154" s="6">
        <v>36.158699999999996</v>
      </c>
    </row>
    <row r="1155" spans="1:21" x14ac:dyDescent="0.35">
      <c r="A1155">
        <v>1154</v>
      </c>
      <c r="B1155" s="5">
        <v>45350</v>
      </c>
      <c r="C1155" s="4">
        <v>2024</v>
      </c>
      <c r="D1155" s="4">
        <v>2</v>
      </c>
      <c r="E1155" s="14">
        <v>45350</v>
      </c>
      <c r="F1155" s="4">
        <v>28</v>
      </c>
      <c r="G1155">
        <v>388</v>
      </c>
      <c r="H1155">
        <v>363</v>
      </c>
      <c r="I1155" s="13">
        <v>0.93</v>
      </c>
      <c r="J1155">
        <v>25</v>
      </c>
      <c r="K1155" s="2">
        <v>2.199074074074074E-4</v>
      </c>
      <c r="L1155" s="11">
        <v>114.94999999999999</v>
      </c>
      <c r="M1155" s="3">
        <v>0.31666666666666665</v>
      </c>
      <c r="N1155" s="4">
        <v>19</v>
      </c>
      <c r="O1155" s="2">
        <v>2.1527777777777778E-3</v>
      </c>
      <c r="P1155" s="9">
        <v>1125.3</v>
      </c>
      <c r="Q1155" s="3">
        <v>3.1</v>
      </c>
      <c r="R1155" s="4">
        <v>186</v>
      </c>
      <c r="S1155" s="3">
        <v>272</v>
      </c>
      <c r="T1155" s="1">
        <v>0.752</v>
      </c>
      <c r="U1155" s="6">
        <v>272.976</v>
      </c>
    </row>
    <row r="1156" spans="1:21" x14ac:dyDescent="0.35">
      <c r="A1156">
        <v>1155</v>
      </c>
      <c r="B1156" s="5">
        <v>45351</v>
      </c>
      <c r="C1156" s="4">
        <v>2024</v>
      </c>
      <c r="D1156" s="4">
        <v>2</v>
      </c>
      <c r="E1156" s="14">
        <v>45351</v>
      </c>
      <c r="F1156" s="4">
        <v>29</v>
      </c>
      <c r="G1156">
        <v>283</v>
      </c>
      <c r="H1156">
        <v>280</v>
      </c>
      <c r="I1156" s="13">
        <v>0.98</v>
      </c>
      <c r="J1156">
        <v>3</v>
      </c>
      <c r="K1156" s="2">
        <v>6.9444444444444444E-5</v>
      </c>
      <c r="L1156" s="11">
        <v>28</v>
      </c>
      <c r="M1156" s="3">
        <v>0.1</v>
      </c>
      <c r="N1156" s="4">
        <v>6</v>
      </c>
      <c r="O1156" s="2">
        <v>2.1412037037037038E-3</v>
      </c>
      <c r="P1156" s="9">
        <v>863.33333333333337</v>
      </c>
      <c r="Q1156" s="3">
        <v>3.0833333333333335</v>
      </c>
      <c r="R1156" s="4">
        <v>185</v>
      </c>
      <c r="S1156" s="3">
        <v>268</v>
      </c>
      <c r="T1156" s="1">
        <v>0.95730000000000004</v>
      </c>
      <c r="U1156" s="6">
        <v>268.04399999999998</v>
      </c>
    </row>
    <row r="1157" spans="1:21" x14ac:dyDescent="0.35">
      <c r="A1157">
        <v>1156</v>
      </c>
      <c r="B1157" s="5">
        <v>45352</v>
      </c>
      <c r="C1157" s="4">
        <v>2024</v>
      </c>
      <c r="D1157" s="4">
        <v>3</v>
      </c>
      <c r="E1157" s="14">
        <v>45352</v>
      </c>
      <c r="F1157" s="4">
        <v>1</v>
      </c>
      <c r="G1157">
        <v>241</v>
      </c>
      <c r="H1157">
        <v>238</v>
      </c>
      <c r="I1157" s="13">
        <v>0.98</v>
      </c>
      <c r="J1157">
        <v>3</v>
      </c>
      <c r="K1157" s="2">
        <v>5.7870370370370373E-5</v>
      </c>
      <c r="L1157" s="11">
        <v>19.833333333333332</v>
      </c>
      <c r="M1157" s="3">
        <v>8.3333333333333329E-2</v>
      </c>
      <c r="N1157" s="4">
        <v>5</v>
      </c>
      <c r="O1157" s="2">
        <v>2.0254629629629629E-3</v>
      </c>
      <c r="P1157" s="9">
        <v>694.16666666666663</v>
      </c>
      <c r="Q1157" s="3">
        <v>2.9166666666666665</v>
      </c>
      <c r="R1157" s="4">
        <v>175</v>
      </c>
      <c r="S1157" s="3">
        <v>230</v>
      </c>
      <c r="T1157" s="1">
        <v>0.9667</v>
      </c>
      <c r="U1157" s="6">
        <v>230.0746</v>
      </c>
    </row>
    <row r="1158" spans="1:21" x14ac:dyDescent="0.35">
      <c r="A1158">
        <v>1157</v>
      </c>
      <c r="B1158" s="5">
        <v>45353</v>
      </c>
      <c r="C1158" s="4">
        <v>2024</v>
      </c>
      <c r="D1158" s="4">
        <v>3</v>
      </c>
      <c r="E1158" s="14">
        <v>45353</v>
      </c>
      <c r="F1158" s="4">
        <v>2</v>
      </c>
      <c r="G1158">
        <v>280</v>
      </c>
      <c r="H1158">
        <v>273</v>
      </c>
      <c r="I1158" s="13">
        <v>0.97</v>
      </c>
      <c r="J1158">
        <v>7</v>
      </c>
      <c r="K1158" s="2">
        <v>1.0416666666666667E-4</v>
      </c>
      <c r="L1158" s="11">
        <v>40.949999999999996</v>
      </c>
      <c r="M1158" s="3">
        <v>0.15</v>
      </c>
      <c r="N1158" s="4">
        <v>9</v>
      </c>
      <c r="O1158" s="2">
        <v>1.9212962962962964E-3</v>
      </c>
      <c r="P1158" s="9">
        <v>755.3</v>
      </c>
      <c r="Q1158" s="3">
        <v>2.7666666666666666</v>
      </c>
      <c r="R1158" s="4">
        <v>166</v>
      </c>
      <c r="S1158" s="3">
        <v>240</v>
      </c>
      <c r="T1158" s="1">
        <v>0.8821</v>
      </c>
      <c r="U1158" s="6">
        <v>240.8133</v>
      </c>
    </row>
    <row r="1159" spans="1:21" x14ac:dyDescent="0.35">
      <c r="A1159">
        <v>1158</v>
      </c>
      <c r="B1159" s="5">
        <v>45354</v>
      </c>
      <c r="C1159" s="4">
        <v>2024</v>
      </c>
      <c r="D1159" s="4">
        <v>3</v>
      </c>
      <c r="E1159" s="14">
        <v>45354</v>
      </c>
      <c r="F1159" s="4">
        <v>3</v>
      </c>
      <c r="G1159">
        <v>294</v>
      </c>
      <c r="H1159">
        <v>273</v>
      </c>
      <c r="I1159" s="13">
        <v>0.92</v>
      </c>
      <c r="J1159">
        <v>21</v>
      </c>
      <c r="K1159" s="2">
        <v>3.0092592592592595E-4</v>
      </c>
      <c r="L1159" s="11">
        <v>118.3</v>
      </c>
      <c r="M1159" s="3">
        <v>0.43333333333333335</v>
      </c>
      <c r="N1159" s="4">
        <v>26</v>
      </c>
      <c r="O1159" s="2">
        <v>2.2685185185185187E-3</v>
      </c>
      <c r="P1159" s="9">
        <v>891.8</v>
      </c>
      <c r="Q1159" s="3">
        <v>3.2666666666666666</v>
      </c>
      <c r="R1159" s="4">
        <v>196</v>
      </c>
      <c r="S1159" s="3">
        <v>168</v>
      </c>
      <c r="T1159" s="1">
        <v>0.61770000000000003</v>
      </c>
      <c r="U1159" s="6">
        <v>168.63210000000001</v>
      </c>
    </row>
    <row r="1160" spans="1:21" x14ac:dyDescent="0.35">
      <c r="A1160">
        <v>1159</v>
      </c>
      <c r="B1160" s="5">
        <v>45355</v>
      </c>
      <c r="C1160" s="4">
        <v>2024</v>
      </c>
      <c r="D1160" s="4">
        <v>3</v>
      </c>
      <c r="E1160" s="14">
        <v>45355</v>
      </c>
      <c r="F1160" s="4">
        <v>4</v>
      </c>
      <c r="G1160">
        <v>290</v>
      </c>
      <c r="H1160">
        <v>246</v>
      </c>
      <c r="I1160" s="13">
        <v>0.84</v>
      </c>
      <c r="J1160">
        <v>44</v>
      </c>
      <c r="K1160" s="2">
        <v>3.1250000000000001E-4</v>
      </c>
      <c r="L1160" s="11">
        <v>110.7</v>
      </c>
      <c r="M1160" s="3">
        <v>0.45</v>
      </c>
      <c r="N1160" s="4">
        <v>27</v>
      </c>
      <c r="O1160" s="2">
        <v>2.1296296296296298E-3</v>
      </c>
      <c r="P1160" s="9">
        <v>754.40000000000009</v>
      </c>
      <c r="Q1160" s="3">
        <v>3.0666666666666669</v>
      </c>
      <c r="R1160" s="4">
        <v>184</v>
      </c>
      <c r="S1160" s="3">
        <v>157</v>
      </c>
      <c r="T1160" s="1">
        <v>0.63859999999999995</v>
      </c>
      <c r="U1160" s="6">
        <v>157.09559999999999</v>
      </c>
    </row>
    <row r="1161" spans="1:21" x14ac:dyDescent="0.35">
      <c r="A1161">
        <v>1160</v>
      </c>
      <c r="B1161" s="5">
        <v>45356</v>
      </c>
      <c r="C1161" s="4">
        <v>2024</v>
      </c>
      <c r="D1161" s="4">
        <v>3</v>
      </c>
      <c r="E1161" s="14">
        <v>45356</v>
      </c>
      <c r="F1161" s="4">
        <v>5</v>
      </c>
      <c r="G1161">
        <v>32</v>
      </c>
      <c r="H1161">
        <v>32</v>
      </c>
      <c r="I1161" s="13">
        <v>1</v>
      </c>
      <c r="J1161">
        <v>0</v>
      </c>
      <c r="K1161" s="2">
        <v>6.9444444444444444E-5</v>
      </c>
      <c r="L1161" s="11">
        <v>3.2</v>
      </c>
      <c r="M1161" s="3">
        <v>0.1</v>
      </c>
      <c r="N1161" s="4">
        <v>6</v>
      </c>
      <c r="O1161" s="2">
        <v>1.8865740740740742E-3</v>
      </c>
      <c r="P1161" s="9">
        <v>86.933333333333337</v>
      </c>
      <c r="Q1161" s="3">
        <v>2.7166666666666668</v>
      </c>
      <c r="R1161" s="4">
        <v>163</v>
      </c>
      <c r="S1161" s="3">
        <v>31</v>
      </c>
      <c r="T1161" s="1">
        <v>0.96879999999999999</v>
      </c>
      <c r="U1161" s="6">
        <v>31.0016</v>
      </c>
    </row>
    <row r="1162" spans="1:21" x14ac:dyDescent="0.35">
      <c r="A1162">
        <v>1161</v>
      </c>
      <c r="B1162" s="5">
        <v>45357</v>
      </c>
      <c r="C1162" s="4">
        <v>2024</v>
      </c>
      <c r="D1162" s="4">
        <v>3</v>
      </c>
      <c r="E1162" s="14">
        <v>45357</v>
      </c>
      <c r="F1162" s="4">
        <v>6</v>
      </c>
      <c r="G1162">
        <v>270</v>
      </c>
      <c r="H1162">
        <v>263</v>
      </c>
      <c r="I1162" s="13">
        <v>0.97</v>
      </c>
      <c r="J1162">
        <v>7</v>
      </c>
      <c r="K1162" s="2">
        <v>1.3888888888888889E-4</v>
      </c>
      <c r="L1162" s="11">
        <v>52.6</v>
      </c>
      <c r="M1162" s="3">
        <v>0.2</v>
      </c>
      <c r="N1162" s="4">
        <v>12</v>
      </c>
      <c r="O1162" s="2">
        <v>1.9907407407407408E-3</v>
      </c>
      <c r="P1162" s="9">
        <v>753.93333333333339</v>
      </c>
      <c r="Q1162" s="3">
        <v>2.8666666666666667</v>
      </c>
      <c r="R1162" s="4">
        <v>172</v>
      </c>
      <c r="S1162" s="3">
        <v>224</v>
      </c>
      <c r="T1162" s="1">
        <v>0.85450000000000004</v>
      </c>
      <c r="U1162" s="6">
        <v>224.73350000000002</v>
      </c>
    </row>
    <row r="1163" spans="1:21" x14ac:dyDescent="0.35">
      <c r="A1163">
        <v>1162</v>
      </c>
      <c r="B1163" s="5">
        <v>45358</v>
      </c>
      <c r="C1163" s="4">
        <v>2024</v>
      </c>
      <c r="D1163" s="4">
        <v>3</v>
      </c>
      <c r="E1163" s="14">
        <v>45358</v>
      </c>
      <c r="F1163" s="4">
        <v>7</v>
      </c>
      <c r="G1163">
        <v>212</v>
      </c>
      <c r="H1163">
        <v>208</v>
      </c>
      <c r="I1163" s="13">
        <v>0.98</v>
      </c>
      <c r="J1163">
        <v>4</v>
      </c>
      <c r="K1163" s="2">
        <v>9.2592592592592588E-5</v>
      </c>
      <c r="L1163" s="11">
        <v>27.733333333333334</v>
      </c>
      <c r="M1163" s="3">
        <v>0.13333333333333333</v>
      </c>
      <c r="N1163" s="4">
        <v>8</v>
      </c>
      <c r="O1163" s="2">
        <v>1.8865740740740742E-3</v>
      </c>
      <c r="P1163" s="9">
        <v>565.06666666666672</v>
      </c>
      <c r="Q1163" s="3">
        <v>2.7166666666666668</v>
      </c>
      <c r="R1163" s="4">
        <v>163</v>
      </c>
      <c r="S1163" s="3">
        <v>189</v>
      </c>
      <c r="T1163" s="1">
        <v>0.91</v>
      </c>
      <c r="U1163" s="6">
        <v>189.28</v>
      </c>
    </row>
    <row r="1164" spans="1:21" x14ac:dyDescent="0.35">
      <c r="A1164">
        <v>1163</v>
      </c>
      <c r="B1164" s="5">
        <v>45359</v>
      </c>
      <c r="C1164" s="4">
        <v>2024</v>
      </c>
      <c r="D1164" s="4">
        <v>3</v>
      </c>
      <c r="E1164" s="14">
        <v>45359</v>
      </c>
      <c r="F1164" s="4">
        <v>8</v>
      </c>
      <c r="G1164">
        <v>246</v>
      </c>
      <c r="H1164">
        <v>238</v>
      </c>
      <c r="I1164" s="13">
        <v>0.96</v>
      </c>
      <c r="J1164">
        <v>8</v>
      </c>
      <c r="K1164" s="2">
        <v>8.1018518518518516E-5</v>
      </c>
      <c r="L1164" s="11">
        <v>27.766666666666666</v>
      </c>
      <c r="M1164" s="3">
        <v>0.11666666666666667</v>
      </c>
      <c r="N1164" s="4">
        <v>7</v>
      </c>
      <c r="O1164" s="2">
        <v>2.0023148148148148E-3</v>
      </c>
      <c r="P1164" s="9">
        <v>686.23333333333335</v>
      </c>
      <c r="Q1164" s="3">
        <v>2.8833333333333333</v>
      </c>
      <c r="R1164" s="4">
        <v>173</v>
      </c>
      <c r="S1164" s="3">
        <v>218</v>
      </c>
      <c r="T1164" s="1">
        <v>0.91839999999999999</v>
      </c>
      <c r="U1164" s="6">
        <v>218.57919999999999</v>
      </c>
    </row>
    <row r="1165" spans="1:21" x14ac:dyDescent="0.35">
      <c r="A1165">
        <v>1164</v>
      </c>
      <c r="B1165" s="5">
        <v>45360</v>
      </c>
      <c r="C1165" s="4">
        <v>2024</v>
      </c>
      <c r="D1165" s="4">
        <v>3</v>
      </c>
      <c r="E1165" s="14">
        <v>45360</v>
      </c>
      <c r="F1165" s="4">
        <v>9</v>
      </c>
      <c r="G1165">
        <v>194</v>
      </c>
      <c r="H1165">
        <v>190</v>
      </c>
      <c r="I1165" s="13">
        <v>0.97</v>
      </c>
      <c r="J1165">
        <v>4</v>
      </c>
      <c r="K1165" s="2">
        <v>9.2592592592592588E-5</v>
      </c>
      <c r="L1165" s="11">
        <v>25.333333333333332</v>
      </c>
      <c r="M1165" s="3">
        <v>0.13333333333333333</v>
      </c>
      <c r="N1165" s="4">
        <v>8</v>
      </c>
      <c r="O1165" s="2">
        <v>1.8865740740740742E-3</v>
      </c>
      <c r="P1165" s="9">
        <v>516.16666666666674</v>
      </c>
      <c r="Q1165" s="3">
        <v>2.7166666666666668</v>
      </c>
      <c r="R1165" s="4">
        <v>163</v>
      </c>
      <c r="S1165" s="3">
        <v>176</v>
      </c>
      <c r="T1165" s="1">
        <v>0.92779999999999996</v>
      </c>
      <c r="U1165" s="6">
        <v>176.28199999999998</v>
      </c>
    </row>
    <row r="1166" spans="1:21" x14ac:dyDescent="0.35">
      <c r="A1166">
        <v>1165</v>
      </c>
      <c r="B1166" s="5">
        <v>45361</v>
      </c>
      <c r="C1166" s="4">
        <v>2024</v>
      </c>
      <c r="D1166" s="4">
        <v>3</v>
      </c>
      <c r="E1166" s="14">
        <v>45361</v>
      </c>
      <c r="F1166" s="4">
        <v>10</v>
      </c>
      <c r="G1166">
        <v>179</v>
      </c>
      <c r="H1166">
        <v>176</v>
      </c>
      <c r="I1166" s="13">
        <v>0.98</v>
      </c>
      <c r="J1166">
        <v>3</v>
      </c>
      <c r="K1166" s="2">
        <v>6.9444444444444444E-5</v>
      </c>
      <c r="L1166" s="11">
        <v>17.600000000000001</v>
      </c>
      <c r="M1166" s="3">
        <v>0.1</v>
      </c>
      <c r="N1166" s="4">
        <v>6</v>
      </c>
      <c r="O1166" s="2">
        <v>1.8981481481481482E-3</v>
      </c>
      <c r="P1166" s="9">
        <v>481.06666666666666</v>
      </c>
      <c r="Q1166" s="3">
        <v>2.7333333333333334</v>
      </c>
      <c r="R1166" s="4">
        <v>164</v>
      </c>
      <c r="S1166" s="3">
        <v>169</v>
      </c>
      <c r="T1166" s="1">
        <v>0.96050000000000002</v>
      </c>
      <c r="U1166" s="6">
        <v>169.048</v>
      </c>
    </row>
    <row r="1167" spans="1:21" x14ac:dyDescent="0.35">
      <c r="A1167">
        <v>1166</v>
      </c>
      <c r="B1167" s="5">
        <v>45362</v>
      </c>
      <c r="C1167" s="4">
        <v>2024</v>
      </c>
      <c r="D1167" s="4">
        <v>3</v>
      </c>
      <c r="E1167" s="14">
        <v>45362</v>
      </c>
      <c r="F1167" s="4">
        <v>11</v>
      </c>
      <c r="G1167">
        <v>67</v>
      </c>
      <c r="H1167">
        <v>65</v>
      </c>
      <c r="I1167" s="13">
        <v>0.97</v>
      </c>
      <c r="J1167">
        <v>2</v>
      </c>
      <c r="K1167" s="2">
        <v>1.0416666666666667E-4</v>
      </c>
      <c r="L1167" s="11">
        <v>9.75</v>
      </c>
      <c r="M1167" s="3">
        <v>0.15</v>
      </c>
      <c r="N1167" s="4">
        <v>9</v>
      </c>
      <c r="O1167" s="2">
        <v>1.8055555555555555E-3</v>
      </c>
      <c r="P1167" s="9">
        <v>169</v>
      </c>
      <c r="Q1167" s="3">
        <v>2.6</v>
      </c>
      <c r="R1167" s="4">
        <v>156</v>
      </c>
      <c r="S1167" s="3">
        <v>58</v>
      </c>
      <c r="T1167" s="1">
        <v>0.89549999999999996</v>
      </c>
      <c r="U1167" s="6">
        <v>58.207499999999996</v>
      </c>
    </row>
    <row r="1168" spans="1:21" x14ac:dyDescent="0.35">
      <c r="A1168">
        <v>1167</v>
      </c>
      <c r="B1168" s="5">
        <v>45363</v>
      </c>
      <c r="C1168" s="4">
        <v>2024</v>
      </c>
      <c r="D1168" s="4">
        <v>3</v>
      </c>
      <c r="E1168" s="14">
        <v>45363</v>
      </c>
      <c r="F1168" s="4">
        <v>12</v>
      </c>
      <c r="G1168">
        <v>27</v>
      </c>
      <c r="H1168">
        <v>27</v>
      </c>
      <c r="I1168" s="13">
        <v>1</v>
      </c>
      <c r="J1168">
        <v>0</v>
      </c>
      <c r="K1168" s="2">
        <v>1.0416666666666667E-4</v>
      </c>
      <c r="L1168" s="11">
        <v>4.05</v>
      </c>
      <c r="M1168" s="3">
        <v>0.15</v>
      </c>
      <c r="N1168" s="4">
        <v>9</v>
      </c>
      <c r="O1168" s="2">
        <v>1.7013888888888888E-3</v>
      </c>
      <c r="P1168" s="9">
        <v>66.150000000000006</v>
      </c>
      <c r="Q1168" s="3">
        <v>2.4500000000000002</v>
      </c>
      <c r="R1168" s="4">
        <v>147</v>
      </c>
      <c r="S1168" s="3">
        <v>24</v>
      </c>
      <c r="T1168" s="1">
        <v>0.88890000000000002</v>
      </c>
      <c r="U1168" s="6">
        <v>24.000299999999999</v>
      </c>
    </row>
    <row r="1169" spans="1:21" x14ac:dyDescent="0.35">
      <c r="A1169">
        <v>1168</v>
      </c>
      <c r="B1169" s="5">
        <v>45364</v>
      </c>
      <c r="C1169" s="4">
        <v>2024</v>
      </c>
      <c r="D1169" s="4">
        <v>3</v>
      </c>
      <c r="E1169" s="14">
        <v>45364</v>
      </c>
      <c r="F1169" s="4">
        <v>13</v>
      </c>
      <c r="G1169">
        <v>190</v>
      </c>
      <c r="H1169">
        <v>183</v>
      </c>
      <c r="I1169" s="13">
        <v>0.96</v>
      </c>
      <c r="J1169">
        <v>7</v>
      </c>
      <c r="K1169" s="2">
        <v>1.0416666666666667E-4</v>
      </c>
      <c r="L1169" s="11">
        <v>27.45</v>
      </c>
      <c r="M1169" s="3">
        <v>0.15</v>
      </c>
      <c r="N1169" s="4">
        <v>9</v>
      </c>
      <c r="O1169" s="2">
        <v>1.8287037037037037E-3</v>
      </c>
      <c r="P1169" s="9">
        <v>481.9</v>
      </c>
      <c r="Q1169" s="3">
        <v>2.6333333333333333</v>
      </c>
      <c r="R1169" s="4">
        <v>158</v>
      </c>
      <c r="S1169" s="3">
        <v>160</v>
      </c>
      <c r="T1169" s="1">
        <v>0.87829999999999997</v>
      </c>
      <c r="U1169" s="6">
        <v>160.72889999999998</v>
      </c>
    </row>
    <row r="1170" spans="1:21" x14ac:dyDescent="0.35">
      <c r="A1170">
        <v>1169</v>
      </c>
      <c r="B1170" s="5">
        <v>45365</v>
      </c>
      <c r="C1170" s="4">
        <v>2024</v>
      </c>
      <c r="D1170" s="4">
        <v>3</v>
      </c>
      <c r="E1170" s="14">
        <v>45365</v>
      </c>
      <c r="F1170" s="4">
        <v>14</v>
      </c>
      <c r="G1170">
        <v>213</v>
      </c>
      <c r="H1170">
        <v>205</v>
      </c>
      <c r="I1170" s="13">
        <v>0.96</v>
      </c>
      <c r="J1170">
        <v>8</v>
      </c>
      <c r="K1170" s="2">
        <v>1.1574074074074075E-4</v>
      </c>
      <c r="L1170" s="11">
        <v>34.166666666666664</v>
      </c>
      <c r="M1170" s="3">
        <v>0.16666666666666666</v>
      </c>
      <c r="N1170" s="4">
        <v>10</v>
      </c>
      <c r="O1170" s="2">
        <v>1.8287037037037037E-3</v>
      </c>
      <c r="P1170" s="9">
        <v>539.83333333333337</v>
      </c>
      <c r="Q1170" s="3">
        <v>2.6333333333333333</v>
      </c>
      <c r="R1170" s="4">
        <v>158</v>
      </c>
      <c r="S1170" s="3">
        <v>180</v>
      </c>
      <c r="T1170" s="1">
        <v>0.88149999999999995</v>
      </c>
      <c r="U1170" s="6">
        <v>180.70749999999998</v>
      </c>
    </row>
    <row r="1171" spans="1:21" x14ac:dyDescent="0.35">
      <c r="A1171">
        <v>1170</v>
      </c>
      <c r="B1171" s="5">
        <v>45366</v>
      </c>
      <c r="C1171" s="4">
        <v>2024</v>
      </c>
      <c r="D1171" s="4">
        <v>3</v>
      </c>
      <c r="E1171" s="14">
        <v>45366</v>
      </c>
      <c r="F1171" s="4">
        <v>15</v>
      </c>
      <c r="G1171">
        <v>208</v>
      </c>
      <c r="H1171">
        <v>205</v>
      </c>
      <c r="I1171" s="13">
        <v>0.98</v>
      </c>
      <c r="J1171">
        <v>3</v>
      </c>
      <c r="K1171" s="2">
        <v>4.6296296296296294E-5</v>
      </c>
      <c r="L1171" s="11">
        <v>13.666666666666666</v>
      </c>
      <c r="M1171" s="3">
        <v>6.6666666666666666E-2</v>
      </c>
      <c r="N1171" s="4">
        <v>4</v>
      </c>
      <c r="O1171" s="2">
        <v>1.8055555555555555E-3</v>
      </c>
      <c r="P1171" s="9">
        <v>533</v>
      </c>
      <c r="Q1171" s="3">
        <v>2.6</v>
      </c>
      <c r="R1171" s="4">
        <v>156</v>
      </c>
      <c r="S1171" s="3">
        <v>199</v>
      </c>
      <c r="T1171" s="1">
        <v>0.97089999999999999</v>
      </c>
      <c r="U1171" s="6">
        <v>199.03450000000001</v>
      </c>
    </row>
    <row r="1172" spans="1:21" x14ac:dyDescent="0.35">
      <c r="A1172">
        <v>1171</v>
      </c>
      <c r="B1172" s="5">
        <v>45367</v>
      </c>
      <c r="C1172" s="4">
        <v>2024</v>
      </c>
      <c r="D1172" s="4">
        <v>3</v>
      </c>
      <c r="E1172" s="14">
        <v>45367</v>
      </c>
      <c r="F1172" s="4">
        <v>16</v>
      </c>
      <c r="G1172">
        <v>166</v>
      </c>
      <c r="H1172">
        <v>165</v>
      </c>
      <c r="I1172" s="13">
        <v>0.99</v>
      </c>
      <c r="J1172">
        <v>1</v>
      </c>
      <c r="K1172" s="2">
        <v>9.2592592592592588E-5</v>
      </c>
      <c r="L1172" s="11">
        <v>22</v>
      </c>
      <c r="M1172" s="3">
        <v>0.13333333333333333</v>
      </c>
      <c r="N1172" s="4">
        <v>8</v>
      </c>
      <c r="O1172" s="2">
        <v>1.8634259259259259E-3</v>
      </c>
      <c r="P1172" s="9">
        <v>442.75000000000006</v>
      </c>
      <c r="Q1172" s="3">
        <v>2.6833333333333336</v>
      </c>
      <c r="R1172" s="4">
        <v>161</v>
      </c>
      <c r="S1172" s="3">
        <v>153</v>
      </c>
      <c r="T1172" s="1">
        <v>0.92769999999999997</v>
      </c>
      <c r="U1172" s="6">
        <v>153.07049999999998</v>
      </c>
    </row>
    <row r="1173" spans="1:21" x14ac:dyDescent="0.35">
      <c r="A1173">
        <v>1172</v>
      </c>
      <c r="B1173" s="5">
        <v>45368</v>
      </c>
      <c r="C1173" s="4">
        <v>2024</v>
      </c>
      <c r="D1173" s="4">
        <v>3</v>
      </c>
      <c r="E1173" s="14">
        <v>45368</v>
      </c>
      <c r="F1173" s="4">
        <v>17</v>
      </c>
      <c r="G1173">
        <v>169</v>
      </c>
      <c r="H1173">
        <v>161</v>
      </c>
      <c r="I1173" s="13">
        <v>0.95</v>
      </c>
      <c r="J1173">
        <v>8</v>
      </c>
      <c r="K1173" s="2">
        <v>2.0833333333333335E-4</v>
      </c>
      <c r="L1173" s="11">
        <v>48.3</v>
      </c>
      <c r="M1173" s="3">
        <v>0.3</v>
      </c>
      <c r="N1173" s="4">
        <v>18</v>
      </c>
      <c r="O1173" s="2">
        <v>1.9907407407407408E-3</v>
      </c>
      <c r="P1173" s="9">
        <v>461.53333333333336</v>
      </c>
      <c r="Q1173" s="3">
        <v>2.8666666666666667</v>
      </c>
      <c r="R1173" s="4">
        <v>172</v>
      </c>
      <c r="S1173" s="3">
        <v>119</v>
      </c>
      <c r="T1173" s="1">
        <v>0.73960000000000004</v>
      </c>
      <c r="U1173" s="6">
        <v>119.07560000000001</v>
      </c>
    </row>
    <row r="1174" spans="1:21" x14ac:dyDescent="0.35">
      <c r="A1174">
        <v>1173</v>
      </c>
      <c r="B1174" s="5">
        <v>45369</v>
      </c>
      <c r="C1174" s="4">
        <v>2024</v>
      </c>
      <c r="D1174" s="4">
        <v>3</v>
      </c>
      <c r="E1174" s="14">
        <v>45369</v>
      </c>
      <c r="F1174" s="4">
        <v>18</v>
      </c>
      <c r="G1174">
        <v>175</v>
      </c>
      <c r="H1174">
        <v>167</v>
      </c>
      <c r="I1174" s="13">
        <v>0.95</v>
      </c>
      <c r="J1174">
        <v>8</v>
      </c>
      <c r="K1174" s="2">
        <v>1.1574074074074075E-4</v>
      </c>
      <c r="L1174" s="11">
        <v>27.833333333333332</v>
      </c>
      <c r="M1174" s="3">
        <v>0.16666666666666666</v>
      </c>
      <c r="N1174" s="4">
        <v>10</v>
      </c>
      <c r="O1174" s="2">
        <v>1.724537037037037E-3</v>
      </c>
      <c r="P1174" s="9">
        <v>414.7166666666667</v>
      </c>
      <c r="Q1174" s="3">
        <v>2.4833333333333334</v>
      </c>
      <c r="R1174" s="4">
        <v>149</v>
      </c>
      <c r="S1174" s="3">
        <v>144</v>
      </c>
      <c r="T1174" s="1">
        <v>0.8629</v>
      </c>
      <c r="U1174" s="6">
        <v>144.10429999999999</v>
      </c>
    </row>
    <row r="1175" spans="1:21" x14ac:dyDescent="0.35">
      <c r="A1175">
        <v>1174</v>
      </c>
      <c r="B1175" s="5">
        <v>45370</v>
      </c>
      <c r="C1175" s="4">
        <v>2024</v>
      </c>
      <c r="D1175" s="4">
        <v>3</v>
      </c>
      <c r="E1175" s="14">
        <v>45370</v>
      </c>
      <c r="F1175" s="4">
        <v>19</v>
      </c>
      <c r="G1175">
        <v>43</v>
      </c>
      <c r="H1175">
        <v>43</v>
      </c>
      <c r="I1175" s="13">
        <v>1</v>
      </c>
      <c r="J1175">
        <v>0</v>
      </c>
      <c r="K1175" s="2">
        <v>4.6296296296296294E-5</v>
      </c>
      <c r="L1175" s="11">
        <v>2.8666666666666667</v>
      </c>
      <c r="M1175" s="3">
        <v>6.6666666666666666E-2</v>
      </c>
      <c r="N1175" s="4">
        <v>4</v>
      </c>
      <c r="O1175" s="2">
        <v>1.8749999999999999E-3</v>
      </c>
      <c r="P1175" s="9">
        <v>116.10000000000001</v>
      </c>
      <c r="Q1175" s="3">
        <v>2.7</v>
      </c>
      <c r="R1175" s="4">
        <v>162</v>
      </c>
      <c r="S1175" s="3">
        <v>43</v>
      </c>
      <c r="T1175" s="1">
        <v>1</v>
      </c>
      <c r="U1175" s="6">
        <v>43</v>
      </c>
    </row>
    <row r="1176" spans="1:21" x14ac:dyDescent="0.35">
      <c r="A1176">
        <v>1175</v>
      </c>
      <c r="B1176" s="5">
        <v>45371</v>
      </c>
      <c r="C1176" s="4">
        <v>2024</v>
      </c>
      <c r="D1176" s="4">
        <v>3</v>
      </c>
      <c r="E1176" s="14">
        <v>45371</v>
      </c>
      <c r="F1176" s="4">
        <v>20</v>
      </c>
      <c r="G1176">
        <v>24</v>
      </c>
      <c r="H1176">
        <v>24</v>
      </c>
      <c r="I1176" s="13">
        <v>1</v>
      </c>
      <c r="J1176">
        <v>0</v>
      </c>
      <c r="K1176" s="2">
        <v>3.4722222222222222E-5</v>
      </c>
      <c r="L1176" s="11">
        <v>1.2000000000000002</v>
      </c>
      <c r="M1176" s="3">
        <v>0.05</v>
      </c>
      <c r="N1176" s="4">
        <v>3</v>
      </c>
      <c r="O1176" s="2">
        <v>1.9212962962962964E-3</v>
      </c>
      <c r="P1176" s="9">
        <v>66.400000000000006</v>
      </c>
      <c r="Q1176" s="3">
        <v>2.7666666666666666</v>
      </c>
      <c r="R1176" s="4">
        <v>166</v>
      </c>
      <c r="S1176" s="3">
        <v>24</v>
      </c>
      <c r="T1176" s="1">
        <v>1</v>
      </c>
      <c r="U1176" s="6">
        <v>24</v>
      </c>
    </row>
    <row r="1177" spans="1:21" x14ac:dyDescent="0.35">
      <c r="A1177">
        <v>1176</v>
      </c>
      <c r="B1177" s="5">
        <v>45372</v>
      </c>
      <c r="C1177" s="4">
        <v>2024</v>
      </c>
      <c r="D1177" s="4">
        <v>3</v>
      </c>
      <c r="E1177" s="14">
        <v>45372</v>
      </c>
      <c r="F1177" s="4">
        <v>21</v>
      </c>
      <c r="G1177">
        <v>26</v>
      </c>
      <c r="H1177">
        <v>26</v>
      </c>
      <c r="I1177" s="13">
        <v>1</v>
      </c>
      <c r="J1177">
        <v>0</v>
      </c>
      <c r="K1177" s="2">
        <v>5.7870370370370373E-5</v>
      </c>
      <c r="L1177" s="11">
        <v>2.1666666666666665</v>
      </c>
      <c r="M1177" s="3">
        <v>8.3333333333333329E-2</v>
      </c>
      <c r="N1177" s="4">
        <v>5</v>
      </c>
      <c r="O1177" s="2">
        <v>1.9907407407407408E-3</v>
      </c>
      <c r="P1177" s="9">
        <v>74.533333333333331</v>
      </c>
      <c r="Q1177" s="3">
        <v>2.8666666666666667</v>
      </c>
      <c r="R1177" s="4">
        <v>172</v>
      </c>
      <c r="S1177" s="3">
        <v>24</v>
      </c>
      <c r="T1177" s="1">
        <v>0.92310000000000003</v>
      </c>
      <c r="U1177" s="6">
        <v>24.000600000000002</v>
      </c>
    </row>
    <row r="1178" spans="1:21" x14ac:dyDescent="0.35">
      <c r="A1178">
        <v>1177</v>
      </c>
      <c r="B1178" s="5">
        <v>45373</v>
      </c>
      <c r="C1178" s="4">
        <v>2024</v>
      </c>
      <c r="D1178" s="4">
        <v>3</v>
      </c>
      <c r="E1178" s="14">
        <v>45373</v>
      </c>
      <c r="F1178" s="4">
        <v>22</v>
      </c>
      <c r="G1178">
        <v>42</v>
      </c>
      <c r="H1178">
        <v>41</v>
      </c>
      <c r="I1178" s="13">
        <v>0.97</v>
      </c>
      <c r="J1178">
        <v>1</v>
      </c>
      <c r="K1178" s="2">
        <v>3.4722222222222222E-5</v>
      </c>
      <c r="L1178" s="11">
        <v>2.0500000000000003</v>
      </c>
      <c r="M1178" s="3">
        <v>0.05</v>
      </c>
      <c r="N1178" s="4">
        <v>3</v>
      </c>
      <c r="O1178" s="2">
        <v>1.8634259259259259E-3</v>
      </c>
      <c r="P1178" s="9">
        <v>110.01666666666668</v>
      </c>
      <c r="Q1178" s="3">
        <v>2.6833333333333336</v>
      </c>
      <c r="R1178" s="4">
        <v>161</v>
      </c>
      <c r="S1178" s="3">
        <v>41</v>
      </c>
      <c r="T1178" s="1">
        <v>1</v>
      </c>
      <c r="U1178" s="6">
        <v>41</v>
      </c>
    </row>
    <row r="1179" spans="1:21" x14ac:dyDescent="0.35">
      <c r="A1179">
        <v>1178</v>
      </c>
      <c r="B1179" s="5">
        <v>45374</v>
      </c>
      <c r="C1179" s="4">
        <v>2024</v>
      </c>
      <c r="D1179" s="4">
        <v>3</v>
      </c>
      <c r="E1179" s="14">
        <v>45374</v>
      </c>
      <c r="F1179" s="4">
        <v>23</v>
      </c>
      <c r="G1179">
        <v>37</v>
      </c>
      <c r="H1179">
        <v>36</v>
      </c>
      <c r="I1179" s="13">
        <v>0.97</v>
      </c>
      <c r="J1179">
        <v>1</v>
      </c>
      <c r="K1179" s="2">
        <v>5.7870370370370373E-5</v>
      </c>
      <c r="L1179" s="11">
        <v>3</v>
      </c>
      <c r="M1179" s="3">
        <v>8.3333333333333329E-2</v>
      </c>
      <c r="N1179" s="4">
        <v>5</v>
      </c>
      <c r="O1179" s="2">
        <v>1.6666666666666668E-3</v>
      </c>
      <c r="P1179" s="9">
        <v>86.399999999999991</v>
      </c>
      <c r="Q1179" s="3">
        <v>2.4</v>
      </c>
      <c r="R1179" s="4">
        <v>144</v>
      </c>
      <c r="S1179" s="3">
        <v>34</v>
      </c>
      <c r="T1179" s="1">
        <v>0.94589999999999996</v>
      </c>
      <c r="U1179" s="6">
        <v>34.052399999999999</v>
      </c>
    </row>
    <row r="1180" spans="1:21" x14ac:dyDescent="0.35">
      <c r="A1180">
        <v>1179</v>
      </c>
      <c r="B1180" s="5">
        <v>45375</v>
      </c>
      <c r="C1180" s="4">
        <v>2024</v>
      </c>
      <c r="D1180" s="4">
        <v>3</v>
      </c>
      <c r="E1180" s="14">
        <v>45375</v>
      </c>
      <c r="F1180" s="4">
        <v>24</v>
      </c>
      <c r="G1180">
        <v>60</v>
      </c>
      <c r="H1180">
        <v>60</v>
      </c>
      <c r="I1180" s="13">
        <v>1</v>
      </c>
      <c r="J1180">
        <v>0</v>
      </c>
      <c r="K1180" s="2">
        <v>5.7870370370370373E-5</v>
      </c>
      <c r="L1180" s="11">
        <v>5</v>
      </c>
      <c r="M1180" s="3">
        <v>8.3333333333333329E-2</v>
      </c>
      <c r="N1180" s="4">
        <v>5</v>
      </c>
      <c r="O1180" s="2">
        <v>2.1643518518518518E-3</v>
      </c>
      <c r="P1180" s="9">
        <v>187</v>
      </c>
      <c r="Q1180" s="3">
        <v>3.1166666666666667</v>
      </c>
      <c r="R1180" s="4">
        <v>187</v>
      </c>
      <c r="S1180" s="3">
        <v>58</v>
      </c>
      <c r="T1180" s="1">
        <v>0.9667</v>
      </c>
      <c r="U1180" s="6">
        <v>58.002000000000002</v>
      </c>
    </row>
    <row r="1181" spans="1:21" x14ac:dyDescent="0.35">
      <c r="A1181">
        <v>1180</v>
      </c>
      <c r="B1181" s="5">
        <v>45376</v>
      </c>
      <c r="C1181" s="4">
        <v>2024</v>
      </c>
      <c r="D1181" s="4">
        <v>3</v>
      </c>
      <c r="E1181" s="14">
        <v>45376</v>
      </c>
      <c r="F1181" s="4">
        <v>25</v>
      </c>
      <c r="G1181">
        <v>82</v>
      </c>
      <c r="H1181">
        <v>81</v>
      </c>
      <c r="I1181" s="13">
        <v>0.98</v>
      </c>
      <c r="J1181">
        <v>1</v>
      </c>
      <c r="K1181" s="2">
        <v>3.4722222222222222E-5</v>
      </c>
      <c r="L1181" s="11">
        <v>4.05</v>
      </c>
      <c r="M1181" s="3">
        <v>0.05</v>
      </c>
      <c r="N1181" s="4">
        <v>3</v>
      </c>
      <c r="O1181" s="2">
        <v>1.6666666666666668E-3</v>
      </c>
      <c r="P1181" s="9">
        <v>194.4</v>
      </c>
      <c r="Q1181" s="3">
        <v>2.4</v>
      </c>
      <c r="R1181" s="4">
        <v>144</v>
      </c>
      <c r="S1181" s="3">
        <v>79</v>
      </c>
      <c r="T1181" s="1">
        <v>0.97560000000000002</v>
      </c>
      <c r="U1181" s="6">
        <v>79.023600000000002</v>
      </c>
    </row>
    <row r="1182" spans="1:21" x14ac:dyDescent="0.35">
      <c r="A1182">
        <v>1181</v>
      </c>
      <c r="B1182" s="5">
        <v>45377</v>
      </c>
      <c r="C1182" s="4">
        <v>2024</v>
      </c>
      <c r="D1182" s="4">
        <v>3</v>
      </c>
      <c r="E1182" s="14">
        <v>45377</v>
      </c>
      <c r="F1182" s="4">
        <v>26</v>
      </c>
      <c r="G1182">
        <v>31</v>
      </c>
      <c r="H1182">
        <v>31</v>
      </c>
      <c r="I1182" s="13">
        <v>1</v>
      </c>
      <c r="J1182">
        <v>0</v>
      </c>
      <c r="K1182" s="2">
        <v>6.9444444444444444E-5</v>
      </c>
      <c r="L1182" s="11">
        <v>3.1</v>
      </c>
      <c r="M1182" s="3">
        <v>0.1</v>
      </c>
      <c r="N1182" s="4">
        <v>6</v>
      </c>
      <c r="O1182" s="2">
        <v>1.6203703703703703E-3</v>
      </c>
      <c r="P1182" s="9">
        <v>72.333333333333343</v>
      </c>
      <c r="Q1182" s="3">
        <v>2.3333333333333335</v>
      </c>
      <c r="R1182" s="4">
        <v>140</v>
      </c>
      <c r="S1182" s="3">
        <v>29</v>
      </c>
      <c r="T1182" s="1">
        <v>0.9355</v>
      </c>
      <c r="U1182" s="6">
        <v>29.000499999999999</v>
      </c>
    </row>
    <row r="1183" spans="1:21" x14ac:dyDescent="0.35">
      <c r="A1183">
        <v>1182</v>
      </c>
      <c r="B1183" s="5">
        <v>45378</v>
      </c>
      <c r="C1183" s="4">
        <v>2024</v>
      </c>
      <c r="D1183" s="4">
        <v>3</v>
      </c>
      <c r="E1183" s="14">
        <v>45378</v>
      </c>
      <c r="F1183" s="4">
        <v>27</v>
      </c>
      <c r="G1183">
        <v>178</v>
      </c>
      <c r="H1183">
        <v>171</v>
      </c>
      <c r="I1183" s="13">
        <v>0.96</v>
      </c>
      <c r="J1183">
        <v>7</v>
      </c>
      <c r="K1183" s="2">
        <v>1.8518518518518518E-4</v>
      </c>
      <c r="L1183" s="11">
        <v>45.6</v>
      </c>
      <c r="M1183" s="3">
        <v>0.26666666666666666</v>
      </c>
      <c r="N1183" s="4">
        <v>16</v>
      </c>
      <c r="O1183" s="2">
        <v>1.8865740740740742E-3</v>
      </c>
      <c r="P1183" s="9">
        <v>464.55</v>
      </c>
      <c r="Q1183" s="3">
        <v>2.7166666666666668</v>
      </c>
      <c r="R1183" s="4">
        <v>163</v>
      </c>
      <c r="S1183" s="3">
        <v>130</v>
      </c>
      <c r="T1183" s="1">
        <v>0.76139999999999997</v>
      </c>
      <c r="U1183" s="6">
        <v>130.1994</v>
      </c>
    </row>
    <row r="1184" spans="1:21" x14ac:dyDescent="0.35">
      <c r="A1184">
        <v>1183</v>
      </c>
      <c r="B1184" s="5">
        <v>45379</v>
      </c>
      <c r="C1184" s="4">
        <v>2024</v>
      </c>
      <c r="D1184" s="4">
        <v>3</v>
      </c>
      <c r="E1184" s="14">
        <v>45379</v>
      </c>
      <c r="F1184" s="4">
        <v>28</v>
      </c>
      <c r="G1184">
        <v>183</v>
      </c>
      <c r="H1184">
        <v>175</v>
      </c>
      <c r="I1184" s="13">
        <v>0.95</v>
      </c>
      <c r="J1184">
        <v>8</v>
      </c>
      <c r="K1184" s="2">
        <v>1.5046296296296297E-4</v>
      </c>
      <c r="L1184" s="11">
        <v>37.916666666666671</v>
      </c>
      <c r="M1184" s="3">
        <v>0.21666666666666667</v>
      </c>
      <c r="N1184" s="4">
        <v>13</v>
      </c>
      <c r="O1184" s="2">
        <v>1.7013888888888888E-3</v>
      </c>
      <c r="P1184" s="9">
        <v>428.75000000000006</v>
      </c>
      <c r="Q1184" s="3">
        <v>2.4500000000000002</v>
      </c>
      <c r="R1184" s="4">
        <v>147</v>
      </c>
      <c r="S1184" s="3">
        <v>149</v>
      </c>
      <c r="T1184" s="1">
        <v>0.85560000000000003</v>
      </c>
      <c r="U1184" s="6">
        <v>149.73000000000002</v>
      </c>
    </row>
    <row r="1185" spans="1:21" x14ac:dyDescent="0.35">
      <c r="A1185">
        <v>1184</v>
      </c>
      <c r="B1185" s="5">
        <v>45380</v>
      </c>
      <c r="C1185" s="4">
        <v>2024</v>
      </c>
      <c r="D1185" s="4">
        <v>3</v>
      </c>
      <c r="E1185" s="14">
        <v>45380</v>
      </c>
      <c r="F1185" s="4">
        <v>29</v>
      </c>
      <c r="G1185">
        <v>39</v>
      </c>
      <c r="H1185">
        <v>37</v>
      </c>
      <c r="I1185" s="13">
        <v>0.94</v>
      </c>
      <c r="J1185">
        <v>2</v>
      </c>
      <c r="K1185" s="2">
        <v>3.4722222222222222E-5</v>
      </c>
      <c r="L1185" s="11">
        <v>1.85</v>
      </c>
      <c r="M1185" s="3">
        <v>0.05</v>
      </c>
      <c r="N1185" s="4">
        <v>3</v>
      </c>
      <c r="O1185" s="2">
        <v>2.0023148148148148E-3</v>
      </c>
      <c r="P1185" s="9">
        <v>106.68333333333334</v>
      </c>
      <c r="Q1185" s="3">
        <v>2.8833333333333333</v>
      </c>
      <c r="R1185" s="4">
        <v>173</v>
      </c>
      <c r="S1185" s="3">
        <v>36</v>
      </c>
      <c r="T1185" s="1">
        <v>0.97370000000000001</v>
      </c>
      <c r="U1185" s="6">
        <v>36.026899999999998</v>
      </c>
    </row>
    <row r="1186" spans="1:21" x14ac:dyDescent="0.35">
      <c r="A1186">
        <v>1185</v>
      </c>
      <c r="B1186" s="5">
        <v>45381</v>
      </c>
      <c r="C1186" s="4">
        <v>2024</v>
      </c>
      <c r="D1186" s="4">
        <v>3</v>
      </c>
      <c r="E1186" s="14">
        <v>45381</v>
      </c>
      <c r="F1186" s="4">
        <v>30</v>
      </c>
      <c r="G1186">
        <v>170</v>
      </c>
      <c r="H1186">
        <v>167</v>
      </c>
      <c r="I1186" s="13">
        <v>0.98</v>
      </c>
      <c r="J1186">
        <v>3</v>
      </c>
      <c r="K1186" s="2">
        <v>1.3888888888888889E-4</v>
      </c>
      <c r="L1186" s="11">
        <v>33.4</v>
      </c>
      <c r="M1186" s="3">
        <v>0.2</v>
      </c>
      <c r="N1186" s="4">
        <v>12</v>
      </c>
      <c r="O1186" s="2">
        <v>1.6666666666666668E-3</v>
      </c>
      <c r="P1186" s="9">
        <v>400.8</v>
      </c>
      <c r="Q1186" s="3">
        <v>2.4</v>
      </c>
      <c r="R1186" s="4">
        <v>144</v>
      </c>
      <c r="S1186" s="3">
        <v>142</v>
      </c>
      <c r="T1186" s="1">
        <v>0.85289999999999999</v>
      </c>
      <c r="U1186" s="6">
        <v>142.43430000000001</v>
      </c>
    </row>
    <row r="1187" spans="1:21" x14ac:dyDescent="0.35">
      <c r="A1187">
        <v>1186</v>
      </c>
      <c r="B1187" s="5">
        <v>45382</v>
      </c>
      <c r="C1187" s="4">
        <v>2024</v>
      </c>
      <c r="D1187" s="4">
        <v>3</v>
      </c>
      <c r="E1187" s="14">
        <v>45382</v>
      </c>
      <c r="F1187" s="4">
        <v>31</v>
      </c>
      <c r="G1187">
        <v>180</v>
      </c>
      <c r="H1187">
        <v>168</v>
      </c>
      <c r="I1187" s="13">
        <v>0.93</v>
      </c>
      <c r="J1187">
        <v>12</v>
      </c>
      <c r="K1187" s="2">
        <v>1.3888888888888889E-4</v>
      </c>
      <c r="L1187" s="11">
        <v>33.6</v>
      </c>
      <c r="M1187" s="3">
        <v>0.2</v>
      </c>
      <c r="N1187" s="4">
        <v>12</v>
      </c>
      <c r="O1187" s="2">
        <v>1.9212962962962964E-3</v>
      </c>
      <c r="P1187" s="9">
        <v>464.8</v>
      </c>
      <c r="Q1187" s="3">
        <v>2.7666666666666666</v>
      </c>
      <c r="R1187" s="4">
        <v>166</v>
      </c>
      <c r="S1187" s="3">
        <v>139</v>
      </c>
      <c r="T1187" s="1">
        <v>0.83150000000000002</v>
      </c>
      <c r="U1187" s="6">
        <v>139.69200000000001</v>
      </c>
    </row>
    <row r="1188" spans="1:21" x14ac:dyDescent="0.35">
      <c r="A1188">
        <v>1187</v>
      </c>
      <c r="B1188" s="5">
        <v>45383</v>
      </c>
      <c r="C1188" s="4">
        <v>2024</v>
      </c>
      <c r="D1188" s="4">
        <v>4</v>
      </c>
      <c r="E1188" s="14">
        <v>45383</v>
      </c>
      <c r="F1188" s="4">
        <v>1</v>
      </c>
      <c r="G1188">
        <v>24</v>
      </c>
      <c r="H1188">
        <v>24</v>
      </c>
      <c r="I1188" s="13">
        <v>1</v>
      </c>
      <c r="J1188">
        <v>0</v>
      </c>
      <c r="K1188" s="2">
        <v>4.6296296296296294E-5</v>
      </c>
      <c r="L1188" s="11">
        <v>1.6</v>
      </c>
      <c r="M1188" s="3">
        <v>6.6666666666666666E-2</v>
      </c>
      <c r="N1188" s="4">
        <v>4</v>
      </c>
      <c r="O1188" s="2">
        <v>1.8055555555555555E-3</v>
      </c>
      <c r="P1188" s="9">
        <v>62.400000000000006</v>
      </c>
      <c r="Q1188" s="3">
        <v>2.6</v>
      </c>
      <c r="R1188" s="4">
        <v>156</v>
      </c>
      <c r="S1188" s="3">
        <v>24</v>
      </c>
      <c r="T1188" s="1">
        <v>1</v>
      </c>
      <c r="U1188" s="6">
        <v>24</v>
      </c>
    </row>
    <row r="1189" spans="1:21" x14ac:dyDescent="0.35">
      <c r="A1189">
        <v>1188</v>
      </c>
      <c r="B1189" s="5">
        <v>45384</v>
      </c>
      <c r="C1189" s="4">
        <v>2024</v>
      </c>
      <c r="D1189" s="4">
        <v>4</v>
      </c>
      <c r="E1189" s="14">
        <v>45384</v>
      </c>
      <c r="F1189" s="4">
        <v>2</v>
      </c>
      <c r="G1189">
        <v>7</v>
      </c>
      <c r="H1189">
        <v>7</v>
      </c>
      <c r="I1189" s="13">
        <v>1</v>
      </c>
      <c r="J1189">
        <v>0</v>
      </c>
      <c r="K1189" s="2">
        <v>3.8194444444444446E-4</v>
      </c>
      <c r="L1189" s="11">
        <v>3.8500000000000005</v>
      </c>
      <c r="M1189" s="3">
        <v>0.55000000000000004</v>
      </c>
      <c r="N1189" s="4">
        <v>33</v>
      </c>
      <c r="O1189" s="2">
        <v>1.8402777777777777E-3</v>
      </c>
      <c r="P1189" s="9">
        <v>18.55</v>
      </c>
      <c r="Q1189" s="3">
        <v>2.65</v>
      </c>
      <c r="R1189" s="4">
        <v>159</v>
      </c>
      <c r="S1189" s="3">
        <v>3</v>
      </c>
      <c r="T1189" s="1">
        <v>0.42859999999999998</v>
      </c>
      <c r="U1189" s="6">
        <v>3.0002</v>
      </c>
    </row>
    <row r="1190" spans="1:21" x14ac:dyDescent="0.35">
      <c r="A1190">
        <v>1189</v>
      </c>
      <c r="B1190" s="5">
        <v>45385</v>
      </c>
      <c r="C1190" s="4">
        <v>2024</v>
      </c>
      <c r="D1190" s="4">
        <v>4</v>
      </c>
      <c r="E1190" s="14">
        <v>45385</v>
      </c>
      <c r="F1190" s="4">
        <v>3</v>
      </c>
      <c r="G1190">
        <v>181</v>
      </c>
      <c r="H1190">
        <v>181</v>
      </c>
      <c r="I1190" s="13">
        <v>1</v>
      </c>
      <c r="J1190">
        <v>0</v>
      </c>
      <c r="K1190" s="2">
        <v>1.3888888888888889E-4</v>
      </c>
      <c r="L1190" s="11">
        <v>36.200000000000003</v>
      </c>
      <c r="M1190" s="3">
        <v>0.2</v>
      </c>
      <c r="N1190" s="4">
        <v>12</v>
      </c>
      <c r="O1190" s="2">
        <v>1.9328703703703704E-3</v>
      </c>
      <c r="P1190" s="9">
        <v>503.7833333333333</v>
      </c>
      <c r="Q1190" s="3">
        <v>2.7833333333333332</v>
      </c>
      <c r="R1190" s="4">
        <v>167</v>
      </c>
      <c r="S1190" s="3">
        <v>159</v>
      </c>
      <c r="T1190" s="1">
        <v>0.87849999999999995</v>
      </c>
      <c r="U1190" s="6">
        <v>159.0085</v>
      </c>
    </row>
    <row r="1191" spans="1:21" x14ac:dyDescent="0.35">
      <c r="A1191">
        <v>1190</v>
      </c>
      <c r="B1191" s="5">
        <v>45386</v>
      </c>
      <c r="C1191" s="4">
        <v>2024</v>
      </c>
      <c r="D1191" s="4">
        <v>4</v>
      </c>
      <c r="E1191" s="14">
        <v>45386</v>
      </c>
      <c r="F1191" s="4">
        <v>4</v>
      </c>
      <c r="G1191">
        <v>209</v>
      </c>
      <c r="H1191">
        <v>206</v>
      </c>
      <c r="I1191" s="13">
        <v>0.98</v>
      </c>
      <c r="J1191">
        <v>3</v>
      </c>
      <c r="K1191" s="2">
        <v>5.7870370370370373E-5</v>
      </c>
      <c r="L1191" s="11">
        <v>17.166666666666664</v>
      </c>
      <c r="M1191" s="3">
        <v>8.3333333333333329E-2</v>
      </c>
      <c r="N1191" s="4">
        <v>5</v>
      </c>
      <c r="O1191" s="2">
        <v>1.8749999999999999E-3</v>
      </c>
      <c r="P1191" s="9">
        <v>556.20000000000005</v>
      </c>
      <c r="Q1191" s="3">
        <v>2.7</v>
      </c>
      <c r="R1191" s="4">
        <v>162</v>
      </c>
      <c r="S1191" s="3">
        <v>196</v>
      </c>
      <c r="T1191" s="1">
        <v>0.95169999999999999</v>
      </c>
      <c r="U1191" s="6">
        <v>196.05019999999999</v>
      </c>
    </row>
    <row r="1192" spans="1:21" x14ac:dyDescent="0.35">
      <c r="A1192">
        <v>1191</v>
      </c>
      <c r="B1192" s="5">
        <v>45387</v>
      </c>
      <c r="C1192" s="4">
        <v>2024</v>
      </c>
      <c r="D1192" s="4">
        <v>4</v>
      </c>
      <c r="E1192" s="14">
        <v>45387</v>
      </c>
      <c r="F1192" s="4">
        <v>5</v>
      </c>
      <c r="G1192">
        <v>180</v>
      </c>
      <c r="H1192">
        <v>179</v>
      </c>
      <c r="I1192" s="13">
        <v>0.99</v>
      </c>
      <c r="J1192">
        <v>1</v>
      </c>
      <c r="K1192" s="2">
        <v>4.6296296296296294E-5</v>
      </c>
      <c r="L1192" s="11">
        <v>11.933333333333334</v>
      </c>
      <c r="M1192" s="3">
        <v>6.6666666666666666E-2</v>
      </c>
      <c r="N1192" s="4">
        <v>4</v>
      </c>
      <c r="O1192" s="2">
        <v>1.712962962962963E-3</v>
      </c>
      <c r="P1192" s="9">
        <v>441.53333333333336</v>
      </c>
      <c r="Q1192" s="3">
        <v>2.4666666666666668</v>
      </c>
      <c r="R1192" s="4">
        <v>148</v>
      </c>
      <c r="S1192" s="3">
        <v>174</v>
      </c>
      <c r="T1192" s="1">
        <v>0.97209999999999996</v>
      </c>
      <c r="U1192" s="6">
        <v>174.0059</v>
      </c>
    </row>
    <row r="1193" spans="1:21" x14ac:dyDescent="0.35">
      <c r="A1193">
        <v>1192</v>
      </c>
      <c r="B1193" s="5">
        <v>45388</v>
      </c>
      <c r="C1193" s="4">
        <v>2024</v>
      </c>
      <c r="D1193" s="4">
        <v>4</v>
      </c>
      <c r="E1193" s="14">
        <v>45388</v>
      </c>
      <c r="F1193" s="4">
        <v>6</v>
      </c>
      <c r="G1193">
        <v>221</v>
      </c>
      <c r="H1193">
        <v>203</v>
      </c>
      <c r="I1193" s="13">
        <v>0.91</v>
      </c>
      <c r="J1193">
        <v>18</v>
      </c>
      <c r="K1193" s="2">
        <v>1.3888888888888889E-4</v>
      </c>
      <c r="L1193" s="11">
        <v>40.6</v>
      </c>
      <c r="M1193" s="3">
        <v>0.2</v>
      </c>
      <c r="N1193" s="4">
        <v>12</v>
      </c>
      <c r="O1193" s="2">
        <v>1.8865740740740742E-3</v>
      </c>
      <c r="P1193" s="9">
        <v>551.48333333333335</v>
      </c>
      <c r="Q1193" s="3">
        <v>2.7166666666666668</v>
      </c>
      <c r="R1193" s="4">
        <v>163</v>
      </c>
      <c r="S1193" s="3">
        <v>177</v>
      </c>
      <c r="T1193" s="1">
        <v>0.87319999999999998</v>
      </c>
      <c r="U1193" s="6">
        <v>177.25960000000001</v>
      </c>
    </row>
    <row r="1194" spans="1:21" x14ac:dyDescent="0.35">
      <c r="A1194">
        <v>1193</v>
      </c>
      <c r="B1194" s="5">
        <v>45389</v>
      </c>
      <c r="C1194" s="4">
        <v>2024</v>
      </c>
      <c r="D1194" s="4">
        <v>4</v>
      </c>
      <c r="E1194" s="14">
        <v>45389</v>
      </c>
      <c r="F1194" s="4">
        <v>7</v>
      </c>
      <c r="G1194">
        <v>254</v>
      </c>
      <c r="H1194">
        <v>248</v>
      </c>
      <c r="I1194" s="13">
        <v>0.97</v>
      </c>
      <c r="J1194">
        <v>6</v>
      </c>
      <c r="K1194" s="2">
        <v>1.1574074074074075E-4</v>
      </c>
      <c r="L1194" s="11">
        <v>41.333333333333329</v>
      </c>
      <c r="M1194" s="3">
        <v>0.16666666666666666</v>
      </c>
      <c r="N1194" s="4">
        <v>10</v>
      </c>
      <c r="O1194" s="2">
        <v>1.9444444444444444E-3</v>
      </c>
      <c r="P1194" s="9">
        <v>694.4</v>
      </c>
      <c r="Q1194" s="3">
        <v>2.8</v>
      </c>
      <c r="R1194" s="4">
        <v>168</v>
      </c>
      <c r="S1194" s="3">
        <v>225</v>
      </c>
      <c r="T1194" s="1">
        <v>0.90869999999999995</v>
      </c>
      <c r="U1194" s="6">
        <v>225.35759999999999</v>
      </c>
    </row>
    <row r="1195" spans="1:21" x14ac:dyDescent="0.35">
      <c r="A1195">
        <v>1194</v>
      </c>
      <c r="B1195" s="5">
        <v>45390</v>
      </c>
      <c r="C1195" s="4">
        <v>2024</v>
      </c>
      <c r="D1195" s="4">
        <v>4</v>
      </c>
      <c r="E1195" s="14">
        <v>45390</v>
      </c>
      <c r="F1195" s="4">
        <v>8</v>
      </c>
      <c r="G1195">
        <v>627</v>
      </c>
      <c r="H1195">
        <v>577</v>
      </c>
      <c r="I1195" s="13">
        <v>0.92</v>
      </c>
      <c r="J1195">
        <v>50</v>
      </c>
      <c r="K1195" s="2">
        <v>4.7453703703703704E-4</v>
      </c>
      <c r="L1195" s="11">
        <v>394.28333333333336</v>
      </c>
      <c r="M1195" s="3">
        <v>0.68333333333333335</v>
      </c>
      <c r="N1195" s="4">
        <v>41</v>
      </c>
      <c r="O1195" s="2">
        <v>1.8402777777777777E-3</v>
      </c>
      <c r="P1195" s="9">
        <v>1529.05</v>
      </c>
      <c r="Q1195" s="3">
        <v>2.65</v>
      </c>
      <c r="R1195" s="4">
        <v>159</v>
      </c>
      <c r="S1195" s="3">
        <v>275</v>
      </c>
      <c r="T1195" s="1">
        <v>0.47810000000000002</v>
      </c>
      <c r="U1195" s="6">
        <v>275.86369999999999</v>
      </c>
    </row>
    <row r="1196" spans="1:21" x14ac:dyDescent="0.35">
      <c r="A1196">
        <v>1195</v>
      </c>
      <c r="B1196" s="5">
        <v>45391</v>
      </c>
      <c r="C1196" s="4">
        <v>2024</v>
      </c>
      <c r="D1196" s="4">
        <v>4</v>
      </c>
      <c r="E1196" s="14">
        <v>45391</v>
      </c>
      <c r="F1196" s="4">
        <v>9</v>
      </c>
      <c r="G1196">
        <v>167</v>
      </c>
      <c r="H1196">
        <v>159</v>
      </c>
      <c r="I1196" s="13">
        <v>0.95</v>
      </c>
      <c r="J1196">
        <v>8</v>
      </c>
      <c r="K1196" s="2">
        <v>2.0833333333333335E-4</v>
      </c>
      <c r="L1196" s="11">
        <v>47.699999999999996</v>
      </c>
      <c r="M1196" s="3">
        <v>0.3</v>
      </c>
      <c r="N1196" s="4">
        <v>18</v>
      </c>
      <c r="O1196" s="2">
        <v>2.1990740740740742E-3</v>
      </c>
      <c r="P1196" s="9">
        <v>503.5</v>
      </c>
      <c r="Q1196" s="3">
        <v>3.1666666666666665</v>
      </c>
      <c r="R1196" s="4">
        <v>190</v>
      </c>
      <c r="S1196" s="3">
        <v>120</v>
      </c>
      <c r="T1196" s="1">
        <v>0.76049999999999995</v>
      </c>
      <c r="U1196" s="6">
        <v>120.9195</v>
      </c>
    </row>
    <row r="1197" spans="1:21" x14ac:dyDescent="0.35">
      <c r="A1197">
        <v>1196</v>
      </c>
      <c r="B1197" s="5">
        <v>45392</v>
      </c>
      <c r="C1197" s="4">
        <v>2024</v>
      </c>
      <c r="D1197" s="4">
        <v>4</v>
      </c>
      <c r="E1197" s="14">
        <v>45392</v>
      </c>
      <c r="F1197" s="4">
        <v>10</v>
      </c>
      <c r="G1197">
        <v>599</v>
      </c>
      <c r="H1197">
        <v>554</v>
      </c>
      <c r="I1197" s="13">
        <v>0.92</v>
      </c>
      <c r="J1197">
        <v>45</v>
      </c>
      <c r="K1197" s="2">
        <v>2.8935185185185184E-4</v>
      </c>
      <c r="L1197" s="11">
        <v>230.83333333333334</v>
      </c>
      <c r="M1197" s="3">
        <v>0.41666666666666669</v>
      </c>
      <c r="N1197" s="4">
        <v>25</v>
      </c>
      <c r="O1197" s="2">
        <v>1.7939814814814815E-3</v>
      </c>
      <c r="P1197" s="9">
        <v>1431.1666666666667</v>
      </c>
      <c r="Q1197" s="3">
        <v>2.5833333333333335</v>
      </c>
      <c r="R1197" s="4">
        <v>155</v>
      </c>
      <c r="S1197" s="3">
        <v>352</v>
      </c>
      <c r="T1197" s="1">
        <v>0.63560000000000005</v>
      </c>
      <c r="U1197" s="6">
        <v>352.12240000000003</v>
      </c>
    </row>
    <row r="1198" spans="1:21" x14ac:dyDescent="0.35">
      <c r="A1198">
        <v>1197</v>
      </c>
      <c r="B1198" s="5">
        <v>45393</v>
      </c>
      <c r="C1198" s="4">
        <v>2024</v>
      </c>
      <c r="D1198" s="4">
        <v>4</v>
      </c>
      <c r="E1198" s="14">
        <v>45393</v>
      </c>
      <c r="F1198" s="4">
        <v>11</v>
      </c>
      <c r="G1198">
        <v>304</v>
      </c>
      <c r="H1198">
        <v>300</v>
      </c>
      <c r="I1198" s="13">
        <v>0.98</v>
      </c>
      <c r="J1198">
        <v>4</v>
      </c>
      <c r="K1198" s="2">
        <v>8.1018518518518516E-5</v>
      </c>
      <c r="L1198" s="11">
        <v>35</v>
      </c>
      <c r="M1198" s="3">
        <v>0.11666666666666667</v>
      </c>
      <c r="N1198" s="4">
        <v>7</v>
      </c>
      <c r="O1198" s="2">
        <v>1.7939814814814815E-3</v>
      </c>
      <c r="P1198" s="9">
        <v>775</v>
      </c>
      <c r="Q1198" s="3">
        <v>2.5833333333333335</v>
      </c>
      <c r="R1198" s="4">
        <v>155</v>
      </c>
      <c r="S1198" s="3">
        <v>277</v>
      </c>
      <c r="T1198" s="1">
        <v>0.92410000000000003</v>
      </c>
      <c r="U1198" s="6">
        <v>277.23</v>
      </c>
    </row>
    <row r="1199" spans="1:21" x14ac:dyDescent="0.35">
      <c r="A1199">
        <v>1198</v>
      </c>
      <c r="B1199" s="5">
        <v>45394</v>
      </c>
      <c r="C1199" s="4">
        <v>2024</v>
      </c>
      <c r="D1199" s="4">
        <v>4</v>
      </c>
      <c r="E1199" s="14">
        <v>45394</v>
      </c>
      <c r="F1199" s="4">
        <v>12</v>
      </c>
      <c r="G1199">
        <v>267</v>
      </c>
      <c r="H1199">
        <v>260</v>
      </c>
      <c r="I1199" s="13">
        <v>0.97</v>
      </c>
      <c r="J1199">
        <v>7</v>
      </c>
      <c r="K1199" s="2">
        <v>9.2592592592592588E-5</v>
      </c>
      <c r="L1199" s="11">
        <v>34.666666666666664</v>
      </c>
      <c r="M1199" s="3">
        <v>0.13333333333333333</v>
      </c>
      <c r="N1199" s="4">
        <v>8</v>
      </c>
      <c r="O1199" s="2">
        <v>2.0370370370370369E-3</v>
      </c>
      <c r="P1199" s="9">
        <v>762.66666666666674</v>
      </c>
      <c r="Q1199" s="3">
        <v>2.9333333333333336</v>
      </c>
      <c r="R1199" s="4">
        <v>176</v>
      </c>
      <c r="S1199" s="3">
        <v>236</v>
      </c>
      <c r="T1199" s="1">
        <v>0.90910000000000002</v>
      </c>
      <c r="U1199" s="6">
        <v>236.36600000000001</v>
      </c>
    </row>
    <row r="1200" spans="1:21" x14ac:dyDescent="0.35">
      <c r="A1200">
        <v>1199</v>
      </c>
      <c r="B1200" s="5">
        <v>45395</v>
      </c>
      <c r="C1200" s="4">
        <v>2024</v>
      </c>
      <c r="D1200" s="4">
        <v>4</v>
      </c>
      <c r="E1200" s="14">
        <v>45395</v>
      </c>
      <c r="F1200" s="4">
        <v>13</v>
      </c>
      <c r="G1200">
        <v>286</v>
      </c>
      <c r="H1200">
        <v>281</v>
      </c>
      <c r="I1200" s="13">
        <v>0.98</v>
      </c>
      <c r="J1200">
        <v>5</v>
      </c>
      <c r="K1200" s="2">
        <v>1.273148148148148E-4</v>
      </c>
      <c r="L1200" s="11">
        <v>51.516666666666666</v>
      </c>
      <c r="M1200" s="3">
        <v>0.18333333333333332</v>
      </c>
      <c r="N1200" s="4">
        <v>11</v>
      </c>
      <c r="O1200" s="2">
        <v>1.8518518518518519E-3</v>
      </c>
      <c r="P1200" s="9">
        <v>749.33333333333326</v>
      </c>
      <c r="Q1200" s="3">
        <v>2.6666666666666665</v>
      </c>
      <c r="R1200" s="4">
        <v>160</v>
      </c>
      <c r="S1200" s="3">
        <v>244</v>
      </c>
      <c r="T1200" s="1">
        <v>0.86970000000000003</v>
      </c>
      <c r="U1200" s="6">
        <v>244.38570000000001</v>
      </c>
    </row>
    <row r="1201" spans="1:21" x14ac:dyDescent="0.35">
      <c r="A1201">
        <v>1200</v>
      </c>
      <c r="B1201" s="5">
        <v>45396</v>
      </c>
      <c r="C1201" s="4">
        <v>2024</v>
      </c>
      <c r="D1201" s="4">
        <v>4</v>
      </c>
      <c r="E1201" s="14">
        <v>45396</v>
      </c>
      <c r="F1201" s="4">
        <v>14</v>
      </c>
      <c r="G1201">
        <v>196</v>
      </c>
      <c r="H1201">
        <v>192</v>
      </c>
      <c r="I1201" s="13">
        <v>0.97</v>
      </c>
      <c r="J1201">
        <v>4</v>
      </c>
      <c r="K1201" s="2">
        <v>1.5046296296296297E-4</v>
      </c>
      <c r="L1201" s="11">
        <v>41.6</v>
      </c>
      <c r="M1201" s="3">
        <v>0.21666666666666667</v>
      </c>
      <c r="N1201" s="4">
        <v>13</v>
      </c>
      <c r="O1201" s="2">
        <v>1.8865740740740742E-3</v>
      </c>
      <c r="P1201" s="9">
        <v>521.6</v>
      </c>
      <c r="Q1201" s="3">
        <v>2.7166666666666668</v>
      </c>
      <c r="R1201" s="4">
        <v>163</v>
      </c>
      <c r="S1201" s="3">
        <v>164</v>
      </c>
      <c r="T1201" s="1">
        <v>0.85640000000000005</v>
      </c>
      <c r="U1201" s="6">
        <v>164.42880000000002</v>
      </c>
    </row>
    <row r="1202" spans="1:21" x14ac:dyDescent="0.35">
      <c r="A1202">
        <v>1201</v>
      </c>
      <c r="B1202" s="5">
        <v>45397</v>
      </c>
      <c r="C1202" s="4">
        <v>2024</v>
      </c>
      <c r="D1202" s="4">
        <v>4</v>
      </c>
      <c r="E1202" s="14">
        <v>45397</v>
      </c>
      <c r="F1202" s="4">
        <v>15</v>
      </c>
      <c r="G1202">
        <v>191</v>
      </c>
      <c r="H1202">
        <v>189</v>
      </c>
      <c r="I1202" s="13">
        <v>0.98</v>
      </c>
      <c r="J1202">
        <v>2</v>
      </c>
      <c r="K1202" s="2">
        <v>1.273148148148148E-4</v>
      </c>
      <c r="L1202" s="11">
        <v>34.65</v>
      </c>
      <c r="M1202" s="3">
        <v>0.18333333333333332</v>
      </c>
      <c r="N1202" s="4">
        <v>11</v>
      </c>
      <c r="O1202" s="2">
        <v>2.0833333333333333E-3</v>
      </c>
      <c r="P1202" s="9">
        <v>567</v>
      </c>
      <c r="Q1202" s="3">
        <v>3</v>
      </c>
      <c r="R1202" s="4">
        <v>180</v>
      </c>
      <c r="S1202" s="3">
        <v>167</v>
      </c>
      <c r="T1202" s="1">
        <v>0.88419999999999999</v>
      </c>
      <c r="U1202" s="6">
        <v>167.1138</v>
      </c>
    </row>
    <row r="1203" spans="1:21" x14ac:dyDescent="0.35">
      <c r="A1203">
        <v>1202</v>
      </c>
      <c r="B1203" s="5">
        <v>45398</v>
      </c>
      <c r="C1203" s="4">
        <v>2024</v>
      </c>
      <c r="D1203" s="4">
        <v>4</v>
      </c>
      <c r="E1203" s="14">
        <v>45398</v>
      </c>
      <c r="F1203" s="4">
        <v>16</v>
      </c>
      <c r="G1203">
        <v>60</v>
      </c>
      <c r="H1203">
        <v>60</v>
      </c>
      <c r="I1203" s="13">
        <v>1</v>
      </c>
      <c r="J1203">
        <v>0</v>
      </c>
      <c r="K1203" s="2">
        <v>6.9444444444444444E-5</v>
      </c>
      <c r="L1203" s="11">
        <v>6</v>
      </c>
      <c r="M1203" s="3">
        <v>0.1</v>
      </c>
      <c r="N1203" s="4">
        <v>6</v>
      </c>
      <c r="O1203" s="2">
        <v>1.3657407407407407E-3</v>
      </c>
      <c r="P1203" s="9">
        <v>118</v>
      </c>
      <c r="Q1203" s="3">
        <v>1.9666666666666668</v>
      </c>
      <c r="R1203" s="4">
        <v>118</v>
      </c>
      <c r="S1203" s="3">
        <v>58</v>
      </c>
      <c r="T1203" s="1">
        <v>0.9667</v>
      </c>
      <c r="U1203" s="6">
        <v>58.002000000000002</v>
      </c>
    </row>
    <row r="1204" spans="1:21" x14ac:dyDescent="0.35">
      <c r="A1204">
        <v>1203</v>
      </c>
      <c r="B1204" s="5">
        <v>45399</v>
      </c>
      <c r="C1204" s="4">
        <v>2024</v>
      </c>
      <c r="D1204" s="4">
        <v>4</v>
      </c>
      <c r="E1204" s="14">
        <v>45399</v>
      </c>
      <c r="F1204" s="4">
        <v>17</v>
      </c>
      <c r="G1204">
        <v>215</v>
      </c>
      <c r="H1204">
        <v>207</v>
      </c>
      <c r="I1204" s="13">
        <v>0.96</v>
      </c>
      <c r="J1204">
        <v>8</v>
      </c>
      <c r="K1204" s="2">
        <v>1.1574074074074075E-4</v>
      </c>
      <c r="L1204" s="11">
        <v>34.5</v>
      </c>
      <c r="M1204" s="3">
        <v>0.16666666666666666</v>
      </c>
      <c r="N1204" s="4">
        <v>10</v>
      </c>
      <c r="O1204" s="2">
        <v>1.8518518518518519E-3</v>
      </c>
      <c r="P1204" s="9">
        <v>552</v>
      </c>
      <c r="Q1204" s="3">
        <v>2.6666666666666665</v>
      </c>
      <c r="R1204" s="4">
        <v>160</v>
      </c>
      <c r="S1204" s="3">
        <v>187</v>
      </c>
      <c r="T1204" s="1">
        <v>0.90429999999999999</v>
      </c>
      <c r="U1204" s="6">
        <v>187.1901</v>
      </c>
    </row>
    <row r="1205" spans="1:21" x14ac:dyDescent="0.35">
      <c r="A1205">
        <v>1204</v>
      </c>
      <c r="B1205" s="5">
        <v>45400</v>
      </c>
      <c r="C1205" s="4">
        <v>2024</v>
      </c>
      <c r="D1205" s="4">
        <v>4</v>
      </c>
      <c r="E1205" s="14">
        <v>45400</v>
      </c>
      <c r="F1205" s="4">
        <v>18</v>
      </c>
      <c r="G1205">
        <v>221</v>
      </c>
      <c r="H1205">
        <v>213</v>
      </c>
      <c r="I1205" s="13">
        <v>0.96</v>
      </c>
      <c r="J1205">
        <v>8</v>
      </c>
      <c r="K1205" s="2">
        <v>9.2592592592592588E-5</v>
      </c>
      <c r="L1205" s="11">
        <v>28.4</v>
      </c>
      <c r="M1205" s="3">
        <v>0.13333333333333333</v>
      </c>
      <c r="N1205" s="4">
        <v>8</v>
      </c>
      <c r="O1205" s="2">
        <v>1.7939814814814815E-3</v>
      </c>
      <c r="P1205" s="9">
        <v>550.25</v>
      </c>
      <c r="Q1205" s="3">
        <v>2.5833333333333335</v>
      </c>
      <c r="R1205" s="4">
        <v>155</v>
      </c>
      <c r="S1205" s="3">
        <v>192</v>
      </c>
      <c r="T1205" s="1">
        <v>0.90449999999999997</v>
      </c>
      <c r="U1205" s="6">
        <v>192.6585</v>
      </c>
    </row>
    <row r="1206" spans="1:21" x14ac:dyDescent="0.35">
      <c r="A1206">
        <v>1205</v>
      </c>
      <c r="B1206" s="5">
        <v>45401</v>
      </c>
      <c r="C1206" s="4">
        <v>2024</v>
      </c>
      <c r="D1206" s="4">
        <v>4</v>
      </c>
      <c r="E1206" s="14">
        <v>45401</v>
      </c>
      <c r="F1206" s="4">
        <v>19</v>
      </c>
      <c r="G1206">
        <v>201</v>
      </c>
      <c r="H1206">
        <v>193</v>
      </c>
      <c r="I1206" s="13">
        <v>0.96</v>
      </c>
      <c r="J1206">
        <v>8</v>
      </c>
      <c r="K1206" s="2">
        <v>3.4722222222222222E-5</v>
      </c>
      <c r="L1206" s="11">
        <v>9.65</v>
      </c>
      <c r="M1206" s="3">
        <v>0.05</v>
      </c>
      <c r="N1206" s="4">
        <v>3</v>
      </c>
      <c r="O1206" s="2">
        <v>1.9212962962962964E-3</v>
      </c>
      <c r="P1206" s="9">
        <v>533.9666666666667</v>
      </c>
      <c r="Q1206" s="3">
        <v>2.7666666666666666</v>
      </c>
      <c r="R1206" s="4">
        <v>166</v>
      </c>
      <c r="S1206" s="3">
        <v>190</v>
      </c>
      <c r="T1206" s="1">
        <v>0.98450000000000004</v>
      </c>
      <c r="U1206" s="6">
        <v>190.0085</v>
      </c>
    </row>
    <row r="1207" spans="1:21" x14ac:dyDescent="0.35">
      <c r="A1207">
        <v>1206</v>
      </c>
      <c r="B1207" s="5">
        <v>45402</v>
      </c>
      <c r="C1207" s="4">
        <v>2024</v>
      </c>
      <c r="D1207" s="4">
        <v>4</v>
      </c>
      <c r="E1207" s="14">
        <v>45402</v>
      </c>
      <c r="F1207" s="4">
        <v>20</v>
      </c>
      <c r="G1207">
        <v>205</v>
      </c>
      <c r="H1207">
        <v>202</v>
      </c>
      <c r="I1207" s="13">
        <v>0.98</v>
      </c>
      <c r="J1207">
        <v>3</v>
      </c>
      <c r="K1207" s="2">
        <v>5.7870370370370373E-5</v>
      </c>
      <c r="L1207" s="11">
        <v>16.833333333333332</v>
      </c>
      <c r="M1207" s="3">
        <v>8.3333333333333329E-2</v>
      </c>
      <c r="N1207" s="4">
        <v>5</v>
      </c>
      <c r="O1207" s="2">
        <v>1.9444444444444444E-3</v>
      </c>
      <c r="P1207" s="9">
        <v>565.59999999999991</v>
      </c>
      <c r="Q1207" s="3">
        <v>2.8</v>
      </c>
      <c r="R1207" s="4">
        <v>168</v>
      </c>
      <c r="S1207" s="3">
        <v>194</v>
      </c>
      <c r="T1207" s="1">
        <v>0.96060000000000001</v>
      </c>
      <c r="U1207" s="6">
        <v>194.0412</v>
      </c>
    </row>
    <row r="1208" spans="1:21" x14ac:dyDescent="0.35">
      <c r="A1208">
        <v>1207</v>
      </c>
      <c r="B1208" s="5">
        <v>45403</v>
      </c>
      <c r="C1208" s="4">
        <v>2024</v>
      </c>
      <c r="D1208" s="4">
        <v>4</v>
      </c>
      <c r="E1208" s="14">
        <v>45403</v>
      </c>
      <c r="F1208" s="4">
        <v>21</v>
      </c>
      <c r="G1208">
        <v>201</v>
      </c>
      <c r="H1208">
        <v>194</v>
      </c>
      <c r="I1208" s="13">
        <v>0.96</v>
      </c>
      <c r="J1208">
        <v>7</v>
      </c>
      <c r="K1208" s="2">
        <v>1.6203703703703703E-4</v>
      </c>
      <c r="L1208" s="11">
        <v>45.266666666666666</v>
      </c>
      <c r="M1208" s="3">
        <v>0.23333333333333334</v>
      </c>
      <c r="N1208" s="4">
        <v>14</v>
      </c>
      <c r="O1208" s="2">
        <v>1.8981481481481482E-3</v>
      </c>
      <c r="P1208" s="9">
        <v>530.26666666666665</v>
      </c>
      <c r="Q1208" s="3">
        <v>2.7333333333333334</v>
      </c>
      <c r="R1208" s="4">
        <v>164</v>
      </c>
      <c r="S1208" s="3">
        <v>163</v>
      </c>
      <c r="T1208" s="1">
        <v>0.84260000000000002</v>
      </c>
      <c r="U1208" s="6">
        <v>163.46440000000001</v>
      </c>
    </row>
    <row r="1209" spans="1:21" x14ac:dyDescent="0.35">
      <c r="A1209">
        <v>1208</v>
      </c>
      <c r="B1209" s="5">
        <v>45404</v>
      </c>
      <c r="C1209" s="4">
        <v>2024</v>
      </c>
      <c r="D1209" s="4">
        <v>4</v>
      </c>
      <c r="E1209" s="14">
        <v>45404</v>
      </c>
      <c r="F1209" s="4">
        <v>22</v>
      </c>
      <c r="G1209">
        <v>140</v>
      </c>
      <c r="H1209">
        <v>132</v>
      </c>
      <c r="I1209" s="13">
        <v>0.94</v>
      </c>
      <c r="J1209">
        <v>8</v>
      </c>
      <c r="K1209" s="2">
        <v>8.1018518518518516E-5</v>
      </c>
      <c r="L1209" s="11">
        <v>15.4</v>
      </c>
      <c r="M1209" s="3">
        <v>0.11666666666666667</v>
      </c>
      <c r="N1209" s="4">
        <v>7</v>
      </c>
      <c r="O1209" s="2">
        <v>1.2847222222222223E-3</v>
      </c>
      <c r="P1209" s="9">
        <v>244.20000000000002</v>
      </c>
      <c r="Q1209" s="3">
        <v>1.85</v>
      </c>
      <c r="R1209" s="4">
        <v>111</v>
      </c>
      <c r="S1209" s="3">
        <v>122</v>
      </c>
      <c r="T1209" s="1">
        <v>0.92479999999999996</v>
      </c>
      <c r="U1209" s="6">
        <v>122.0736</v>
      </c>
    </row>
    <row r="1210" spans="1:21" x14ac:dyDescent="0.35">
      <c r="A1210">
        <v>1209</v>
      </c>
      <c r="B1210" s="5">
        <v>45405</v>
      </c>
      <c r="C1210" s="4">
        <v>2024</v>
      </c>
      <c r="D1210" s="4">
        <v>4</v>
      </c>
      <c r="E1210" s="14">
        <v>45405</v>
      </c>
      <c r="F1210" s="4">
        <v>23</v>
      </c>
      <c r="G1210">
        <v>29</v>
      </c>
      <c r="H1210">
        <v>28</v>
      </c>
      <c r="I1210" s="13">
        <v>0.96</v>
      </c>
      <c r="J1210">
        <v>1</v>
      </c>
      <c r="K1210" s="2">
        <v>1.5046296296296297E-4</v>
      </c>
      <c r="L1210" s="11">
        <v>6.0666666666666664</v>
      </c>
      <c r="M1210" s="3">
        <v>0.21666666666666667</v>
      </c>
      <c r="N1210" s="4">
        <v>13</v>
      </c>
      <c r="O1210" s="2">
        <v>2.1875000000000002E-3</v>
      </c>
      <c r="P1210" s="9">
        <v>88.2</v>
      </c>
      <c r="Q1210" s="3">
        <v>3.15</v>
      </c>
      <c r="R1210" s="4">
        <v>189</v>
      </c>
      <c r="S1210" s="3">
        <v>23</v>
      </c>
      <c r="T1210" s="1">
        <v>0.8276</v>
      </c>
      <c r="U1210" s="6">
        <v>23.172799999999999</v>
      </c>
    </row>
    <row r="1211" spans="1:21" x14ac:dyDescent="0.35">
      <c r="A1211">
        <v>1210</v>
      </c>
      <c r="B1211" s="5">
        <v>45406</v>
      </c>
      <c r="C1211" s="4">
        <v>2024</v>
      </c>
      <c r="D1211" s="4">
        <v>4</v>
      </c>
      <c r="E1211" s="14">
        <v>45406</v>
      </c>
      <c r="F1211" s="4">
        <v>24</v>
      </c>
      <c r="G1211">
        <v>398</v>
      </c>
      <c r="H1211">
        <v>372</v>
      </c>
      <c r="I1211" s="13">
        <v>0.93</v>
      </c>
      <c r="J1211">
        <v>26</v>
      </c>
      <c r="K1211" s="2">
        <v>2.4305555555555555E-4</v>
      </c>
      <c r="L1211" s="11">
        <v>130.19999999999999</v>
      </c>
      <c r="M1211" s="3">
        <v>0.35</v>
      </c>
      <c r="N1211" s="4">
        <v>21</v>
      </c>
      <c r="O1211" s="2">
        <v>1.9791666666666668E-3</v>
      </c>
      <c r="P1211" s="9">
        <v>1060.2</v>
      </c>
      <c r="Q1211" s="3">
        <v>2.85</v>
      </c>
      <c r="R1211" s="4">
        <v>171</v>
      </c>
      <c r="S1211" s="3">
        <v>269</v>
      </c>
      <c r="T1211" s="1">
        <v>0.72519999999999996</v>
      </c>
      <c r="U1211" s="6">
        <v>269.77439999999996</v>
      </c>
    </row>
    <row r="1212" spans="1:21" x14ac:dyDescent="0.35">
      <c r="A1212">
        <v>1211</v>
      </c>
      <c r="B1212" s="5">
        <v>45407</v>
      </c>
      <c r="C1212" s="4">
        <v>2024</v>
      </c>
      <c r="D1212" s="4">
        <v>4</v>
      </c>
      <c r="E1212" s="14">
        <v>45407</v>
      </c>
      <c r="F1212" s="4">
        <v>25</v>
      </c>
      <c r="G1212">
        <v>255</v>
      </c>
      <c r="H1212">
        <v>249</v>
      </c>
      <c r="I1212" s="13">
        <v>0.97</v>
      </c>
      <c r="J1212">
        <v>6</v>
      </c>
      <c r="K1212" s="2">
        <v>1.7361111111111112E-4</v>
      </c>
      <c r="L1212" s="11">
        <v>62.25</v>
      </c>
      <c r="M1212" s="3">
        <v>0.25</v>
      </c>
      <c r="N1212" s="4">
        <v>15</v>
      </c>
      <c r="O1212" s="2">
        <v>2.0949074074074073E-3</v>
      </c>
      <c r="P1212" s="9">
        <v>751.15</v>
      </c>
      <c r="Q1212" s="3">
        <v>3.0166666666666666</v>
      </c>
      <c r="R1212" s="4">
        <v>181</v>
      </c>
      <c r="S1212" s="3">
        <v>207</v>
      </c>
      <c r="T1212" s="1">
        <v>0.83330000000000004</v>
      </c>
      <c r="U1212" s="6">
        <v>207.49170000000001</v>
      </c>
    </row>
    <row r="1213" spans="1:21" x14ac:dyDescent="0.35">
      <c r="A1213">
        <v>1212</v>
      </c>
      <c r="B1213" s="5">
        <v>45408</v>
      </c>
      <c r="C1213" s="4">
        <v>2024</v>
      </c>
      <c r="D1213" s="4">
        <v>4</v>
      </c>
      <c r="E1213" s="14">
        <v>45408</v>
      </c>
      <c r="F1213" s="4">
        <v>26</v>
      </c>
      <c r="G1213">
        <v>283</v>
      </c>
      <c r="H1213">
        <v>278</v>
      </c>
      <c r="I1213" s="13">
        <v>0.98</v>
      </c>
      <c r="J1213">
        <v>5</v>
      </c>
      <c r="K1213" s="2">
        <v>1.9675925925925926E-4</v>
      </c>
      <c r="L1213" s="11">
        <v>78.766666666666666</v>
      </c>
      <c r="M1213" s="3">
        <v>0.28333333333333333</v>
      </c>
      <c r="N1213" s="4">
        <v>17</v>
      </c>
      <c r="O1213" s="2">
        <v>1.8287037037037037E-3</v>
      </c>
      <c r="P1213" s="9">
        <v>732.06666666666661</v>
      </c>
      <c r="Q1213" s="3">
        <v>2.6333333333333333</v>
      </c>
      <c r="R1213" s="4">
        <v>158</v>
      </c>
      <c r="S1213" s="3">
        <v>221</v>
      </c>
      <c r="T1213" s="1">
        <v>0.79569999999999996</v>
      </c>
      <c r="U1213" s="6">
        <v>221.2046</v>
      </c>
    </row>
    <row r="1214" spans="1:21" x14ac:dyDescent="0.35">
      <c r="A1214">
        <v>1213</v>
      </c>
      <c r="B1214" s="5">
        <v>45409</v>
      </c>
      <c r="C1214" s="4">
        <v>2024</v>
      </c>
      <c r="D1214" s="4">
        <v>4</v>
      </c>
      <c r="E1214" s="14">
        <v>45409</v>
      </c>
      <c r="F1214" s="4">
        <v>27</v>
      </c>
      <c r="G1214">
        <v>230</v>
      </c>
      <c r="H1214">
        <v>222</v>
      </c>
      <c r="I1214" s="13">
        <v>0.96</v>
      </c>
      <c r="J1214">
        <v>8</v>
      </c>
      <c r="K1214" s="2">
        <v>2.4305555555555555E-4</v>
      </c>
      <c r="L1214" s="11">
        <v>77.699999999999989</v>
      </c>
      <c r="M1214" s="3">
        <v>0.35</v>
      </c>
      <c r="N1214" s="4">
        <v>21</v>
      </c>
      <c r="O1214" s="2">
        <v>1.9212962962962964E-3</v>
      </c>
      <c r="P1214" s="9">
        <v>614.19999999999993</v>
      </c>
      <c r="Q1214" s="3">
        <v>2.7666666666666666</v>
      </c>
      <c r="R1214" s="4">
        <v>166</v>
      </c>
      <c r="S1214" s="3">
        <v>160</v>
      </c>
      <c r="T1214" s="1">
        <v>0.72250000000000003</v>
      </c>
      <c r="U1214" s="6">
        <v>160.39500000000001</v>
      </c>
    </row>
    <row r="1215" spans="1:21" x14ac:dyDescent="0.35">
      <c r="A1215">
        <v>1214</v>
      </c>
      <c r="B1215" s="5">
        <v>45410</v>
      </c>
      <c r="C1215" s="4">
        <v>2024</v>
      </c>
      <c r="D1215" s="4">
        <v>4</v>
      </c>
      <c r="E1215" s="14">
        <v>45410</v>
      </c>
      <c r="F1215" s="4">
        <v>28</v>
      </c>
      <c r="G1215">
        <v>185</v>
      </c>
      <c r="H1215">
        <v>183</v>
      </c>
      <c r="I1215" s="13">
        <v>0.98</v>
      </c>
      <c r="J1215">
        <v>2</v>
      </c>
      <c r="K1215" s="2">
        <v>1.1574074074074075E-4</v>
      </c>
      <c r="L1215" s="11">
        <v>30.5</v>
      </c>
      <c r="M1215" s="3">
        <v>0.16666666666666666</v>
      </c>
      <c r="N1215" s="4">
        <v>10</v>
      </c>
      <c r="O1215" s="2">
        <v>2.2569444444444442E-3</v>
      </c>
      <c r="P1215" s="9">
        <v>594.75</v>
      </c>
      <c r="Q1215" s="3">
        <v>3.25</v>
      </c>
      <c r="R1215" s="4">
        <v>195</v>
      </c>
      <c r="S1215" s="3">
        <v>164</v>
      </c>
      <c r="T1215" s="1">
        <v>0.89729999999999999</v>
      </c>
      <c r="U1215" s="6">
        <v>164.20589999999999</v>
      </c>
    </row>
    <row r="1216" spans="1:21" x14ac:dyDescent="0.35">
      <c r="A1216">
        <v>1215</v>
      </c>
      <c r="B1216" s="5">
        <v>45411</v>
      </c>
      <c r="C1216" s="4">
        <v>2024</v>
      </c>
      <c r="D1216" s="4">
        <v>4</v>
      </c>
      <c r="E1216" s="14">
        <v>45411</v>
      </c>
      <c r="F1216" s="4">
        <v>29</v>
      </c>
      <c r="G1216">
        <v>197</v>
      </c>
      <c r="H1216">
        <v>194</v>
      </c>
      <c r="I1216" s="13">
        <v>0.98</v>
      </c>
      <c r="J1216">
        <v>3</v>
      </c>
      <c r="K1216" s="2">
        <v>1.5046296296296297E-4</v>
      </c>
      <c r="L1216" s="11">
        <v>42.033333333333331</v>
      </c>
      <c r="M1216" s="3">
        <v>0.21666666666666667</v>
      </c>
      <c r="N1216" s="4">
        <v>13</v>
      </c>
      <c r="O1216" s="2">
        <v>1.9560185185185184E-3</v>
      </c>
      <c r="P1216" s="9">
        <v>546.43333333333328</v>
      </c>
      <c r="Q1216" s="3">
        <v>2.8166666666666664</v>
      </c>
      <c r="R1216" s="4">
        <v>169</v>
      </c>
      <c r="S1216" s="3">
        <v>160</v>
      </c>
      <c r="T1216" s="1">
        <v>0.82650000000000001</v>
      </c>
      <c r="U1216" s="6">
        <v>160.34100000000001</v>
      </c>
    </row>
    <row r="1217" spans="1:21" x14ac:dyDescent="0.35">
      <c r="A1217">
        <v>1216</v>
      </c>
      <c r="B1217" s="5">
        <v>45412</v>
      </c>
      <c r="C1217" s="4">
        <v>2024</v>
      </c>
      <c r="D1217" s="4">
        <v>4</v>
      </c>
      <c r="E1217" s="14">
        <v>45412</v>
      </c>
      <c r="F1217" s="4">
        <v>30</v>
      </c>
      <c r="G1217">
        <v>15</v>
      </c>
      <c r="H1217">
        <v>14</v>
      </c>
      <c r="I1217" s="13">
        <v>0.93</v>
      </c>
      <c r="J1217">
        <v>1</v>
      </c>
      <c r="K1217" s="2">
        <v>1.3888888888888889E-4</v>
      </c>
      <c r="L1217" s="11">
        <v>2.8000000000000003</v>
      </c>
      <c r="M1217" s="3">
        <v>0.2</v>
      </c>
      <c r="N1217" s="4">
        <v>12</v>
      </c>
      <c r="O1217" s="2">
        <v>2.2453703703703702E-3</v>
      </c>
      <c r="P1217" s="9">
        <v>45.266666666666666</v>
      </c>
      <c r="Q1217" s="3">
        <v>3.2333333333333334</v>
      </c>
      <c r="R1217" s="4">
        <v>194</v>
      </c>
      <c r="S1217" s="3">
        <v>12</v>
      </c>
      <c r="T1217" s="1">
        <v>0.86670000000000003</v>
      </c>
      <c r="U1217" s="6">
        <v>12.133800000000001</v>
      </c>
    </row>
    <row r="1218" spans="1:21" x14ac:dyDescent="0.35">
      <c r="A1218">
        <v>1217</v>
      </c>
      <c r="B1218" s="5">
        <v>45413</v>
      </c>
      <c r="C1218" s="4">
        <v>2024</v>
      </c>
      <c r="D1218" s="4">
        <v>5</v>
      </c>
      <c r="E1218" s="14">
        <v>45413</v>
      </c>
      <c r="F1218" s="4">
        <v>1</v>
      </c>
      <c r="G1218">
        <v>230</v>
      </c>
      <c r="H1218">
        <v>228</v>
      </c>
      <c r="I1218" s="13">
        <v>0.99</v>
      </c>
      <c r="J1218">
        <v>2</v>
      </c>
      <c r="K1218" s="2">
        <v>8.1018518518518516E-5</v>
      </c>
      <c r="L1218" s="11">
        <v>26.6</v>
      </c>
      <c r="M1218" s="3">
        <v>0.11666666666666667</v>
      </c>
      <c r="N1218" s="4">
        <v>7</v>
      </c>
      <c r="O1218" s="2">
        <v>1.9328703703703704E-3</v>
      </c>
      <c r="P1218" s="9">
        <v>634.6</v>
      </c>
      <c r="Q1218" s="3">
        <v>2.7833333333333332</v>
      </c>
      <c r="R1218" s="4">
        <v>167</v>
      </c>
      <c r="S1218" s="3">
        <v>214</v>
      </c>
      <c r="T1218" s="1">
        <v>0.93889999999999996</v>
      </c>
      <c r="U1218" s="6">
        <v>214.0692</v>
      </c>
    </row>
    <row r="1219" spans="1:21" x14ac:dyDescent="0.35">
      <c r="A1219">
        <v>1218</v>
      </c>
      <c r="B1219" s="5">
        <v>45414</v>
      </c>
      <c r="C1219" s="4">
        <v>2024</v>
      </c>
      <c r="D1219" s="4">
        <v>5</v>
      </c>
      <c r="E1219" s="14">
        <v>45414</v>
      </c>
      <c r="F1219" s="4">
        <v>2</v>
      </c>
      <c r="G1219">
        <v>232</v>
      </c>
      <c r="H1219">
        <v>224</v>
      </c>
      <c r="I1219" s="13">
        <v>0.96</v>
      </c>
      <c r="J1219">
        <v>8</v>
      </c>
      <c r="K1219" s="2">
        <v>1.3888888888888889E-4</v>
      </c>
      <c r="L1219" s="11">
        <v>44.800000000000004</v>
      </c>
      <c r="M1219" s="3">
        <v>0.2</v>
      </c>
      <c r="N1219" s="4">
        <v>12</v>
      </c>
      <c r="O1219" s="2">
        <v>1.9791666666666668E-3</v>
      </c>
      <c r="P1219" s="9">
        <v>638.4</v>
      </c>
      <c r="Q1219" s="3">
        <v>2.85</v>
      </c>
      <c r="R1219" s="4">
        <v>171</v>
      </c>
      <c r="S1219" s="3">
        <v>193</v>
      </c>
      <c r="T1219" s="1">
        <v>0.86460000000000004</v>
      </c>
      <c r="U1219" s="6">
        <v>193.6704</v>
      </c>
    </row>
    <row r="1220" spans="1:21" x14ac:dyDescent="0.35">
      <c r="A1220">
        <v>1219</v>
      </c>
      <c r="B1220" s="5">
        <v>45415</v>
      </c>
      <c r="C1220" s="4">
        <v>2024</v>
      </c>
      <c r="D1220" s="4">
        <v>5</v>
      </c>
      <c r="E1220" s="14">
        <v>45415</v>
      </c>
      <c r="F1220" s="4">
        <v>3</v>
      </c>
      <c r="G1220">
        <v>237</v>
      </c>
      <c r="H1220">
        <v>231</v>
      </c>
      <c r="I1220" s="13">
        <v>0.97</v>
      </c>
      <c r="J1220">
        <v>6</v>
      </c>
      <c r="K1220" s="2">
        <v>1.273148148148148E-4</v>
      </c>
      <c r="L1220" s="11">
        <v>42.349999999999994</v>
      </c>
      <c r="M1220" s="3">
        <v>0.18333333333333332</v>
      </c>
      <c r="N1220" s="4">
        <v>11</v>
      </c>
      <c r="O1220" s="2">
        <v>2.0949074074074073E-3</v>
      </c>
      <c r="P1220" s="9">
        <v>696.85</v>
      </c>
      <c r="Q1220" s="3">
        <v>3.0166666666666666</v>
      </c>
      <c r="R1220" s="4">
        <v>181</v>
      </c>
      <c r="S1220" s="3">
        <v>202</v>
      </c>
      <c r="T1220" s="1">
        <v>0.87709999999999999</v>
      </c>
      <c r="U1220" s="6">
        <v>202.61009999999999</v>
      </c>
    </row>
    <row r="1221" spans="1:21" x14ac:dyDescent="0.35">
      <c r="A1221">
        <v>1220</v>
      </c>
      <c r="B1221" s="5">
        <v>45416</v>
      </c>
      <c r="C1221" s="4">
        <v>2024</v>
      </c>
      <c r="D1221" s="4">
        <v>5</v>
      </c>
      <c r="E1221" s="14">
        <v>45416</v>
      </c>
      <c r="F1221" s="4">
        <v>4</v>
      </c>
      <c r="G1221">
        <v>42</v>
      </c>
      <c r="H1221">
        <v>39</v>
      </c>
      <c r="I1221" s="13">
        <v>0.92</v>
      </c>
      <c r="J1221">
        <v>3</v>
      </c>
      <c r="K1221" s="2">
        <v>1.9675925925925926E-4</v>
      </c>
      <c r="L1221" s="11">
        <v>11.049999999999999</v>
      </c>
      <c r="M1221" s="3">
        <v>0.28333333333333333</v>
      </c>
      <c r="N1221" s="4">
        <v>17</v>
      </c>
      <c r="O1221" s="2">
        <v>1.9791666666666668E-3</v>
      </c>
      <c r="P1221" s="9">
        <v>111.15</v>
      </c>
      <c r="Q1221" s="3">
        <v>2.85</v>
      </c>
      <c r="R1221" s="4">
        <v>171</v>
      </c>
      <c r="S1221" s="3">
        <v>30</v>
      </c>
      <c r="T1221" s="1">
        <v>0.78569999999999995</v>
      </c>
      <c r="U1221" s="6">
        <v>30.642299999999999</v>
      </c>
    </row>
    <row r="1222" spans="1:21" x14ac:dyDescent="0.35">
      <c r="A1222">
        <v>1221</v>
      </c>
      <c r="B1222" s="5">
        <v>45417</v>
      </c>
      <c r="C1222" s="4">
        <v>2024</v>
      </c>
      <c r="D1222" s="4">
        <v>5</v>
      </c>
      <c r="E1222" s="14">
        <v>45417</v>
      </c>
      <c r="F1222" s="4">
        <v>5</v>
      </c>
      <c r="G1222">
        <v>215</v>
      </c>
      <c r="H1222">
        <v>211</v>
      </c>
      <c r="I1222" s="13">
        <v>0.98</v>
      </c>
      <c r="J1222">
        <v>4</v>
      </c>
      <c r="K1222" s="2">
        <v>6.9444444444444444E-5</v>
      </c>
      <c r="L1222" s="11">
        <v>21.1</v>
      </c>
      <c r="M1222" s="3">
        <v>0.1</v>
      </c>
      <c r="N1222" s="4">
        <v>6</v>
      </c>
      <c r="O1222" s="2">
        <v>2.1527777777777778E-3</v>
      </c>
      <c r="P1222" s="9">
        <v>654.1</v>
      </c>
      <c r="Q1222" s="3">
        <v>3.1</v>
      </c>
      <c r="R1222" s="4">
        <v>186</v>
      </c>
      <c r="S1222" s="3">
        <v>200</v>
      </c>
      <c r="T1222" s="1">
        <v>0.94810000000000005</v>
      </c>
      <c r="U1222" s="6">
        <v>200.04910000000001</v>
      </c>
    </row>
    <row r="1223" spans="1:21" x14ac:dyDescent="0.35">
      <c r="A1223">
        <v>1222</v>
      </c>
      <c r="B1223" s="5">
        <v>45418</v>
      </c>
      <c r="C1223" s="4">
        <v>2024</v>
      </c>
      <c r="D1223" s="4">
        <v>5</v>
      </c>
      <c r="E1223" s="14">
        <v>45418</v>
      </c>
      <c r="F1223" s="4">
        <v>6</v>
      </c>
      <c r="G1223">
        <v>153</v>
      </c>
      <c r="H1223">
        <v>152</v>
      </c>
      <c r="I1223" s="13">
        <v>0.99</v>
      </c>
      <c r="J1223">
        <v>1</v>
      </c>
      <c r="K1223" s="2">
        <v>4.6296296296296294E-5</v>
      </c>
      <c r="L1223" s="11">
        <v>10.133333333333333</v>
      </c>
      <c r="M1223" s="3">
        <v>6.6666666666666666E-2</v>
      </c>
      <c r="N1223" s="4">
        <v>4</v>
      </c>
      <c r="O1223" s="2">
        <v>1.7939814814814815E-3</v>
      </c>
      <c r="P1223" s="9">
        <v>392.66666666666669</v>
      </c>
      <c r="Q1223" s="3">
        <v>2.5833333333333335</v>
      </c>
      <c r="R1223" s="4">
        <v>155</v>
      </c>
      <c r="S1223" s="3">
        <v>150</v>
      </c>
      <c r="T1223" s="1">
        <v>0.9869</v>
      </c>
      <c r="U1223" s="6">
        <v>150.00880000000001</v>
      </c>
    </row>
    <row r="1224" spans="1:21" x14ac:dyDescent="0.35">
      <c r="A1224">
        <v>1223</v>
      </c>
      <c r="B1224" s="5">
        <v>45419</v>
      </c>
      <c r="C1224" s="4">
        <v>2024</v>
      </c>
      <c r="D1224" s="4">
        <v>5</v>
      </c>
      <c r="E1224" s="14">
        <v>45419</v>
      </c>
      <c r="F1224" s="4">
        <v>7</v>
      </c>
      <c r="G1224">
        <v>39</v>
      </c>
      <c r="H1224">
        <v>39</v>
      </c>
      <c r="I1224" s="13">
        <v>1</v>
      </c>
      <c r="J1224">
        <v>0</v>
      </c>
      <c r="K1224" s="2">
        <v>1.6203703703703703E-4</v>
      </c>
      <c r="L1224" s="11">
        <v>9.1</v>
      </c>
      <c r="M1224" s="3">
        <v>0.23333333333333334</v>
      </c>
      <c r="N1224" s="4">
        <v>14</v>
      </c>
      <c r="O1224" s="2">
        <v>2.5694444444444445E-3</v>
      </c>
      <c r="P1224" s="9">
        <v>144.30000000000001</v>
      </c>
      <c r="Q1224" s="3">
        <v>3.7</v>
      </c>
      <c r="R1224" s="4">
        <v>222</v>
      </c>
      <c r="S1224" s="3">
        <v>33</v>
      </c>
      <c r="T1224" s="1">
        <v>0.84619999999999995</v>
      </c>
      <c r="U1224" s="6">
        <v>33.001799999999996</v>
      </c>
    </row>
    <row r="1225" spans="1:21" x14ac:dyDescent="0.35">
      <c r="A1225">
        <v>1224</v>
      </c>
      <c r="B1225" s="5">
        <v>45420</v>
      </c>
      <c r="C1225" s="4">
        <v>2024</v>
      </c>
      <c r="D1225" s="4">
        <v>5</v>
      </c>
      <c r="E1225" s="14">
        <v>45420</v>
      </c>
      <c r="F1225" s="4">
        <v>8</v>
      </c>
      <c r="G1225">
        <v>334</v>
      </c>
      <c r="H1225">
        <v>322</v>
      </c>
      <c r="I1225" s="13">
        <v>0.96</v>
      </c>
      <c r="J1225">
        <v>12</v>
      </c>
      <c r="K1225" s="2">
        <v>1.9675925925925926E-4</v>
      </c>
      <c r="L1225" s="11">
        <v>91.233333333333334</v>
      </c>
      <c r="M1225" s="3">
        <v>0.28333333333333333</v>
      </c>
      <c r="N1225" s="4">
        <v>17</v>
      </c>
      <c r="O1225" s="2">
        <v>2.0370370370370369E-3</v>
      </c>
      <c r="P1225" s="9">
        <v>944.53333333333342</v>
      </c>
      <c r="Q1225" s="3">
        <v>2.9333333333333336</v>
      </c>
      <c r="R1225" s="4">
        <v>176</v>
      </c>
      <c r="S1225" s="3">
        <v>248</v>
      </c>
      <c r="T1225" s="1">
        <v>0.77129999999999999</v>
      </c>
      <c r="U1225" s="6">
        <v>248.3586</v>
      </c>
    </row>
    <row r="1226" spans="1:21" x14ac:dyDescent="0.35">
      <c r="A1226">
        <v>1225</v>
      </c>
      <c r="B1226" s="5">
        <v>45421</v>
      </c>
      <c r="C1226" s="4">
        <v>2024</v>
      </c>
      <c r="D1226" s="4">
        <v>5</v>
      </c>
      <c r="E1226" s="14">
        <v>45421</v>
      </c>
      <c r="F1226" s="4">
        <v>9</v>
      </c>
      <c r="G1226">
        <v>236</v>
      </c>
      <c r="H1226">
        <v>225</v>
      </c>
      <c r="I1226" s="13">
        <v>0.95</v>
      </c>
      <c r="J1226">
        <v>11</v>
      </c>
      <c r="K1226" s="2">
        <v>1.5046296296296297E-4</v>
      </c>
      <c r="L1226" s="11">
        <v>48.75</v>
      </c>
      <c r="M1226" s="3">
        <v>0.21666666666666667</v>
      </c>
      <c r="N1226" s="4">
        <v>13</v>
      </c>
      <c r="O1226" s="2">
        <v>2.0023148148148148E-3</v>
      </c>
      <c r="P1226" s="9">
        <v>648.75</v>
      </c>
      <c r="Q1226" s="3">
        <v>2.8833333333333333</v>
      </c>
      <c r="R1226" s="4">
        <v>173</v>
      </c>
      <c r="S1226" s="3">
        <v>191</v>
      </c>
      <c r="T1226" s="1">
        <v>0.85089999999999999</v>
      </c>
      <c r="U1226" s="6">
        <v>191.45249999999999</v>
      </c>
    </row>
    <row r="1227" spans="1:21" x14ac:dyDescent="0.35">
      <c r="A1227">
        <v>1226</v>
      </c>
      <c r="B1227" s="5">
        <v>45422</v>
      </c>
      <c r="C1227" s="4">
        <v>2024</v>
      </c>
      <c r="D1227" s="4">
        <v>5</v>
      </c>
      <c r="E1227" s="14">
        <v>45422</v>
      </c>
      <c r="F1227" s="4">
        <v>10</v>
      </c>
      <c r="G1227">
        <v>186</v>
      </c>
      <c r="H1227">
        <v>182</v>
      </c>
      <c r="I1227" s="13">
        <v>0.97</v>
      </c>
      <c r="J1227">
        <v>4</v>
      </c>
      <c r="K1227" s="2">
        <v>9.2592592592592588E-5</v>
      </c>
      <c r="L1227" s="11">
        <v>24.266666666666666</v>
      </c>
      <c r="M1227" s="3">
        <v>0.13333333333333333</v>
      </c>
      <c r="N1227" s="4">
        <v>8</v>
      </c>
      <c r="O1227" s="2">
        <v>1.8287037037037037E-3</v>
      </c>
      <c r="P1227" s="9">
        <v>479.26666666666665</v>
      </c>
      <c r="Q1227" s="3">
        <v>2.6333333333333333</v>
      </c>
      <c r="R1227" s="4">
        <v>158</v>
      </c>
      <c r="S1227" s="3">
        <v>173</v>
      </c>
      <c r="T1227" s="1">
        <v>0.95109999999999995</v>
      </c>
      <c r="U1227" s="6">
        <v>173.1002</v>
      </c>
    </row>
    <row r="1228" spans="1:21" x14ac:dyDescent="0.35">
      <c r="A1228">
        <v>1227</v>
      </c>
      <c r="B1228" s="5">
        <v>45423</v>
      </c>
      <c r="C1228" s="4">
        <v>2024</v>
      </c>
      <c r="D1228" s="4">
        <v>5</v>
      </c>
      <c r="E1228" s="14">
        <v>45423</v>
      </c>
      <c r="F1228" s="4">
        <v>11</v>
      </c>
      <c r="G1228">
        <v>202</v>
      </c>
      <c r="H1228">
        <v>197</v>
      </c>
      <c r="I1228" s="13">
        <v>0.97</v>
      </c>
      <c r="J1228">
        <v>5</v>
      </c>
      <c r="K1228" s="2">
        <v>1.5046296296296297E-4</v>
      </c>
      <c r="L1228" s="11">
        <v>42.683333333333337</v>
      </c>
      <c r="M1228" s="3">
        <v>0.21666666666666667</v>
      </c>
      <c r="N1228" s="4">
        <v>13</v>
      </c>
      <c r="O1228" s="2">
        <v>1.7708333333333332E-3</v>
      </c>
      <c r="P1228" s="9">
        <v>502.34999999999997</v>
      </c>
      <c r="Q1228" s="3">
        <v>2.5499999999999998</v>
      </c>
      <c r="R1228" s="4">
        <v>153</v>
      </c>
      <c r="S1228" s="3">
        <v>171</v>
      </c>
      <c r="T1228" s="1">
        <v>0.87</v>
      </c>
      <c r="U1228" s="6">
        <v>171.39</v>
      </c>
    </row>
    <row r="1229" spans="1:21" x14ac:dyDescent="0.35">
      <c r="A1229">
        <v>1228</v>
      </c>
      <c r="B1229" s="5">
        <v>45424</v>
      </c>
      <c r="C1229" s="4">
        <v>2024</v>
      </c>
      <c r="D1229" s="4">
        <v>5</v>
      </c>
      <c r="E1229" s="14">
        <v>45424</v>
      </c>
      <c r="F1229" s="4">
        <v>12</v>
      </c>
      <c r="G1229">
        <v>185</v>
      </c>
      <c r="H1229">
        <v>182</v>
      </c>
      <c r="I1229" s="13">
        <v>0.98</v>
      </c>
      <c r="J1229">
        <v>3</v>
      </c>
      <c r="K1229" s="2">
        <v>9.2592592592592588E-5</v>
      </c>
      <c r="L1229" s="11">
        <v>24.266666666666666</v>
      </c>
      <c r="M1229" s="3">
        <v>0.13333333333333333</v>
      </c>
      <c r="N1229" s="4">
        <v>8</v>
      </c>
      <c r="O1229" s="2">
        <v>1.9560185185185184E-3</v>
      </c>
      <c r="P1229" s="9">
        <v>512.63333333333333</v>
      </c>
      <c r="Q1229" s="3">
        <v>2.8166666666666664</v>
      </c>
      <c r="R1229" s="4">
        <v>169</v>
      </c>
      <c r="S1229" s="3">
        <v>164</v>
      </c>
      <c r="T1229" s="1">
        <v>0.90269999999999995</v>
      </c>
      <c r="U1229" s="6">
        <v>164.29139999999998</v>
      </c>
    </row>
    <row r="1230" spans="1:21" x14ac:dyDescent="0.35">
      <c r="A1230">
        <v>1229</v>
      </c>
      <c r="B1230" s="5">
        <v>45425</v>
      </c>
      <c r="C1230" s="4">
        <v>2024</v>
      </c>
      <c r="D1230" s="4">
        <v>5</v>
      </c>
      <c r="E1230" s="14">
        <v>45425</v>
      </c>
      <c r="F1230" s="4">
        <v>13</v>
      </c>
      <c r="G1230">
        <v>38</v>
      </c>
      <c r="H1230">
        <v>38</v>
      </c>
      <c r="I1230" s="13">
        <v>1</v>
      </c>
      <c r="J1230">
        <v>0</v>
      </c>
      <c r="K1230" s="2">
        <v>4.6296296296296294E-5</v>
      </c>
      <c r="L1230" s="11">
        <v>2.5333333333333332</v>
      </c>
      <c r="M1230" s="3">
        <v>6.6666666666666666E-2</v>
      </c>
      <c r="N1230" s="4">
        <v>4</v>
      </c>
      <c r="O1230" s="2">
        <v>2.3842592592592591E-3</v>
      </c>
      <c r="P1230" s="9">
        <v>130.46666666666667</v>
      </c>
      <c r="Q1230" s="3">
        <v>3.4333333333333336</v>
      </c>
      <c r="R1230" s="4">
        <v>206</v>
      </c>
      <c r="S1230" s="3">
        <v>37</v>
      </c>
      <c r="T1230" s="1">
        <v>0.97370000000000001</v>
      </c>
      <c r="U1230" s="6">
        <v>37.000599999999999</v>
      </c>
    </row>
    <row r="1231" spans="1:21" x14ac:dyDescent="0.35">
      <c r="A1231">
        <v>1230</v>
      </c>
      <c r="B1231" s="5">
        <v>45426</v>
      </c>
      <c r="C1231" s="4">
        <v>2024</v>
      </c>
      <c r="D1231" s="4">
        <v>5</v>
      </c>
      <c r="E1231" s="14">
        <v>45426</v>
      </c>
      <c r="F1231" s="4">
        <v>14</v>
      </c>
      <c r="G1231">
        <v>25</v>
      </c>
      <c r="H1231">
        <v>24</v>
      </c>
      <c r="I1231" s="13">
        <v>0.96</v>
      </c>
      <c r="J1231">
        <v>1</v>
      </c>
      <c r="K1231" s="2">
        <v>3.4722222222222222E-5</v>
      </c>
      <c r="L1231" s="11">
        <v>1.2000000000000002</v>
      </c>
      <c r="M1231" s="3">
        <v>0.05</v>
      </c>
      <c r="N1231" s="4">
        <v>3</v>
      </c>
      <c r="O1231" s="2">
        <v>1.8981481481481482E-3</v>
      </c>
      <c r="P1231" s="9">
        <v>65.599999999999994</v>
      </c>
      <c r="Q1231" s="3">
        <v>2.7333333333333334</v>
      </c>
      <c r="R1231" s="4">
        <v>164</v>
      </c>
      <c r="S1231" s="3">
        <v>23</v>
      </c>
      <c r="T1231" s="1">
        <v>0.96</v>
      </c>
      <c r="U1231" s="6">
        <v>23.04</v>
      </c>
    </row>
    <row r="1232" spans="1:21" x14ac:dyDescent="0.35">
      <c r="A1232">
        <v>1231</v>
      </c>
      <c r="B1232" s="5">
        <v>45427</v>
      </c>
      <c r="C1232" s="4">
        <v>2024</v>
      </c>
      <c r="D1232" s="4">
        <v>5</v>
      </c>
      <c r="E1232" s="14">
        <v>45427</v>
      </c>
      <c r="F1232" s="4">
        <v>15</v>
      </c>
      <c r="G1232">
        <v>203</v>
      </c>
      <c r="H1232">
        <v>195</v>
      </c>
      <c r="I1232" s="13">
        <v>0.96</v>
      </c>
      <c r="J1232">
        <v>8</v>
      </c>
      <c r="K1232" s="2">
        <v>9.2592592592592588E-5</v>
      </c>
      <c r="L1232" s="11">
        <v>26</v>
      </c>
      <c r="M1232" s="3">
        <v>0.13333333333333333</v>
      </c>
      <c r="N1232" s="4">
        <v>8</v>
      </c>
      <c r="O1232" s="2">
        <v>1.8287037037037037E-3</v>
      </c>
      <c r="P1232" s="9">
        <v>513.5</v>
      </c>
      <c r="Q1232" s="3">
        <v>2.6333333333333333</v>
      </c>
      <c r="R1232" s="4">
        <v>158</v>
      </c>
      <c r="S1232" s="3">
        <v>172</v>
      </c>
      <c r="T1232" s="1">
        <v>0.88560000000000005</v>
      </c>
      <c r="U1232" s="6">
        <v>172.69200000000001</v>
      </c>
    </row>
    <row r="1233" spans="1:21" x14ac:dyDescent="0.35">
      <c r="A1233">
        <v>1232</v>
      </c>
      <c r="B1233" s="5">
        <v>45428</v>
      </c>
      <c r="C1233" s="4">
        <v>2024</v>
      </c>
      <c r="D1233" s="4">
        <v>5</v>
      </c>
      <c r="E1233" s="14">
        <v>45428</v>
      </c>
      <c r="F1233" s="4">
        <v>16</v>
      </c>
      <c r="G1233">
        <v>296</v>
      </c>
      <c r="H1233">
        <v>292</v>
      </c>
      <c r="I1233" s="13">
        <v>0.98</v>
      </c>
      <c r="J1233">
        <v>4</v>
      </c>
      <c r="K1233" s="2">
        <v>4.6296296296296294E-5</v>
      </c>
      <c r="L1233" s="11">
        <v>19.466666666666665</v>
      </c>
      <c r="M1233" s="3">
        <v>6.6666666666666666E-2</v>
      </c>
      <c r="N1233" s="4">
        <v>4</v>
      </c>
      <c r="O1233" s="2">
        <v>1.8518518518518519E-3</v>
      </c>
      <c r="P1233" s="9">
        <v>778.66666666666663</v>
      </c>
      <c r="Q1233" s="3">
        <v>2.6666666666666665</v>
      </c>
      <c r="R1233" s="4">
        <v>160</v>
      </c>
      <c r="S1233" s="3">
        <v>287</v>
      </c>
      <c r="T1233" s="1">
        <v>0.98629999999999995</v>
      </c>
      <c r="U1233" s="6">
        <v>287.99959999999999</v>
      </c>
    </row>
    <row r="1234" spans="1:21" x14ac:dyDescent="0.35">
      <c r="A1234">
        <v>1233</v>
      </c>
      <c r="B1234" s="5">
        <v>45429</v>
      </c>
      <c r="C1234" s="4">
        <v>2024</v>
      </c>
      <c r="D1234" s="4">
        <v>5</v>
      </c>
      <c r="E1234" s="14">
        <v>45429</v>
      </c>
      <c r="F1234" s="4">
        <v>17</v>
      </c>
      <c r="G1234">
        <v>233</v>
      </c>
      <c r="H1234">
        <v>223</v>
      </c>
      <c r="I1234" s="13">
        <v>0.95</v>
      </c>
      <c r="J1234">
        <v>10</v>
      </c>
      <c r="K1234" s="2">
        <v>1.0416666666666667E-4</v>
      </c>
      <c r="L1234" s="11">
        <v>33.449999999999996</v>
      </c>
      <c r="M1234" s="3">
        <v>0.15</v>
      </c>
      <c r="N1234" s="4">
        <v>9</v>
      </c>
      <c r="O1234" s="2">
        <v>1.9328703703703704E-3</v>
      </c>
      <c r="P1234" s="9">
        <v>620.68333333333328</v>
      </c>
      <c r="Q1234" s="3">
        <v>2.7833333333333332</v>
      </c>
      <c r="R1234" s="4">
        <v>167</v>
      </c>
      <c r="S1234" s="3">
        <v>195</v>
      </c>
      <c r="T1234" s="1">
        <v>0.87829999999999997</v>
      </c>
      <c r="U1234" s="6">
        <v>195.86089999999999</v>
      </c>
    </row>
    <row r="1235" spans="1:21" x14ac:dyDescent="0.35">
      <c r="A1235">
        <v>1234</v>
      </c>
      <c r="B1235" s="5">
        <v>45430</v>
      </c>
      <c r="C1235" s="4">
        <v>2024</v>
      </c>
      <c r="D1235" s="4">
        <v>5</v>
      </c>
      <c r="E1235" s="14">
        <v>45430</v>
      </c>
      <c r="F1235" s="4">
        <v>18</v>
      </c>
      <c r="G1235">
        <v>198</v>
      </c>
      <c r="H1235">
        <v>194</v>
      </c>
      <c r="I1235" s="13">
        <v>0.97</v>
      </c>
      <c r="J1235">
        <v>4</v>
      </c>
      <c r="K1235" s="2">
        <v>9.2592592592592588E-5</v>
      </c>
      <c r="L1235" s="11">
        <v>25.866666666666667</v>
      </c>
      <c r="M1235" s="3">
        <v>0.13333333333333333</v>
      </c>
      <c r="N1235" s="4">
        <v>8</v>
      </c>
      <c r="O1235" s="2">
        <v>1.8749999999999999E-3</v>
      </c>
      <c r="P1235" s="9">
        <v>523.80000000000007</v>
      </c>
      <c r="Q1235" s="3">
        <v>2.7</v>
      </c>
      <c r="R1235" s="4">
        <v>162</v>
      </c>
      <c r="S1235" s="3">
        <v>178</v>
      </c>
      <c r="T1235" s="1">
        <v>0.91790000000000005</v>
      </c>
      <c r="U1235" s="6">
        <v>178.07260000000002</v>
      </c>
    </row>
    <row r="1236" spans="1:21" x14ac:dyDescent="0.35">
      <c r="A1236">
        <v>1235</v>
      </c>
      <c r="B1236" s="5">
        <v>45431</v>
      </c>
      <c r="C1236" s="4">
        <v>2024</v>
      </c>
      <c r="D1236" s="4">
        <v>5</v>
      </c>
      <c r="E1236" s="14">
        <v>45431</v>
      </c>
      <c r="F1236" s="4">
        <v>19</v>
      </c>
      <c r="G1236">
        <v>181</v>
      </c>
      <c r="H1236">
        <v>179</v>
      </c>
      <c r="I1236" s="13">
        <v>0.98</v>
      </c>
      <c r="J1236">
        <v>2</v>
      </c>
      <c r="K1236" s="2">
        <v>4.6296296296296294E-5</v>
      </c>
      <c r="L1236" s="11">
        <v>11.933333333333334</v>
      </c>
      <c r="M1236" s="3">
        <v>6.6666666666666666E-2</v>
      </c>
      <c r="N1236" s="4">
        <v>4</v>
      </c>
      <c r="O1236" s="2">
        <v>1.8402777777777777E-3</v>
      </c>
      <c r="P1236" s="9">
        <v>474.34999999999997</v>
      </c>
      <c r="Q1236" s="3">
        <v>2.65</v>
      </c>
      <c r="R1236" s="4">
        <v>159</v>
      </c>
      <c r="S1236" s="3">
        <v>177</v>
      </c>
      <c r="T1236" s="1">
        <v>0.99439999999999995</v>
      </c>
      <c r="U1236" s="6">
        <v>177.99759999999998</v>
      </c>
    </row>
    <row r="1237" spans="1:21" x14ac:dyDescent="0.35">
      <c r="A1237">
        <v>1236</v>
      </c>
      <c r="B1237" s="5">
        <v>45432</v>
      </c>
      <c r="C1237" s="4">
        <v>2024</v>
      </c>
      <c r="D1237" s="4">
        <v>5</v>
      </c>
      <c r="E1237" s="14">
        <v>45432</v>
      </c>
      <c r="F1237" s="4">
        <v>20</v>
      </c>
      <c r="G1237">
        <v>166</v>
      </c>
      <c r="H1237">
        <v>162</v>
      </c>
      <c r="I1237" s="13">
        <v>0.97</v>
      </c>
      <c r="J1237">
        <v>4</v>
      </c>
      <c r="K1237" s="2">
        <v>6.9444444444444444E-5</v>
      </c>
      <c r="L1237" s="11">
        <v>16.2</v>
      </c>
      <c r="M1237" s="3">
        <v>0.1</v>
      </c>
      <c r="N1237" s="4">
        <v>6</v>
      </c>
      <c r="O1237" s="2">
        <v>1.8402777777777777E-3</v>
      </c>
      <c r="P1237" s="9">
        <v>429.3</v>
      </c>
      <c r="Q1237" s="3">
        <v>2.65</v>
      </c>
      <c r="R1237" s="4">
        <v>159</v>
      </c>
      <c r="S1237" s="3">
        <v>152</v>
      </c>
      <c r="T1237" s="1">
        <v>0.93869999999999998</v>
      </c>
      <c r="U1237" s="6">
        <v>152.0694</v>
      </c>
    </row>
    <row r="1238" spans="1:21" x14ac:dyDescent="0.35">
      <c r="A1238">
        <v>1237</v>
      </c>
      <c r="B1238" s="5">
        <v>45433</v>
      </c>
      <c r="C1238" s="4">
        <v>2024</v>
      </c>
      <c r="D1238" s="4">
        <v>5</v>
      </c>
      <c r="E1238" s="14">
        <v>45433</v>
      </c>
      <c r="F1238" s="4">
        <v>21</v>
      </c>
      <c r="G1238">
        <v>19</v>
      </c>
      <c r="H1238">
        <v>19</v>
      </c>
      <c r="I1238" s="13">
        <v>1</v>
      </c>
      <c r="J1238">
        <v>0</v>
      </c>
      <c r="K1238" s="2">
        <v>3.4722222222222222E-5</v>
      </c>
      <c r="L1238" s="11">
        <v>0.95000000000000007</v>
      </c>
      <c r="M1238" s="3">
        <v>0.05</v>
      </c>
      <c r="N1238" s="4">
        <v>3</v>
      </c>
      <c r="O1238" s="2">
        <v>1.7013888888888888E-3</v>
      </c>
      <c r="P1238" s="9">
        <v>46.550000000000004</v>
      </c>
      <c r="Q1238" s="3">
        <v>2.4500000000000002</v>
      </c>
      <c r="R1238" s="4">
        <v>147</v>
      </c>
      <c r="S1238" s="3">
        <v>19</v>
      </c>
      <c r="T1238" s="1">
        <v>1</v>
      </c>
      <c r="U1238" s="6">
        <v>19</v>
      </c>
    </row>
    <row r="1239" spans="1:21" x14ac:dyDescent="0.35">
      <c r="A1239">
        <v>1238</v>
      </c>
      <c r="B1239" s="5">
        <v>45434</v>
      </c>
      <c r="C1239" s="4">
        <v>2024</v>
      </c>
      <c r="D1239" s="4">
        <v>5</v>
      </c>
      <c r="E1239" s="14">
        <v>45434</v>
      </c>
      <c r="F1239" s="4">
        <v>22</v>
      </c>
      <c r="G1239">
        <v>196</v>
      </c>
      <c r="H1239">
        <v>181</v>
      </c>
      <c r="I1239" s="13">
        <v>0.92</v>
      </c>
      <c r="J1239">
        <v>15</v>
      </c>
      <c r="K1239" s="2">
        <v>1.6203703703703703E-4</v>
      </c>
      <c r="L1239" s="11">
        <v>42.233333333333334</v>
      </c>
      <c r="M1239" s="3">
        <v>0.23333333333333334</v>
      </c>
      <c r="N1239" s="4">
        <v>14</v>
      </c>
      <c r="O1239" s="2">
        <v>1.8171296296296297E-3</v>
      </c>
      <c r="P1239" s="9">
        <v>473.61666666666667</v>
      </c>
      <c r="Q1239" s="3">
        <v>2.6166666666666667</v>
      </c>
      <c r="R1239" s="4">
        <v>157</v>
      </c>
      <c r="S1239" s="3">
        <v>141</v>
      </c>
      <c r="T1239" s="1">
        <v>0.78129999999999999</v>
      </c>
      <c r="U1239" s="6">
        <v>141.4153</v>
      </c>
    </row>
    <row r="1240" spans="1:21" x14ac:dyDescent="0.35">
      <c r="A1240">
        <v>1239</v>
      </c>
      <c r="B1240" s="5">
        <v>45435</v>
      </c>
      <c r="C1240" s="4">
        <v>2024</v>
      </c>
      <c r="D1240" s="4">
        <v>5</v>
      </c>
      <c r="E1240" s="14">
        <v>45435</v>
      </c>
      <c r="F1240" s="4">
        <v>23</v>
      </c>
      <c r="G1240">
        <v>176</v>
      </c>
      <c r="H1240">
        <v>172</v>
      </c>
      <c r="I1240" s="13">
        <v>0.97</v>
      </c>
      <c r="J1240">
        <v>4</v>
      </c>
      <c r="K1240" s="2">
        <v>1.8518518518518518E-4</v>
      </c>
      <c r="L1240" s="11">
        <v>45.866666666666667</v>
      </c>
      <c r="M1240" s="3">
        <v>0.26666666666666666</v>
      </c>
      <c r="N1240" s="4">
        <v>16</v>
      </c>
      <c r="O1240" s="2">
        <v>1.736111111111111E-3</v>
      </c>
      <c r="P1240" s="9">
        <v>430</v>
      </c>
      <c r="Q1240" s="3">
        <v>2.5</v>
      </c>
      <c r="R1240" s="4">
        <v>150</v>
      </c>
      <c r="S1240" s="3">
        <v>136</v>
      </c>
      <c r="T1240" s="1">
        <v>0.79430000000000001</v>
      </c>
      <c r="U1240" s="6">
        <v>136.61959999999999</v>
      </c>
    </row>
    <row r="1241" spans="1:21" x14ac:dyDescent="0.35">
      <c r="A1241">
        <v>1240</v>
      </c>
      <c r="B1241" s="5">
        <v>45436</v>
      </c>
      <c r="C1241" s="4">
        <v>2024</v>
      </c>
      <c r="D1241" s="4">
        <v>5</v>
      </c>
      <c r="E1241" s="14">
        <v>45436</v>
      </c>
      <c r="F1241" s="4">
        <v>24</v>
      </c>
      <c r="G1241">
        <v>221</v>
      </c>
      <c r="H1241">
        <v>209</v>
      </c>
      <c r="I1241" s="13">
        <v>0.94</v>
      </c>
      <c r="J1241">
        <v>12</v>
      </c>
      <c r="K1241" s="2">
        <v>1.3888888888888889E-4</v>
      </c>
      <c r="L1241" s="11">
        <v>41.800000000000004</v>
      </c>
      <c r="M1241" s="3">
        <v>0.2</v>
      </c>
      <c r="N1241" s="4">
        <v>12</v>
      </c>
      <c r="O1241" s="2">
        <v>1.8749999999999999E-3</v>
      </c>
      <c r="P1241" s="9">
        <v>564.30000000000007</v>
      </c>
      <c r="Q1241" s="3">
        <v>2.7</v>
      </c>
      <c r="R1241" s="4">
        <v>162</v>
      </c>
      <c r="S1241" s="3">
        <v>175</v>
      </c>
      <c r="T1241" s="1">
        <v>0.8387</v>
      </c>
      <c r="U1241" s="6">
        <v>175.28829999999999</v>
      </c>
    </row>
    <row r="1242" spans="1:21" x14ac:dyDescent="0.35">
      <c r="A1242">
        <v>1241</v>
      </c>
      <c r="B1242" s="5">
        <v>45437</v>
      </c>
      <c r="C1242" s="4">
        <v>2024</v>
      </c>
      <c r="D1242" s="4">
        <v>5</v>
      </c>
      <c r="E1242" s="14">
        <v>45437</v>
      </c>
      <c r="F1242" s="4">
        <v>25</v>
      </c>
      <c r="G1242">
        <v>196</v>
      </c>
      <c r="H1242">
        <v>191</v>
      </c>
      <c r="I1242" s="13">
        <v>0.97</v>
      </c>
      <c r="J1242">
        <v>5</v>
      </c>
      <c r="K1242" s="2">
        <v>1.6203703703703703E-4</v>
      </c>
      <c r="L1242" s="11">
        <v>44.56666666666667</v>
      </c>
      <c r="M1242" s="3">
        <v>0.23333333333333334</v>
      </c>
      <c r="N1242" s="4">
        <v>14</v>
      </c>
      <c r="O1242" s="2">
        <v>1.9791666666666668E-3</v>
      </c>
      <c r="P1242" s="9">
        <v>544.35</v>
      </c>
      <c r="Q1242" s="3">
        <v>2.85</v>
      </c>
      <c r="R1242" s="4">
        <v>171</v>
      </c>
      <c r="S1242" s="3">
        <v>164</v>
      </c>
      <c r="T1242" s="1">
        <v>0.86009999999999998</v>
      </c>
      <c r="U1242" s="6">
        <v>164.2791</v>
      </c>
    </row>
    <row r="1243" spans="1:21" x14ac:dyDescent="0.35">
      <c r="A1243">
        <v>1242</v>
      </c>
      <c r="B1243" s="5">
        <v>45438</v>
      </c>
      <c r="C1243" s="4">
        <v>2024</v>
      </c>
      <c r="D1243" s="4">
        <v>5</v>
      </c>
      <c r="E1243" s="14">
        <v>45438</v>
      </c>
      <c r="F1243" s="4">
        <v>26</v>
      </c>
      <c r="G1243">
        <v>211</v>
      </c>
      <c r="H1243">
        <v>202</v>
      </c>
      <c r="I1243" s="13">
        <v>0.95</v>
      </c>
      <c r="J1243">
        <v>9</v>
      </c>
      <c r="K1243" s="2">
        <v>1.7361111111111112E-4</v>
      </c>
      <c r="L1243" s="11">
        <v>50.5</v>
      </c>
      <c r="M1243" s="3">
        <v>0.25</v>
      </c>
      <c r="N1243" s="4">
        <v>15</v>
      </c>
      <c r="O1243" s="2">
        <v>1.9212962962962964E-3</v>
      </c>
      <c r="P1243" s="9">
        <v>558.86666666666667</v>
      </c>
      <c r="Q1243" s="3">
        <v>2.7666666666666666</v>
      </c>
      <c r="R1243" s="4">
        <v>166</v>
      </c>
      <c r="S1243" s="3">
        <v>160</v>
      </c>
      <c r="T1243" s="1">
        <v>0.79330000000000001</v>
      </c>
      <c r="U1243" s="6">
        <v>160.2466</v>
      </c>
    </row>
    <row r="1244" spans="1:21" x14ac:dyDescent="0.35">
      <c r="A1244">
        <v>1243</v>
      </c>
      <c r="B1244" s="5">
        <v>45439</v>
      </c>
      <c r="C1244" s="4">
        <v>2024</v>
      </c>
      <c r="D1244" s="4">
        <v>5</v>
      </c>
      <c r="E1244" s="14">
        <v>45439</v>
      </c>
      <c r="F1244" s="4">
        <v>27</v>
      </c>
      <c r="G1244">
        <v>201</v>
      </c>
      <c r="H1244">
        <v>194</v>
      </c>
      <c r="I1244" s="13">
        <v>0.96</v>
      </c>
      <c r="J1244">
        <v>7</v>
      </c>
      <c r="K1244" s="2">
        <v>1.8518518518518518E-4</v>
      </c>
      <c r="L1244" s="11">
        <v>51.733333333333334</v>
      </c>
      <c r="M1244" s="3">
        <v>0.26666666666666666</v>
      </c>
      <c r="N1244" s="4">
        <v>16</v>
      </c>
      <c r="O1244" s="2">
        <v>1.9560185185185184E-3</v>
      </c>
      <c r="P1244" s="9">
        <v>546.43333333333328</v>
      </c>
      <c r="Q1244" s="3">
        <v>2.8166666666666664</v>
      </c>
      <c r="R1244" s="4">
        <v>169</v>
      </c>
      <c r="S1244" s="3">
        <v>157</v>
      </c>
      <c r="T1244" s="1">
        <v>0.81410000000000005</v>
      </c>
      <c r="U1244" s="6">
        <v>157.93540000000002</v>
      </c>
    </row>
    <row r="1245" spans="1:21" x14ac:dyDescent="0.35">
      <c r="A1245">
        <v>1244</v>
      </c>
      <c r="B1245" s="5">
        <v>45440</v>
      </c>
      <c r="C1245" s="4">
        <v>2024</v>
      </c>
      <c r="D1245" s="4">
        <v>5</v>
      </c>
      <c r="E1245" s="14">
        <v>45440</v>
      </c>
      <c r="F1245" s="4">
        <v>28</v>
      </c>
      <c r="G1245">
        <v>23</v>
      </c>
      <c r="H1245">
        <v>22</v>
      </c>
      <c r="I1245" s="13">
        <v>0.95</v>
      </c>
      <c r="J1245">
        <v>1</v>
      </c>
      <c r="K1245" s="2">
        <v>1.1574074074074075E-4</v>
      </c>
      <c r="L1245" s="11">
        <v>3.6666666666666665</v>
      </c>
      <c r="M1245" s="3">
        <v>0.16666666666666666</v>
      </c>
      <c r="N1245" s="4">
        <v>10</v>
      </c>
      <c r="O1245" s="2">
        <v>2.1064814814814813E-3</v>
      </c>
      <c r="P1245" s="9">
        <v>66.733333333333334</v>
      </c>
      <c r="Q1245" s="3">
        <v>3.0333333333333332</v>
      </c>
      <c r="R1245" s="4">
        <v>182</v>
      </c>
      <c r="S1245" s="3">
        <v>18</v>
      </c>
      <c r="T1245" s="1">
        <v>0.82609999999999995</v>
      </c>
      <c r="U1245" s="6">
        <v>18.174199999999999</v>
      </c>
    </row>
    <row r="1246" spans="1:21" x14ac:dyDescent="0.35">
      <c r="A1246">
        <v>1245</v>
      </c>
      <c r="B1246" s="5">
        <v>45441</v>
      </c>
      <c r="C1246" s="4">
        <v>2024</v>
      </c>
      <c r="D1246" s="4">
        <v>5</v>
      </c>
      <c r="E1246" s="14">
        <v>45441</v>
      </c>
      <c r="F1246" s="4">
        <v>29</v>
      </c>
      <c r="G1246">
        <v>225</v>
      </c>
      <c r="H1246">
        <v>210</v>
      </c>
      <c r="I1246" s="13">
        <v>0.93</v>
      </c>
      <c r="J1246">
        <v>15</v>
      </c>
      <c r="K1246" s="2">
        <v>1.1574074074074075E-4</v>
      </c>
      <c r="L1246" s="11">
        <v>35</v>
      </c>
      <c r="M1246" s="3">
        <v>0.16666666666666666</v>
      </c>
      <c r="N1246" s="4">
        <v>10</v>
      </c>
      <c r="O1246" s="2">
        <v>1.8171296296296297E-3</v>
      </c>
      <c r="P1246" s="9">
        <v>549.5</v>
      </c>
      <c r="Q1246" s="3">
        <v>2.6166666666666667</v>
      </c>
      <c r="R1246" s="4">
        <v>157</v>
      </c>
      <c r="S1246" s="3">
        <v>180</v>
      </c>
      <c r="T1246" s="1">
        <v>0.85909999999999997</v>
      </c>
      <c r="U1246" s="6">
        <v>180.411</v>
      </c>
    </row>
    <row r="1247" spans="1:21" x14ac:dyDescent="0.35">
      <c r="A1247">
        <v>1246</v>
      </c>
      <c r="B1247" s="5">
        <v>45442</v>
      </c>
      <c r="C1247" s="4">
        <v>2024</v>
      </c>
      <c r="D1247" s="4">
        <v>5</v>
      </c>
      <c r="E1247" s="14">
        <v>45442</v>
      </c>
      <c r="F1247" s="4">
        <v>30</v>
      </c>
      <c r="G1247">
        <v>202</v>
      </c>
      <c r="H1247">
        <v>195</v>
      </c>
      <c r="I1247" s="13">
        <v>0.96</v>
      </c>
      <c r="J1247">
        <v>7</v>
      </c>
      <c r="K1247" s="2">
        <v>1.273148148148148E-4</v>
      </c>
      <c r="L1247" s="11">
        <v>35.75</v>
      </c>
      <c r="M1247" s="3">
        <v>0.18333333333333332</v>
      </c>
      <c r="N1247" s="4">
        <v>11</v>
      </c>
      <c r="O1247" s="2">
        <v>1.9328703703703704E-3</v>
      </c>
      <c r="P1247" s="9">
        <v>542.75</v>
      </c>
      <c r="Q1247" s="3">
        <v>2.7833333333333332</v>
      </c>
      <c r="R1247" s="4">
        <v>167</v>
      </c>
      <c r="S1247" s="3">
        <v>169</v>
      </c>
      <c r="T1247" s="1">
        <v>0.86799999999999999</v>
      </c>
      <c r="U1247" s="6">
        <v>169.26</v>
      </c>
    </row>
    <row r="1248" spans="1:21" x14ac:dyDescent="0.35">
      <c r="A1248">
        <v>1247</v>
      </c>
      <c r="B1248" s="5">
        <v>45443</v>
      </c>
      <c r="C1248" s="4">
        <v>2024</v>
      </c>
      <c r="D1248" s="4">
        <v>5</v>
      </c>
      <c r="E1248" s="14">
        <v>45443</v>
      </c>
      <c r="F1248" s="4">
        <v>31</v>
      </c>
      <c r="G1248">
        <v>191</v>
      </c>
      <c r="H1248">
        <v>184</v>
      </c>
      <c r="I1248" s="13">
        <v>0.96</v>
      </c>
      <c r="J1248">
        <v>7</v>
      </c>
      <c r="K1248" s="2">
        <v>8.1018518518518516E-5</v>
      </c>
      <c r="L1248" s="11">
        <v>21.466666666666669</v>
      </c>
      <c r="M1248" s="3">
        <v>0.11666666666666667</v>
      </c>
      <c r="N1248" s="4">
        <v>7</v>
      </c>
      <c r="O1248" s="2">
        <v>1.9675925925925924E-3</v>
      </c>
      <c r="P1248" s="9">
        <v>521.33333333333337</v>
      </c>
      <c r="Q1248" s="3">
        <v>2.8333333333333335</v>
      </c>
      <c r="R1248" s="4">
        <v>170</v>
      </c>
      <c r="S1248" s="3">
        <v>170</v>
      </c>
      <c r="T1248" s="1">
        <v>0.92549999999999999</v>
      </c>
      <c r="U1248" s="6">
        <v>170.292</v>
      </c>
    </row>
    <row r="1249" spans="1:21" x14ac:dyDescent="0.35">
      <c r="A1249">
        <v>1248</v>
      </c>
      <c r="B1249" s="5">
        <v>45444</v>
      </c>
      <c r="C1249" s="4">
        <v>2024</v>
      </c>
      <c r="D1249" s="4">
        <v>6</v>
      </c>
      <c r="E1249" s="14">
        <v>45444</v>
      </c>
      <c r="F1249" s="4">
        <v>1</v>
      </c>
      <c r="G1249">
        <v>212</v>
      </c>
      <c r="H1249">
        <v>209</v>
      </c>
      <c r="I1249" s="13">
        <v>0.98</v>
      </c>
      <c r="J1249">
        <v>3</v>
      </c>
      <c r="K1249" s="2">
        <v>1.1574074074074075E-4</v>
      </c>
      <c r="L1249" s="11">
        <v>34.833333333333329</v>
      </c>
      <c r="M1249" s="3">
        <v>0.16666666666666666</v>
      </c>
      <c r="N1249" s="4">
        <v>10</v>
      </c>
      <c r="O1249" s="2">
        <v>1.9791666666666668E-3</v>
      </c>
      <c r="P1249" s="9">
        <v>595.65</v>
      </c>
      <c r="Q1249" s="3">
        <v>2.85</v>
      </c>
      <c r="R1249" s="4">
        <v>171</v>
      </c>
      <c r="S1249" s="3">
        <v>186</v>
      </c>
      <c r="T1249" s="1">
        <v>0.89100000000000001</v>
      </c>
      <c r="U1249" s="6">
        <v>186.21899999999999</v>
      </c>
    </row>
    <row r="1250" spans="1:21" x14ac:dyDescent="0.35">
      <c r="A1250">
        <v>1249</v>
      </c>
      <c r="B1250" s="5">
        <v>45445</v>
      </c>
      <c r="C1250" s="4">
        <v>2024</v>
      </c>
      <c r="D1250" s="4">
        <v>6</v>
      </c>
      <c r="E1250" s="14">
        <v>45445</v>
      </c>
      <c r="F1250" s="4">
        <v>2</v>
      </c>
      <c r="G1250">
        <v>210</v>
      </c>
      <c r="H1250">
        <v>203</v>
      </c>
      <c r="I1250" s="13">
        <v>0.96</v>
      </c>
      <c r="J1250">
        <v>7</v>
      </c>
      <c r="K1250" s="2">
        <v>1.3888888888888889E-4</v>
      </c>
      <c r="L1250" s="11">
        <v>40.6</v>
      </c>
      <c r="M1250" s="3">
        <v>0.2</v>
      </c>
      <c r="N1250" s="4">
        <v>12</v>
      </c>
      <c r="O1250" s="2">
        <v>2.3379629629629631E-3</v>
      </c>
      <c r="P1250" s="9">
        <v>683.43333333333339</v>
      </c>
      <c r="Q1250" s="3">
        <v>3.3666666666666667</v>
      </c>
      <c r="R1250" s="4">
        <v>202</v>
      </c>
      <c r="S1250" s="3">
        <v>173</v>
      </c>
      <c r="T1250" s="1">
        <v>0.85240000000000005</v>
      </c>
      <c r="U1250" s="6">
        <v>173.03720000000001</v>
      </c>
    </row>
    <row r="1251" spans="1:21" x14ac:dyDescent="0.35">
      <c r="A1251">
        <v>1250</v>
      </c>
      <c r="B1251" s="5">
        <v>45446</v>
      </c>
      <c r="C1251" s="4">
        <v>2024</v>
      </c>
      <c r="D1251" s="4">
        <v>6</v>
      </c>
      <c r="E1251" s="14">
        <v>45446</v>
      </c>
      <c r="F1251" s="4">
        <v>3</v>
      </c>
      <c r="G1251">
        <v>167</v>
      </c>
      <c r="H1251">
        <v>159</v>
      </c>
      <c r="I1251" s="13">
        <v>0.95</v>
      </c>
      <c r="J1251">
        <v>8</v>
      </c>
      <c r="K1251" s="2">
        <v>1.8518518518518518E-4</v>
      </c>
      <c r="L1251" s="11">
        <v>42.4</v>
      </c>
      <c r="M1251" s="3">
        <v>0.26666666666666666</v>
      </c>
      <c r="N1251" s="4">
        <v>16</v>
      </c>
      <c r="O1251" s="2">
        <v>2.2685185185185187E-3</v>
      </c>
      <c r="P1251" s="9">
        <v>519.4</v>
      </c>
      <c r="Q1251" s="3">
        <v>3.2666666666666666</v>
      </c>
      <c r="R1251" s="4">
        <v>196</v>
      </c>
      <c r="S1251" s="3">
        <v>132</v>
      </c>
      <c r="T1251" s="1">
        <v>0.83030000000000004</v>
      </c>
      <c r="U1251" s="6">
        <v>132.01770000000002</v>
      </c>
    </row>
    <row r="1252" spans="1:21" x14ac:dyDescent="0.35">
      <c r="A1252">
        <v>1251</v>
      </c>
      <c r="B1252" s="5">
        <v>45447</v>
      </c>
      <c r="C1252" s="4">
        <v>2024</v>
      </c>
      <c r="D1252" s="4">
        <v>6</v>
      </c>
      <c r="E1252" s="14">
        <v>45447</v>
      </c>
      <c r="F1252" s="4">
        <v>4</v>
      </c>
      <c r="G1252">
        <v>12</v>
      </c>
      <c r="H1252">
        <v>11</v>
      </c>
      <c r="I1252" s="13">
        <v>0.91</v>
      </c>
      <c r="J1252">
        <v>1</v>
      </c>
      <c r="K1252" s="2">
        <v>3.4722222222222222E-5</v>
      </c>
      <c r="L1252" s="11">
        <v>0.55000000000000004</v>
      </c>
      <c r="M1252" s="3">
        <v>0.05</v>
      </c>
      <c r="N1252" s="4">
        <v>3</v>
      </c>
      <c r="O1252" s="2">
        <v>1.5277777777777779E-3</v>
      </c>
      <c r="P1252" s="9">
        <v>24.200000000000003</v>
      </c>
      <c r="Q1252" s="3">
        <v>2.2000000000000002</v>
      </c>
      <c r="R1252" s="4">
        <v>132</v>
      </c>
      <c r="S1252" s="3">
        <v>10</v>
      </c>
      <c r="T1252" s="1">
        <v>0.91669999999999996</v>
      </c>
      <c r="U1252" s="6">
        <v>10.0837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Calls Answered</vt:lpstr>
      <vt:lpstr>Call Speed</vt:lpstr>
      <vt:lpstr>Sheet1</vt:lpstr>
      <vt:lpstr>Sample Formulas</vt:lpstr>
      <vt:lpstr>Sample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Bailey</dc:creator>
  <cp:lastModifiedBy>Bryan Bailey</cp:lastModifiedBy>
  <dcterms:created xsi:type="dcterms:W3CDTF">2024-10-28T07:08:08Z</dcterms:created>
  <dcterms:modified xsi:type="dcterms:W3CDTF">2026-05-17T19:28:46Z</dcterms:modified>
</cp:coreProperties>
</file>